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games/18965/"/>
    </mc:Choice>
  </mc:AlternateContent>
  <xr:revisionPtr revIDLastSave="0" documentId="13_ncr:1_{D5D4A730-DBDF-C549-96F2-55274EF484DD}" xr6:coauthVersionLast="47" xr6:coauthVersionMax="47" xr10:uidLastSave="{00000000-0000-0000-0000-000000000000}"/>
  <bookViews>
    <workbookView xWindow="72960" yWindow="620" windowWidth="38400" windowHeight="20980" activeTab="4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shifts" sheetId="8" r:id="rId6"/>
  </sheets>
  <definedNames>
    <definedName name="_xlnm._FilterDatabase" localSheetId="4" hidden="1">events!$A$1:$BA$1656</definedName>
    <definedName name="DEfensive">Lists!$CQ:$CQ</definedName>
    <definedName name="EventType">Lists!$A$2:$A$16</definedName>
    <definedName name="Faceoff">Lists!$U$2:$U$1048576</definedName>
    <definedName name="Goal">Lists!$X$2:$X$1048576</definedName>
    <definedName name="Goal_PenaltyShot">Lists!$BO$2:$BO$1048576</definedName>
    <definedName name="Goal_Scored">Lists!$BM$2:$BM$1048576</definedName>
    <definedName name="Goal_Shootout">Lists!$BN$2:$BN$1048576</definedName>
    <definedName name="LoosePuck">Lists!$AD$2:$AD$1048576</definedName>
    <definedName name="Offensive">Lists!$CO:$CO</definedName>
    <definedName name="Pass">Lists!$W$2:$W$1048576</definedName>
    <definedName name="Pass_Completed">Lists!$AF$2:$AF$1048576</definedName>
    <definedName name="Pass_Deflected">Lists!$AH$2:$AH$1048576</definedName>
    <definedName name="Pass_Intercepted">Lists!$AI$2:$AI$1048576</definedName>
    <definedName name="Pass_Missed">Lists!$AG$2:$AG$1048576</definedName>
    <definedName name="Penalty">Lists!$AA$2:$AA$1048576</definedName>
    <definedName name="Penalty_Major">Lists!$AO$2:$AO$1048576</definedName>
    <definedName name="Penalty_Minor">Lists!$AP$2:$AP$1048576</definedName>
    <definedName name="Penalty_Offsetting">Lists!$AQ$2:$AQ$1048576</definedName>
    <definedName name="PenaltyShot_Missed">Lists!$AY$2:$AY$1048576</definedName>
    <definedName name="PenaltyShot_OnNet">Lists!$AX$2:$AX$1048576</definedName>
    <definedName name="PenaltyShot_Saved">Lists!$AZ$2:$AZ$1048576</definedName>
    <definedName name="PenaltyShot_Shootout">Lists!$AB$2:$AB$1048576</definedName>
    <definedName name="Play">Lists!$T:$T</definedName>
    <definedName name="Play_Defensive">Lists!$BS:$BS</definedName>
    <definedName name="Play_Offensive">Lists!$BR:$BR</definedName>
    <definedName name="Possession">Lists!$BT:$BT</definedName>
    <definedName name="Rebound">Lists!$BQ$2:$BQ$1048576</definedName>
    <definedName name="Save">Lists!$AE$2:$AE$1048576</definedName>
    <definedName name="Save_Freeze">Lists!$BB$2:$BB$1048576</definedName>
    <definedName name="Save_Played">Lists!$BP:$BP</definedName>
    <definedName name="Save_Rebound">Lists!$BA$2:$BA$1048576</definedName>
    <definedName name="Shootout_Missed">Lists!$AV$2:$AV$1048576</definedName>
    <definedName name="Shootout_OnNet">Lists!$AU$2:$AU$1048576</definedName>
    <definedName name="Shootout_Saved">Lists!$AW$2:$AW$1048576</definedName>
    <definedName name="Shot">Lists!$V$2:$V$1048576</definedName>
    <definedName name="Shot_Blocked">Lists!$BE$2:$BE$1048576</definedName>
    <definedName name="Shot_BlockedSameTeam">Lists!$BF$2:$BF$1048576</definedName>
    <definedName name="Shot_Deflected">Lists!$BG$2:$BG$1048576</definedName>
    <definedName name="Shot_DeflectedGoal">Lists!$BL$2:$BL$1048576</definedName>
    <definedName name="Shot_DeflectedOnNetSaved">Lists!$BH$2:$BH$1048576</definedName>
    <definedName name="Shot_Missed">Lists!$BD$2:$BD$1048576</definedName>
    <definedName name="Shot_MissedPost">Lists!$BW:$BW</definedName>
    <definedName name="Shot_OnNetGoal">Lists!$BJ$2:$BJ$1048576</definedName>
    <definedName name="Shot_OnNetSaved">Lists!$BC$2:$BC$1048576</definedName>
    <definedName name="Shot_TippedGoal">Lists!$BK$2:$BK$1048576</definedName>
    <definedName name="Shot_TippedOnNetSaved">Lists!$BI$2:$BI$1048576</definedName>
    <definedName name="Stoppage">Lists!$AC$2:$AC$1048576</definedName>
    <definedName name="Stoppage_Other">Lists!$AT$2:$AT$1048576</definedName>
    <definedName name="Stoppage_Period">Lists!$AS$2:$AS$1048576</definedName>
    <definedName name="Stoppage_Play">Lists!$AR$2:$AR$1048576</definedName>
    <definedName name="Turnover">Lists!$Y$2:$Y$1048576</definedName>
    <definedName name="Turnover_Giveaway">Lists!$AJ$2:$AJ$1048576</definedName>
    <definedName name="Turnover_Takeaway">Lists!$AK$2:$AK$1048576</definedName>
    <definedName name="Zone_Entry">Lists!$AL$2:$AL$1048576</definedName>
    <definedName name="Zone_Entry_Exit">Lists!$Z$2:$Z$1048576</definedName>
    <definedName name="Zone_EntryFailed">Lists!$DG:$DG</definedName>
    <definedName name="Zone_Exit">Lists!$AM$2:$AM$1048576</definedName>
    <definedName name="Zone_ExitFailed">Lists!$DH:$DH</definedName>
    <definedName name="Zone_Keepin">Lists!$AN$2:$AN$1048576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24" i="1" l="1"/>
  <c r="B2122" i="1"/>
  <c r="B2088" i="1"/>
  <c r="AP3" i="1"/>
  <c r="AP4" i="1"/>
  <c r="AP5" i="1"/>
  <c r="AP6" i="1"/>
  <c r="AP7" i="1"/>
  <c r="AP8" i="1"/>
  <c r="AP9" i="1"/>
  <c r="AQ9" i="1" s="1"/>
  <c r="AP10" i="1"/>
  <c r="AP11" i="1"/>
  <c r="AP12" i="1"/>
  <c r="AP13" i="1"/>
  <c r="AP14" i="1"/>
  <c r="AP15" i="1"/>
  <c r="AP16" i="1"/>
  <c r="AP17" i="1"/>
  <c r="AP18" i="1"/>
  <c r="AQ18" i="1" s="1"/>
  <c r="AP19" i="1"/>
  <c r="AP20" i="1"/>
  <c r="AP21" i="1"/>
  <c r="AP22" i="1"/>
  <c r="AQ6" i="1"/>
  <c r="AQ7" i="1"/>
  <c r="AQ8" i="1"/>
  <c r="AQ10" i="1"/>
  <c r="AQ11" i="1"/>
  <c r="AQ12" i="1"/>
  <c r="AQ13" i="1"/>
  <c r="AQ14" i="1"/>
  <c r="AQ15" i="1"/>
  <c r="AQ16" i="1"/>
  <c r="AQ17" i="1"/>
  <c r="AQ19" i="1"/>
  <c r="AQ20" i="1"/>
  <c r="AQ21" i="1"/>
  <c r="AQ22" i="1"/>
  <c r="Z3" i="1"/>
  <c r="AO3" i="1"/>
  <c r="AR3" i="1"/>
  <c r="AR4" i="1" s="1"/>
  <c r="AO2" i="1"/>
  <c r="AI3" i="1"/>
  <c r="AH3" i="1"/>
  <c r="C43" i="8"/>
  <c r="D43" i="8"/>
  <c r="W3" i="8"/>
  <c r="AP2" i="1"/>
  <c r="B1753" i="1"/>
  <c r="B1754" i="1" s="1"/>
  <c r="B1750" i="1"/>
  <c r="B1751" i="1" s="1"/>
  <c r="B1742" i="1"/>
  <c r="B1743" i="1" s="1"/>
  <c r="B1734" i="1"/>
  <c r="B1720" i="1"/>
  <c r="B1721" i="1" s="1"/>
  <c r="B1699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B1664" i="1"/>
  <c r="B1666" i="1" s="1"/>
  <c r="B1669" i="1" s="1"/>
  <c r="B1670" i="1" s="1"/>
  <c r="B1671" i="1" s="1"/>
  <c r="B1672" i="1" s="1"/>
  <c r="B1674" i="1" s="1"/>
  <c r="B1676" i="1" s="1"/>
  <c r="B1677" i="1" s="1"/>
  <c r="B1678" i="1" s="1"/>
  <c r="B1679" i="1" s="1"/>
  <c r="B1680" i="1" s="1"/>
  <c r="B1681" i="1" s="1"/>
  <c r="B1685" i="1" s="1"/>
  <c r="B1687" i="1" s="1"/>
  <c r="B1689" i="1" s="1"/>
  <c r="B1690" i="1" s="1"/>
  <c r="B1692" i="1" s="1"/>
  <c r="B1694" i="1" s="1"/>
  <c r="B1658" i="1"/>
  <c r="B1659" i="1" s="1"/>
  <c r="AE1657" i="1"/>
  <c r="AE1658" i="1" s="1"/>
  <c r="AE1659" i="1" s="1"/>
  <c r="A1655" i="1"/>
  <c r="A1646" i="1"/>
  <c r="A1647" i="1" s="1"/>
  <c r="A1648" i="1" s="1"/>
  <c r="A1649" i="1" s="1"/>
  <c r="A1650" i="1" s="1"/>
  <c r="A1651" i="1" s="1"/>
  <c r="AE10" i="1"/>
  <c r="AE11" i="1" s="1"/>
  <c r="AF10" i="1"/>
  <c r="AF11" i="1" s="1"/>
  <c r="AF12" i="1" s="1"/>
  <c r="AG10" i="1"/>
  <c r="AG11" i="1" s="1"/>
  <c r="AG12" i="1" s="1"/>
  <c r="AE13" i="1"/>
  <c r="AE14" i="1" s="1"/>
  <c r="AE15" i="1" s="1"/>
  <c r="AF13" i="1"/>
  <c r="AF14" i="1" s="1"/>
  <c r="AF15" i="1" s="1"/>
  <c r="AG13" i="1"/>
  <c r="AG14" i="1" s="1"/>
  <c r="AG15" i="1" s="1"/>
  <c r="AE16" i="1"/>
  <c r="AE17" i="1" s="1"/>
  <c r="AF16" i="1"/>
  <c r="AF17" i="1" s="1"/>
  <c r="AF18" i="1" s="1"/>
  <c r="AF19" i="1" s="1"/>
  <c r="AG16" i="1"/>
  <c r="AG17" i="1" s="1"/>
  <c r="AG18" i="1" s="1"/>
  <c r="AG19" i="1" s="1"/>
  <c r="AE20" i="1"/>
  <c r="AE21" i="1" s="1"/>
  <c r="AF20" i="1"/>
  <c r="AG20" i="1"/>
  <c r="AG21" i="1" s="1"/>
  <c r="AG22" i="1" s="1"/>
  <c r="AG23" i="1" s="1"/>
  <c r="AE24" i="1"/>
  <c r="AF24" i="1"/>
  <c r="AG24" i="1"/>
  <c r="AE25" i="1"/>
  <c r="AF25" i="1"/>
  <c r="AG25" i="1"/>
  <c r="AE26" i="1"/>
  <c r="AE27" i="1" s="1"/>
  <c r="AF26" i="1"/>
  <c r="AF27" i="1" s="1"/>
  <c r="AG26" i="1"/>
  <c r="AG27" i="1" s="1"/>
  <c r="AE28" i="1"/>
  <c r="AF28" i="1"/>
  <c r="AF29" i="1" s="1"/>
  <c r="AF30" i="1" s="1"/>
  <c r="AG28" i="1"/>
  <c r="AG29" i="1" s="1"/>
  <c r="AG30" i="1" s="1"/>
  <c r="AE31" i="1"/>
  <c r="AF31" i="1"/>
  <c r="AF32" i="1" s="1"/>
  <c r="AG31" i="1"/>
  <c r="AG32" i="1" s="1"/>
  <c r="AE33" i="1"/>
  <c r="AF33" i="1"/>
  <c r="AF34" i="1" s="1"/>
  <c r="AF35" i="1" s="1"/>
  <c r="AG33" i="1"/>
  <c r="AG34" i="1" s="1"/>
  <c r="AG35" i="1" s="1"/>
  <c r="AE36" i="1"/>
  <c r="AE37" i="1" s="1"/>
  <c r="AF36" i="1"/>
  <c r="AG36" i="1"/>
  <c r="AG37" i="1" s="1"/>
  <c r="AE38" i="1"/>
  <c r="AE39" i="1" s="1"/>
  <c r="AE40" i="1" s="1"/>
  <c r="AE41" i="1" s="1"/>
  <c r="AF38" i="1"/>
  <c r="AG38" i="1"/>
  <c r="AG39" i="1" s="1"/>
  <c r="AG40" i="1" s="1"/>
  <c r="AG41" i="1" s="1"/>
  <c r="AG42" i="1" s="1"/>
  <c r="AE43" i="1"/>
  <c r="AE44" i="1" s="1"/>
  <c r="AF43" i="1"/>
  <c r="AF44" i="1" s="1"/>
  <c r="AF45" i="1" s="1"/>
  <c r="AF46" i="1" s="1"/>
  <c r="AF47" i="1" s="1"/>
  <c r="AG43" i="1"/>
  <c r="AG44" i="1" s="1"/>
  <c r="AG45" i="1" s="1"/>
  <c r="AG46" i="1" s="1"/>
  <c r="AG47" i="1" s="1"/>
  <c r="AE48" i="1"/>
  <c r="AF48" i="1"/>
  <c r="AG48" i="1"/>
  <c r="AE49" i="1"/>
  <c r="AE50" i="1" s="1"/>
  <c r="AF49" i="1"/>
  <c r="AF50" i="1" s="1"/>
  <c r="AG49" i="1"/>
  <c r="AG50" i="1" s="1"/>
  <c r="AE51" i="1"/>
  <c r="AF51" i="1"/>
  <c r="AF52" i="1" s="1"/>
  <c r="AG51" i="1"/>
  <c r="AG52" i="1" s="1"/>
  <c r="AE53" i="1"/>
  <c r="AF53" i="1"/>
  <c r="AG53" i="1"/>
  <c r="AE54" i="1"/>
  <c r="AE55" i="1" s="1"/>
  <c r="AE56" i="1" s="1"/>
  <c r="AF54" i="1"/>
  <c r="AF55" i="1" s="1"/>
  <c r="AG54" i="1"/>
  <c r="AG55" i="1" s="1"/>
  <c r="AG56" i="1" s="1"/>
  <c r="AE57" i="1"/>
  <c r="AF57" i="1"/>
  <c r="AF58" i="1" s="1"/>
  <c r="AF59" i="1" s="1"/>
  <c r="AG57" i="1"/>
  <c r="AG58" i="1" s="1"/>
  <c r="AG59" i="1" s="1"/>
  <c r="AE60" i="1"/>
  <c r="AF60" i="1"/>
  <c r="AF61" i="1" s="1"/>
  <c r="AF62" i="1" s="1"/>
  <c r="AG60" i="1"/>
  <c r="AG61" i="1" s="1"/>
  <c r="AG62" i="1" s="1"/>
  <c r="AE63" i="1"/>
  <c r="AF63" i="1"/>
  <c r="AG63" i="1"/>
  <c r="AE64" i="1"/>
  <c r="AE65" i="1" s="1"/>
  <c r="AF64" i="1"/>
  <c r="AF65" i="1" s="1"/>
  <c r="AG64" i="1"/>
  <c r="AG65" i="1" s="1"/>
  <c r="AE66" i="1"/>
  <c r="AE67" i="1" s="1"/>
  <c r="AF66" i="1"/>
  <c r="AG66" i="1"/>
  <c r="AG67" i="1" s="1"/>
  <c r="AE68" i="1"/>
  <c r="AF68" i="1"/>
  <c r="AF69" i="1" s="1"/>
  <c r="AG68" i="1"/>
  <c r="AG69" i="1" s="1"/>
  <c r="AE70" i="1"/>
  <c r="AE71" i="1" s="1"/>
  <c r="AF70" i="1"/>
  <c r="AF71" i="1" s="1"/>
  <c r="AG70" i="1"/>
  <c r="AG71" i="1" s="1"/>
  <c r="AE72" i="1"/>
  <c r="AF72" i="1"/>
  <c r="AG72" i="1"/>
  <c r="AE73" i="1"/>
  <c r="AF73" i="1"/>
  <c r="AF74" i="1" s="1"/>
  <c r="AG73" i="1"/>
  <c r="AG74" i="1" s="1"/>
  <c r="AE75" i="1"/>
  <c r="AF75" i="1"/>
  <c r="AF76" i="1" s="1"/>
  <c r="AG75" i="1"/>
  <c r="AG76" i="1" s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F82" i="1" s="1"/>
  <c r="AG81" i="1"/>
  <c r="AG82" i="1" s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E89" i="1" s="1"/>
  <c r="AF88" i="1"/>
  <c r="AF89" i="1" s="1"/>
  <c r="AG88" i="1"/>
  <c r="AG89" i="1" s="1"/>
  <c r="AE90" i="1"/>
  <c r="AE91" i="1" s="1"/>
  <c r="AF90" i="1"/>
  <c r="AF91" i="1" s="1"/>
  <c r="AG90" i="1"/>
  <c r="AG91" i="1" s="1"/>
  <c r="AE92" i="1"/>
  <c r="AE93" i="1" s="1"/>
  <c r="AF92" i="1"/>
  <c r="AF93" i="1" s="1"/>
  <c r="AG92" i="1"/>
  <c r="AG93" i="1" s="1"/>
  <c r="AE94" i="1"/>
  <c r="AF94" i="1"/>
  <c r="AG94" i="1"/>
  <c r="AE95" i="1"/>
  <c r="AE96" i="1" s="1"/>
  <c r="AF95" i="1"/>
  <c r="AF96" i="1" s="1"/>
  <c r="AF97" i="1" s="1"/>
  <c r="AF98" i="1" s="1"/>
  <c r="AG95" i="1"/>
  <c r="AG96" i="1" s="1"/>
  <c r="AG97" i="1" s="1"/>
  <c r="AG98" i="1" s="1"/>
  <c r="AE99" i="1"/>
  <c r="AE100" i="1" s="1"/>
  <c r="AF99" i="1"/>
  <c r="AG99" i="1"/>
  <c r="AG100" i="1" s="1"/>
  <c r="AE101" i="1"/>
  <c r="AF101" i="1"/>
  <c r="AG101" i="1"/>
  <c r="AE102" i="1"/>
  <c r="AE103" i="1" s="1"/>
  <c r="AE104" i="1" s="1"/>
  <c r="AE105" i="1" s="1"/>
  <c r="AF102" i="1"/>
  <c r="AF103" i="1" s="1"/>
  <c r="AF104" i="1" s="1"/>
  <c r="AF105" i="1" s="1"/>
  <c r="AG102" i="1"/>
  <c r="AG103" i="1" s="1"/>
  <c r="AG104" i="1" s="1"/>
  <c r="AG105" i="1" s="1"/>
  <c r="AE106" i="1"/>
  <c r="AE107" i="1" s="1"/>
  <c r="AF106" i="1"/>
  <c r="AF107" i="1" s="1"/>
  <c r="AF108" i="1" s="1"/>
  <c r="AF109" i="1" s="1"/>
  <c r="AG106" i="1"/>
  <c r="AG107" i="1" s="1"/>
  <c r="AG108" i="1" s="1"/>
  <c r="AG109" i="1" s="1"/>
  <c r="AE110" i="1"/>
  <c r="AF110" i="1"/>
  <c r="AG110" i="1"/>
  <c r="AE111" i="1"/>
  <c r="AF111" i="1"/>
  <c r="AG111" i="1"/>
  <c r="AE112" i="1"/>
  <c r="AF112" i="1"/>
  <c r="AG112" i="1"/>
  <c r="AE113" i="1"/>
  <c r="AF113" i="1"/>
  <c r="AF114" i="1" s="1"/>
  <c r="AF115" i="1" s="1"/>
  <c r="AG113" i="1"/>
  <c r="AG114" i="1" s="1"/>
  <c r="AG115" i="1" s="1"/>
  <c r="AE116" i="1"/>
  <c r="AF116" i="1"/>
  <c r="AF117" i="1" s="1"/>
  <c r="AG116" i="1"/>
  <c r="AG117" i="1" s="1"/>
  <c r="AE118" i="1"/>
  <c r="AE119" i="1" s="1"/>
  <c r="AF118" i="1"/>
  <c r="AF119" i="1" s="1"/>
  <c r="AG118" i="1"/>
  <c r="AG119" i="1" s="1"/>
  <c r="AE120" i="1"/>
  <c r="AF120" i="1"/>
  <c r="AG120" i="1"/>
  <c r="AE121" i="1"/>
  <c r="AE122" i="1" s="1"/>
  <c r="AE123" i="1" s="1"/>
  <c r="AF121" i="1"/>
  <c r="AF122" i="1" s="1"/>
  <c r="AF123" i="1" s="1"/>
  <c r="AG121" i="1"/>
  <c r="AG122" i="1" s="1"/>
  <c r="AG123" i="1" s="1"/>
  <c r="AE124" i="1"/>
  <c r="AE125" i="1" s="1"/>
  <c r="AF124" i="1"/>
  <c r="AF125" i="1" s="1"/>
  <c r="AF126" i="1" s="1"/>
  <c r="AG124" i="1"/>
  <c r="AG125" i="1" s="1"/>
  <c r="AG126" i="1" s="1"/>
  <c r="AE127" i="1"/>
  <c r="AE128" i="1" s="1"/>
  <c r="AF127" i="1"/>
  <c r="AF128" i="1" s="1"/>
  <c r="AG127" i="1"/>
  <c r="AG128" i="1" s="1"/>
  <c r="AE129" i="1"/>
  <c r="AF129" i="1"/>
  <c r="AG129" i="1"/>
  <c r="AE130" i="1"/>
  <c r="AE131" i="1" s="1"/>
  <c r="AF130" i="1"/>
  <c r="AF131" i="1" s="1"/>
  <c r="AG130" i="1"/>
  <c r="AG131" i="1" s="1"/>
  <c r="AE132" i="1"/>
  <c r="AE133" i="1" s="1"/>
  <c r="AF132" i="1"/>
  <c r="AF133" i="1" s="1"/>
  <c r="AF134" i="1" s="1"/>
  <c r="AG132" i="1"/>
  <c r="AG133" i="1" s="1"/>
  <c r="AG134" i="1" s="1"/>
  <c r="AE135" i="1"/>
  <c r="AE136" i="1" s="1"/>
  <c r="AF135" i="1"/>
  <c r="AG135" i="1"/>
  <c r="AG136" i="1" s="1"/>
  <c r="AG137" i="1" s="1"/>
  <c r="AE138" i="1"/>
  <c r="AF138" i="1"/>
  <c r="AG138" i="1"/>
  <c r="AE139" i="1"/>
  <c r="AF139" i="1"/>
  <c r="AG139" i="1"/>
  <c r="AE140" i="1"/>
  <c r="AE141" i="1" s="1"/>
  <c r="AF140" i="1"/>
  <c r="AF141" i="1" s="1"/>
  <c r="AF142" i="1" s="1"/>
  <c r="AG140" i="1"/>
  <c r="AG141" i="1" s="1"/>
  <c r="AG142" i="1" s="1"/>
  <c r="AE143" i="1"/>
  <c r="AF143" i="1"/>
  <c r="AF144" i="1" s="1"/>
  <c r="AG143" i="1"/>
  <c r="AG144" i="1" s="1"/>
  <c r="AE145" i="1"/>
  <c r="AE146" i="1" s="1"/>
  <c r="AF145" i="1"/>
  <c r="AF146" i="1" s="1"/>
  <c r="AG145" i="1"/>
  <c r="AG146" i="1" s="1"/>
  <c r="AE147" i="1"/>
  <c r="AF147" i="1"/>
  <c r="AG147" i="1"/>
  <c r="AE148" i="1"/>
  <c r="AE149" i="1" s="1"/>
  <c r="AF148" i="1"/>
  <c r="AF149" i="1" s="1"/>
  <c r="AG148" i="1"/>
  <c r="AG149" i="1" s="1"/>
  <c r="AE150" i="1"/>
  <c r="AF150" i="1"/>
  <c r="AF151" i="1" s="1"/>
  <c r="AG150" i="1"/>
  <c r="AG151" i="1" s="1"/>
  <c r="AE152" i="1"/>
  <c r="AF152" i="1"/>
  <c r="AG152" i="1"/>
  <c r="AE153" i="1"/>
  <c r="AE154" i="1" s="1"/>
  <c r="AF153" i="1"/>
  <c r="AF154" i="1" s="1"/>
  <c r="AF155" i="1" s="1"/>
  <c r="AG153" i="1"/>
  <c r="AG154" i="1" s="1"/>
  <c r="AG155" i="1" s="1"/>
  <c r="AE156" i="1"/>
  <c r="AE157" i="1" s="1"/>
  <c r="AF156" i="1"/>
  <c r="AF157" i="1" s="1"/>
  <c r="AG156" i="1"/>
  <c r="AG157" i="1" s="1"/>
  <c r="AE158" i="1"/>
  <c r="AE159" i="1" s="1"/>
  <c r="AF158" i="1"/>
  <c r="AF159" i="1" s="1"/>
  <c r="AG158" i="1"/>
  <c r="AG159" i="1" s="1"/>
  <c r="AE160" i="1"/>
  <c r="AE161" i="1" s="1"/>
  <c r="AF160" i="1"/>
  <c r="AF161" i="1" s="1"/>
  <c r="AG160" i="1"/>
  <c r="AG161" i="1" s="1"/>
  <c r="AE162" i="1"/>
  <c r="AF162" i="1"/>
  <c r="AG162" i="1"/>
  <c r="AE163" i="1"/>
  <c r="AF163" i="1"/>
  <c r="AG163" i="1"/>
  <c r="AE164" i="1"/>
  <c r="AE165" i="1" s="1"/>
  <c r="AF164" i="1"/>
  <c r="AF165" i="1" s="1"/>
  <c r="AG164" i="1"/>
  <c r="AG165" i="1" s="1"/>
  <c r="AE166" i="1"/>
  <c r="AE167" i="1" s="1"/>
  <c r="AF166" i="1"/>
  <c r="AF167" i="1" s="1"/>
  <c r="AF168" i="1" s="1"/>
  <c r="AG166" i="1"/>
  <c r="AG167" i="1" s="1"/>
  <c r="AG168" i="1" s="1"/>
  <c r="AE169" i="1"/>
  <c r="AF169" i="1"/>
  <c r="AF170" i="1" s="1"/>
  <c r="AF171" i="1" s="1"/>
  <c r="AG169" i="1"/>
  <c r="AG170" i="1" s="1"/>
  <c r="AG171" i="1" s="1"/>
  <c r="AE172" i="1"/>
  <c r="AE173" i="1" s="1"/>
  <c r="AF172" i="1"/>
  <c r="AF173" i="1" s="1"/>
  <c r="AG172" i="1"/>
  <c r="AG173" i="1" s="1"/>
  <c r="AE174" i="1"/>
  <c r="AF174" i="1"/>
  <c r="AF175" i="1" s="1"/>
  <c r="AG174" i="1"/>
  <c r="AG175" i="1" s="1"/>
  <c r="AE176" i="1"/>
  <c r="AF176" i="1"/>
  <c r="AG176" i="1"/>
  <c r="AE177" i="1"/>
  <c r="AE178" i="1" s="1"/>
  <c r="AF177" i="1"/>
  <c r="AF178" i="1" s="1"/>
  <c r="AG177" i="1"/>
  <c r="AG178" i="1" s="1"/>
  <c r="AE179" i="1"/>
  <c r="AE180" i="1" s="1"/>
  <c r="AF179" i="1"/>
  <c r="AF180" i="1" s="1"/>
  <c r="AG179" i="1"/>
  <c r="AG180" i="1" s="1"/>
  <c r="AE181" i="1"/>
  <c r="AE182" i="1" s="1"/>
  <c r="AF181" i="1"/>
  <c r="AF182" i="1" s="1"/>
  <c r="AG181" i="1"/>
  <c r="AG182" i="1" s="1"/>
  <c r="AE183" i="1"/>
  <c r="AF183" i="1"/>
  <c r="AG183" i="1"/>
  <c r="AE184" i="1"/>
  <c r="AF184" i="1"/>
  <c r="AF185" i="1" s="1"/>
  <c r="AG184" i="1"/>
  <c r="AG185" i="1" s="1"/>
  <c r="AE186" i="1"/>
  <c r="AE187" i="1" s="1"/>
  <c r="AF186" i="1"/>
  <c r="AF187" i="1" s="1"/>
  <c r="AG186" i="1"/>
  <c r="AG187" i="1" s="1"/>
  <c r="AE188" i="1"/>
  <c r="AF188" i="1"/>
  <c r="AG188" i="1"/>
  <c r="AE189" i="1"/>
  <c r="AE190" i="1" s="1"/>
  <c r="AF189" i="1"/>
  <c r="AF190" i="1" s="1"/>
  <c r="AG189" i="1"/>
  <c r="AG190" i="1" s="1"/>
  <c r="AE191" i="1"/>
  <c r="AE192" i="1" s="1"/>
  <c r="AF191" i="1"/>
  <c r="AF192" i="1" s="1"/>
  <c r="AG191" i="1"/>
  <c r="AG192" i="1" s="1"/>
  <c r="AE193" i="1"/>
  <c r="AF193" i="1"/>
  <c r="AG193" i="1"/>
  <c r="AE194" i="1"/>
  <c r="AE195" i="1" s="1"/>
  <c r="AF194" i="1"/>
  <c r="AF195" i="1" s="1"/>
  <c r="AG194" i="1"/>
  <c r="AG195" i="1" s="1"/>
  <c r="AE196" i="1"/>
  <c r="AE197" i="1" s="1"/>
  <c r="AF196" i="1"/>
  <c r="AF197" i="1" s="1"/>
  <c r="AF198" i="1" s="1"/>
  <c r="AG196" i="1"/>
  <c r="AG197" i="1" s="1"/>
  <c r="AG198" i="1" s="1"/>
  <c r="AE199" i="1"/>
  <c r="AF199" i="1"/>
  <c r="AF200" i="1" s="1"/>
  <c r="AF201" i="1" s="1"/>
  <c r="AG199" i="1"/>
  <c r="AG200" i="1" s="1"/>
  <c r="AG201" i="1" s="1"/>
  <c r="AE202" i="1"/>
  <c r="AF202" i="1"/>
  <c r="AG202" i="1"/>
  <c r="AE203" i="1"/>
  <c r="AE204" i="1" s="1"/>
  <c r="AF203" i="1"/>
  <c r="AF204" i="1" s="1"/>
  <c r="AG203" i="1"/>
  <c r="AG204" i="1" s="1"/>
  <c r="AE205" i="1"/>
  <c r="AF205" i="1"/>
  <c r="AF206" i="1" s="1"/>
  <c r="AG205" i="1"/>
  <c r="AG206" i="1" s="1"/>
  <c r="AE207" i="1"/>
  <c r="AF207" i="1"/>
  <c r="AG207" i="1"/>
  <c r="AE208" i="1"/>
  <c r="AE209" i="1" s="1"/>
  <c r="AE210" i="1" s="1"/>
  <c r="AF208" i="1"/>
  <c r="AF209" i="1" s="1"/>
  <c r="AF210" i="1" s="1"/>
  <c r="AG208" i="1"/>
  <c r="AG209" i="1" s="1"/>
  <c r="AG210" i="1" s="1"/>
  <c r="AE211" i="1"/>
  <c r="AF211" i="1"/>
  <c r="AG211" i="1"/>
  <c r="AE212" i="1"/>
  <c r="AF212" i="1"/>
  <c r="AG212" i="1"/>
  <c r="AE213" i="1"/>
  <c r="AE214" i="1" s="1"/>
  <c r="AF213" i="1"/>
  <c r="AF214" i="1" s="1"/>
  <c r="AG213" i="1"/>
  <c r="AG214" i="1" s="1"/>
  <c r="AE215" i="1"/>
  <c r="AF215" i="1"/>
  <c r="AG215" i="1"/>
  <c r="AE216" i="1"/>
  <c r="AE217" i="1" s="1"/>
  <c r="AF216" i="1"/>
  <c r="AF217" i="1" s="1"/>
  <c r="AG216" i="1"/>
  <c r="AG217" i="1" s="1"/>
  <c r="AE218" i="1"/>
  <c r="AF218" i="1"/>
  <c r="AF219" i="1" s="1"/>
  <c r="AG218" i="1"/>
  <c r="AG219" i="1" s="1"/>
  <c r="AE220" i="1"/>
  <c r="AF220" i="1"/>
  <c r="AG220" i="1"/>
  <c r="AE221" i="1"/>
  <c r="AF221" i="1"/>
  <c r="AG221" i="1"/>
  <c r="AE222" i="1"/>
  <c r="AE223" i="1" s="1"/>
  <c r="AF222" i="1"/>
  <c r="AF223" i="1" s="1"/>
  <c r="AG222" i="1"/>
  <c r="AG223" i="1" s="1"/>
  <c r="AE224" i="1"/>
  <c r="AE225" i="1" s="1"/>
  <c r="AF224" i="1"/>
  <c r="AF225" i="1" s="1"/>
  <c r="AG224" i="1"/>
  <c r="AG225" i="1" s="1"/>
  <c r="AE226" i="1"/>
  <c r="AE227" i="1" s="1"/>
  <c r="AF226" i="1"/>
  <c r="AF227" i="1" s="1"/>
  <c r="AG226" i="1"/>
  <c r="AG227" i="1" s="1"/>
  <c r="AE228" i="1"/>
  <c r="AF228" i="1"/>
  <c r="AG228" i="1"/>
  <c r="AE229" i="1"/>
  <c r="AF229" i="1"/>
  <c r="AG229" i="1"/>
  <c r="AE230" i="1"/>
  <c r="AF230" i="1"/>
  <c r="AG230" i="1"/>
  <c r="AE231" i="1"/>
  <c r="AF231" i="1"/>
  <c r="AF232" i="1" s="1"/>
  <c r="AF233" i="1" s="1"/>
  <c r="AF234" i="1" s="1"/>
  <c r="AG231" i="1"/>
  <c r="AG232" i="1" s="1"/>
  <c r="AG233" i="1" s="1"/>
  <c r="AG234" i="1" s="1"/>
  <c r="AE235" i="1"/>
  <c r="AF235" i="1"/>
  <c r="AF236" i="1" s="1"/>
  <c r="AF237" i="1" s="1"/>
  <c r="AG235" i="1"/>
  <c r="AG236" i="1" s="1"/>
  <c r="AG237" i="1" s="1"/>
  <c r="AE238" i="1"/>
  <c r="AE239" i="1" s="1"/>
  <c r="AF238" i="1"/>
  <c r="AF239" i="1" s="1"/>
  <c r="AF240" i="1" s="1"/>
  <c r="AG238" i="1"/>
  <c r="AG239" i="1" s="1"/>
  <c r="AG240" i="1" s="1"/>
  <c r="AE241" i="1"/>
  <c r="AF241" i="1"/>
  <c r="AG241" i="1"/>
  <c r="AE242" i="1"/>
  <c r="AF242" i="1"/>
  <c r="AF243" i="1" s="1"/>
  <c r="AG242" i="1"/>
  <c r="AG243" i="1" s="1"/>
  <c r="AE244" i="1"/>
  <c r="AF244" i="1"/>
  <c r="AF245" i="1" s="1"/>
  <c r="AG244" i="1"/>
  <c r="AG245" i="1" s="1"/>
  <c r="AE246" i="1"/>
  <c r="AF246" i="1"/>
  <c r="AG246" i="1"/>
  <c r="AE247" i="1"/>
  <c r="AF247" i="1"/>
  <c r="AG247" i="1"/>
  <c r="AE248" i="1"/>
  <c r="AF248" i="1"/>
  <c r="AF249" i="1" s="1"/>
  <c r="AG248" i="1"/>
  <c r="AG249" i="1"/>
  <c r="AE250" i="1"/>
  <c r="AF250" i="1"/>
  <c r="AF251" i="1" s="1"/>
  <c r="AG250" i="1"/>
  <c r="AG251" i="1" s="1"/>
  <c r="AE252" i="1"/>
  <c r="AF252" i="1"/>
  <c r="AF253" i="1" s="1"/>
  <c r="AG252" i="1"/>
  <c r="AG253" i="1" s="1"/>
  <c r="AE254" i="1"/>
  <c r="AE255" i="1" s="1"/>
  <c r="AF254" i="1"/>
  <c r="AG254" i="1"/>
  <c r="AG255" i="1" s="1"/>
  <c r="AE256" i="1"/>
  <c r="AF256" i="1"/>
  <c r="AG256" i="1"/>
  <c r="AE257" i="1"/>
  <c r="AF257" i="1"/>
  <c r="AF258" i="1" s="1"/>
  <c r="AG257" i="1"/>
  <c r="AG258" i="1" s="1"/>
  <c r="AE259" i="1"/>
  <c r="AF259" i="1"/>
  <c r="AF260" i="1" s="1"/>
  <c r="AF261" i="1" s="1"/>
  <c r="AG259" i="1"/>
  <c r="AG260" i="1" s="1"/>
  <c r="AG261" i="1" s="1"/>
  <c r="AE262" i="1"/>
  <c r="AE263" i="1" s="1"/>
  <c r="AF262" i="1"/>
  <c r="AF263" i="1" s="1"/>
  <c r="AF264" i="1" s="1"/>
  <c r="AG262" i="1"/>
  <c r="AG263" i="1" s="1"/>
  <c r="AG264" i="1" s="1"/>
  <c r="AE265" i="1"/>
  <c r="AF265" i="1"/>
  <c r="AG265" i="1"/>
  <c r="AE266" i="1"/>
  <c r="AE267" i="1" s="1"/>
  <c r="AF266" i="1"/>
  <c r="AF267" i="1" s="1"/>
  <c r="AG266" i="1"/>
  <c r="AG267" i="1" s="1"/>
  <c r="AE268" i="1"/>
  <c r="AE269" i="1" s="1"/>
  <c r="AF268" i="1"/>
  <c r="AF269" i="1" s="1"/>
  <c r="AG268" i="1"/>
  <c r="AG269" i="1" s="1"/>
  <c r="AE270" i="1"/>
  <c r="AF270" i="1"/>
  <c r="AG270" i="1"/>
  <c r="AE271" i="1"/>
  <c r="AE272" i="1" s="1"/>
  <c r="AE273" i="1" s="1"/>
  <c r="AF271" i="1"/>
  <c r="AF272" i="1" s="1"/>
  <c r="AF273" i="1" s="1"/>
  <c r="AG271" i="1"/>
  <c r="AG272" i="1" s="1"/>
  <c r="AG273" i="1" s="1"/>
  <c r="AE274" i="1"/>
  <c r="AF274" i="1"/>
  <c r="AF275" i="1" s="1"/>
  <c r="AF276" i="1" s="1"/>
  <c r="AG274" i="1"/>
  <c r="AG275" i="1" s="1"/>
  <c r="AG276" i="1" s="1"/>
  <c r="AE277" i="1"/>
  <c r="AF277" i="1"/>
  <c r="AG277" i="1"/>
  <c r="AE278" i="1"/>
  <c r="AF278" i="1"/>
  <c r="AF279" i="1" s="1"/>
  <c r="AG278" i="1"/>
  <c r="AG279" i="1" s="1"/>
  <c r="AE280" i="1"/>
  <c r="AF280" i="1"/>
  <c r="AG280" i="1"/>
  <c r="AE281" i="1"/>
  <c r="AE282" i="1" s="1"/>
  <c r="AF281" i="1"/>
  <c r="AF282" i="1" s="1"/>
  <c r="AF283" i="1" s="1"/>
  <c r="AG281" i="1"/>
  <c r="AG282" i="1" s="1"/>
  <c r="AG283" i="1" s="1"/>
  <c r="AE284" i="1"/>
  <c r="AE285" i="1" s="1"/>
  <c r="AE286" i="1" s="1"/>
  <c r="AF284" i="1"/>
  <c r="AG284" i="1"/>
  <c r="AG285" i="1" s="1"/>
  <c r="AG286" i="1" s="1"/>
  <c r="AE287" i="1"/>
  <c r="AF287" i="1"/>
  <c r="AG287" i="1"/>
  <c r="AE288" i="1"/>
  <c r="AF288" i="1"/>
  <c r="AG288" i="1"/>
  <c r="AE289" i="1"/>
  <c r="AF289" i="1"/>
  <c r="AG289" i="1"/>
  <c r="AE290" i="1"/>
  <c r="AF290" i="1"/>
  <c r="AG290" i="1"/>
  <c r="AE291" i="1"/>
  <c r="AF291" i="1"/>
  <c r="AG291" i="1"/>
  <c r="AE292" i="1"/>
  <c r="AF292" i="1"/>
  <c r="AG292" i="1"/>
  <c r="AE293" i="1"/>
  <c r="AF293" i="1"/>
  <c r="AG293" i="1"/>
  <c r="AE294" i="1"/>
  <c r="AE295" i="1" s="1"/>
  <c r="AF294" i="1"/>
  <c r="AF295" i="1" s="1"/>
  <c r="AF296" i="1" s="1"/>
  <c r="AG294" i="1"/>
  <c r="AG295" i="1" s="1"/>
  <c r="AG296" i="1" s="1"/>
  <c r="AE297" i="1"/>
  <c r="AF297" i="1"/>
  <c r="AF298" i="1" s="1"/>
  <c r="AF299" i="1" s="1"/>
  <c r="AG297" i="1"/>
  <c r="AG298" i="1" s="1"/>
  <c r="AG299" i="1" s="1"/>
  <c r="AE300" i="1"/>
  <c r="AE301" i="1" s="1"/>
  <c r="AE302" i="1" s="1"/>
  <c r="AF300" i="1"/>
  <c r="AF301" i="1" s="1"/>
  <c r="AF302" i="1" s="1"/>
  <c r="AG300" i="1"/>
  <c r="AG301" i="1" s="1"/>
  <c r="AG302" i="1" s="1"/>
  <c r="AE303" i="1"/>
  <c r="AF303" i="1"/>
  <c r="AG303" i="1"/>
  <c r="AE304" i="1"/>
  <c r="AE305" i="1" s="1"/>
  <c r="AF304" i="1"/>
  <c r="AF305" i="1" s="1"/>
  <c r="AG304" i="1"/>
  <c r="AG305" i="1" s="1"/>
  <c r="AE306" i="1"/>
  <c r="AF306" i="1"/>
  <c r="AG306" i="1"/>
  <c r="AE307" i="1"/>
  <c r="AE308" i="1" s="1"/>
  <c r="AF307" i="1"/>
  <c r="AF308" i="1" s="1"/>
  <c r="AG307" i="1"/>
  <c r="AG308" i="1" s="1"/>
  <c r="AE309" i="1"/>
  <c r="AE310" i="1" s="1"/>
  <c r="AF309" i="1"/>
  <c r="AF310" i="1" s="1"/>
  <c r="AG309" i="1"/>
  <c r="AG310" i="1" s="1"/>
  <c r="AE311" i="1"/>
  <c r="AF311" i="1"/>
  <c r="AG311" i="1"/>
  <c r="AE312" i="1"/>
  <c r="AF312" i="1"/>
  <c r="AF313" i="1" s="1"/>
  <c r="AF314" i="1" s="1"/>
  <c r="AF315" i="1" s="1"/>
  <c r="AG312" i="1"/>
  <c r="AG313" i="1" s="1"/>
  <c r="AG314" i="1" s="1"/>
  <c r="AG315" i="1" s="1"/>
  <c r="AE316" i="1"/>
  <c r="AF316" i="1"/>
  <c r="AF317" i="1" s="1"/>
  <c r="AG316" i="1"/>
  <c r="AG317" i="1" s="1"/>
  <c r="AE318" i="1"/>
  <c r="AE319" i="1" s="1"/>
  <c r="AF318" i="1"/>
  <c r="AF319" i="1" s="1"/>
  <c r="AG318" i="1"/>
  <c r="AG319" i="1" s="1"/>
  <c r="AE320" i="1"/>
  <c r="AF320" i="1"/>
  <c r="AG320" i="1"/>
  <c r="AE321" i="1"/>
  <c r="AF321" i="1"/>
  <c r="AG321" i="1"/>
  <c r="AE322" i="1"/>
  <c r="AE323" i="1" s="1"/>
  <c r="AE324" i="1" s="1"/>
  <c r="AF322" i="1"/>
  <c r="AF323" i="1" s="1"/>
  <c r="AF324" i="1" s="1"/>
  <c r="AG322" i="1"/>
  <c r="AG323" i="1" s="1"/>
  <c r="AG324" i="1" s="1"/>
  <c r="AE325" i="1"/>
  <c r="AF325" i="1"/>
  <c r="AG325" i="1"/>
  <c r="AE326" i="1"/>
  <c r="AF326" i="1"/>
  <c r="AG326" i="1"/>
  <c r="AE327" i="1"/>
  <c r="AE328" i="1" s="1"/>
  <c r="AF327" i="1"/>
  <c r="AF328" i="1" s="1"/>
  <c r="AG327" i="1"/>
  <c r="AG328" i="1" s="1"/>
  <c r="AE329" i="1"/>
  <c r="AF329" i="1"/>
  <c r="AF330" i="1" s="1"/>
  <c r="AG329" i="1"/>
  <c r="AG330" i="1" s="1"/>
  <c r="AE331" i="1"/>
  <c r="AF331" i="1"/>
  <c r="AF332" i="1" s="1"/>
  <c r="AG331" i="1"/>
  <c r="AG332" i="1" s="1"/>
  <c r="AE333" i="1"/>
  <c r="AF333" i="1"/>
  <c r="AF334" i="1" s="1"/>
  <c r="AG333" i="1"/>
  <c r="AG334" i="1" s="1"/>
  <c r="AE335" i="1"/>
  <c r="AF335" i="1"/>
  <c r="AG335" i="1"/>
  <c r="AE336" i="1"/>
  <c r="AF336" i="1"/>
  <c r="AG336" i="1"/>
  <c r="AE337" i="1"/>
  <c r="AF337" i="1"/>
  <c r="AF338" i="1" s="1"/>
  <c r="AF339" i="1" s="1"/>
  <c r="AG337" i="1"/>
  <c r="AG338" i="1" s="1"/>
  <c r="AG339" i="1" s="1"/>
  <c r="AE340" i="1"/>
  <c r="AF340" i="1"/>
  <c r="AG340" i="1"/>
  <c r="AE341" i="1"/>
  <c r="AF341" i="1"/>
  <c r="AG341" i="1"/>
  <c r="AE342" i="1"/>
  <c r="AF342" i="1"/>
  <c r="AG342" i="1"/>
  <c r="AE343" i="1"/>
  <c r="AE344" i="1" s="1"/>
  <c r="AF343" i="1"/>
  <c r="AF344" i="1" s="1"/>
  <c r="AG343" i="1"/>
  <c r="AG344" i="1" s="1"/>
  <c r="AE345" i="1"/>
  <c r="AF345" i="1"/>
  <c r="AF346" i="1" s="1"/>
  <c r="AG345" i="1"/>
  <c r="AG346" i="1" s="1"/>
  <c r="AE347" i="1"/>
  <c r="AE348" i="1" s="1"/>
  <c r="AE349" i="1" s="1"/>
  <c r="AE350" i="1" s="1"/>
  <c r="AF347" i="1"/>
  <c r="AF348" i="1" s="1"/>
  <c r="AF349" i="1" s="1"/>
  <c r="AF350" i="1" s="1"/>
  <c r="AF351" i="1" s="1"/>
  <c r="AG347" i="1"/>
  <c r="AG348" i="1" s="1"/>
  <c r="AG349" i="1" s="1"/>
  <c r="AG350" i="1" s="1"/>
  <c r="AG351" i="1" s="1"/>
  <c r="AE352" i="1"/>
  <c r="AE353" i="1" s="1"/>
  <c r="AF352" i="1"/>
  <c r="AF353" i="1" s="1"/>
  <c r="AF354" i="1" s="1"/>
  <c r="AG352" i="1"/>
  <c r="AG353" i="1" s="1"/>
  <c r="AG354" i="1" s="1"/>
  <c r="AE355" i="1"/>
  <c r="AE356" i="1" s="1"/>
  <c r="AF355" i="1"/>
  <c r="AG355" i="1"/>
  <c r="AG356" i="1" s="1"/>
  <c r="AF356" i="1"/>
  <c r="AE357" i="1"/>
  <c r="AF357" i="1"/>
  <c r="AG357" i="1"/>
  <c r="AE358" i="1"/>
  <c r="AF358" i="1"/>
  <c r="AF359" i="1" s="1"/>
  <c r="AG358" i="1"/>
  <c r="AG359" i="1" s="1"/>
  <c r="AE360" i="1"/>
  <c r="AE361" i="1" s="1"/>
  <c r="AF360" i="1"/>
  <c r="AF361" i="1" s="1"/>
  <c r="AG360" i="1"/>
  <c r="AG361" i="1" s="1"/>
  <c r="AE362" i="1"/>
  <c r="AF362" i="1"/>
  <c r="AG362" i="1"/>
  <c r="AE363" i="1"/>
  <c r="AF363" i="1"/>
  <c r="AG363" i="1"/>
  <c r="AE364" i="1"/>
  <c r="AF364" i="1"/>
  <c r="AG364" i="1"/>
  <c r="AE365" i="1"/>
  <c r="AE366" i="1" s="1"/>
  <c r="AF365" i="1"/>
  <c r="AF366" i="1" s="1"/>
  <c r="AF367" i="1" s="1"/>
  <c r="AG365" i="1"/>
  <c r="AG366" i="1" s="1"/>
  <c r="AG367" i="1" s="1"/>
  <c r="AE368" i="1"/>
  <c r="AE369" i="1" s="1"/>
  <c r="AF368" i="1"/>
  <c r="AF369" i="1" s="1"/>
  <c r="AG368" i="1"/>
  <c r="AG369" i="1" s="1"/>
  <c r="AE370" i="1"/>
  <c r="AF370" i="1"/>
  <c r="AG370" i="1"/>
  <c r="AE371" i="1"/>
  <c r="AE372" i="1" s="1"/>
  <c r="AE373" i="1" s="1"/>
  <c r="AF371" i="1"/>
  <c r="AF372" i="1" s="1"/>
  <c r="AF373" i="1" s="1"/>
  <c r="AG371" i="1"/>
  <c r="AG372" i="1" s="1"/>
  <c r="AG373" i="1" s="1"/>
  <c r="AE374" i="1"/>
  <c r="AF374" i="1"/>
  <c r="AF375" i="1" s="1"/>
  <c r="AF376" i="1" s="1"/>
  <c r="AG374" i="1"/>
  <c r="AG375" i="1" s="1"/>
  <c r="AG376" i="1" s="1"/>
  <c r="AE377" i="1"/>
  <c r="AF377" i="1"/>
  <c r="AG377" i="1"/>
  <c r="AE378" i="1"/>
  <c r="AF378" i="1"/>
  <c r="AG378" i="1"/>
  <c r="AE379" i="1"/>
  <c r="AE380" i="1" s="1"/>
  <c r="AF379" i="1"/>
  <c r="AF380" i="1" s="1"/>
  <c r="AG379" i="1"/>
  <c r="AG380" i="1" s="1"/>
  <c r="AE381" i="1"/>
  <c r="AE382" i="1" s="1"/>
  <c r="AF381" i="1"/>
  <c r="AF382" i="1" s="1"/>
  <c r="AG381" i="1"/>
  <c r="AG382" i="1" s="1"/>
  <c r="AE383" i="1"/>
  <c r="AE384" i="1" s="1"/>
  <c r="AF383" i="1"/>
  <c r="AF384" i="1" s="1"/>
  <c r="AG383" i="1"/>
  <c r="AG384" i="1" s="1"/>
  <c r="AE385" i="1"/>
  <c r="AF385" i="1"/>
  <c r="AG385" i="1"/>
  <c r="AE386" i="1"/>
  <c r="AF386" i="1"/>
  <c r="AG386" i="1"/>
  <c r="AE387" i="1"/>
  <c r="AE388" i="1" s="1"/>
  <c r="AF387" i="1"/>
  <c r="AF388" i="1" s="1"/>
  <c r="AG387" i="1"/>
  <c r="AG388" i="1" s="1"/>
  <c r="AE389" i="1"/>
  <c r="AE390" i="1" s="1"/>
  <c r="AF389" i="1"/>
  <c r="AF390" i="1" s="1"/>
  <c r="AG389" i="1"/>
  <c r="AG390" i="1" s="1"/>
  <c r="AE391" i="1"/>
  <c r="AE392" i="1" s="1"/>
  <c r="AE393" i="1" s="1"/>
  <c r="AF391" i="1"/>
  <c r="AF392" i="1" s="1"/>
  <c r="AF393" i="1" s="1"/>
  <c r="AG391" i="1"/>
  <c r="AG392" i="1" s="1"/>
  <c r="AG393" i="1" s="1"/>
  <c r="AE394" i="1"/>
  <c r="AF394" i="1"/>
  <c r="AF395" i="1" s="1"/>
  <c r="AF396" i="1" s="1"/>
  <c r="AG394" i="1"/>
  <c r="AG395" i="1" s="1"/>
  <c r="AG396" i="1" s="1"/>
  <c r="AE397" i="1"/>
  <c r="AF397" i="1"/>
  <c r="AG397" i="1"/>
  <c r="AE398" i="1"/>
  <c r="AF398" i="1"/>
  <c r="AG398" i="1"/>
  <c r="AE399" i="1"/>
  <c r="AE400" i="1" s="1"/>
  <c r="AE401" i="1" s="1"/>
  <c r="AF399" i="1"/>
  <c r="AF400" i="1" s="1"/>
  <c r="AF401" i="1" s="1"/>
  <c r="AG399" i="1"/>
  <c r="AG400" i="1" s="1"/>
  <c r="AG401" i="1" s="1"/>
  <c r="AE402" i="1"/>
  <c r="AF402" i="1"/>
  <c r="AG402" i="1"/>
  <c r="AE403" i="1"/>
  <c r="AF403" i="1"/>
  <c r="AG403" i="1"/>
  <c r="AE404" i="1"/>
  <c r="AE405" i="1" s="1"/>
  <c r="AE406" i="1" s="1"/>
  <c r="AF404" i="1"/>
  <c r="AF405" i="1" s="1"/>
  <c r="AF406" i="1" s="1"/>
  <c r="AG404" i="1"/>
  <c r="AG405" i="1" s="1"/>
  <c r="AG406" i="1" s="1"/>
  <c r="AE407" i="1"/>
  <c r="AF407" i="1"/>
  <c r="AG407" i="1"/>
  <c r="AE408" i="1"/>
  <c r="AF408" i="1"/>
  <c r="AF409" i="1" s="1"/>
  <c r="AG408" i="1"/>
  <c r="AG409" i="1" s="1"/>
  <c r="AE410" i="1"/>
  <c r="AF410" i="1"/>
  <c r="AF411" i="1" s="1"/>
  <c r="AG410" i="1"/>
  <c r="AG411" i="1" s="1"/>
  <c r="AE412" i="1"/>
  <c r="AF412" i="1"/>
  <c r="AG412" i="1"/>
  <c r="AE413" i="1"/>
  <c r="AE414" i="1" s="1"/>
  <c r="AF413" i="1"/>
  <c r="AF414" i="1" s="1"/>
  <c r="AG413" i="1"/>
  <c r="AG414" i="1" s="1"/>
  <c r="AE415" i="1"/>
  <c r="AF415" i="1"/>
  <c r="AG415" i="1"/>
  <c r="AE416" i="1"/>
  <c r="AF416" i="1"/>
  <c r="AG416" i="1"/>
  <c r="AE417" i="1"/>
  <c r="AE418" i="1" s="1"/>
  <c r="AF417" i="1"/>
  <c r="AG417" i="1"/>
  <c r="AG418" i="1" s="1"/>
  <c r="AG419" i="1" s="1"/>
  <c r="AE420" i="1"/>
  <c r="AE421" i="1" s="1"/>
  <c r="AF420" i="1"/>
  <c r="AF421" i="1" s="1"/>
  <c r="AF422" i="1" s="1"/>
  <c r="AG420" i="1"/>
  <c r="AG421" i="1" s="1"/>
  <c r="AG422" i="1" s="1"/>
  <c r="AE423" i="1"/>
  <c r="AE424" i="1" s="1"/>
  <c r="AF423" i="1"/>
  <c r="AF424" i="1" s="1"/>
  <c r="AG423" i="1"/>
  <c r="AG424" i="1" s="1"/>
  <c r="AE425" i="1"/>
  <c r="AE426" i="1" s="1"/>
  <c r="AF425" i="1"/>
  <c r="AG425" i="1"/>
  <c r="AG426" i="1" s="1"/>
  <c r="AE427" i="1"/>
  <c r="AE428" i="1" s="1"/>
  <c r="AF427" i="1"/>
  <c r="AF428" i="1" s="1"/>
  <c r="AG427" i="1"/>
  <c r="AG428" i="1" s="1"/>
  <c r="AE429" i="1"/>
  <c r="AE430" i="1" s="1"/>
  <c r="AF429" i="1"/>
  <c r="AG429" i="1"/>
  <c r="AG430" i="1" s="1"/>
  <c r="AE431" i="1"/>
  <c r="AF431" i="1"/>
  <c r="AG431" i="1"/>
  <c r="AE432" i="1"/>
  <c r="AF432" i="1"/>
  <c r="AF433" i="1" s="1"/>
  <c r="AF434" i="1" s="1"/>
  <c r="AG432" i="1"/>
  <c r="AG433" i="1" s="1"/>
  <c r="AG434" i="1" s="1"/>
  <c r="AE435" i="1"/>
  <c r="AE436" i="1" s="1"/>
  <c r="AF435" i="1"/>
  <c r="AF436" i="1" s="1"/>
  <c r="AF437" i="1" s="1"/>
  <c r="AG435" i="1"/>
  <c r="AG436" i="1" s="1"/>
  <c r="AG437" i="1" s="1"/>
  <c r="AE438" i="1"/>
  <c r="AF438" i="1"/>
  <c r="AF439" i="1" s="1"/>
  <c r="AG438" i="1"/>
  <c r="AG439" i="1" s="1"/>
  <c r="AE440" i="1"/>
  <c r="AE441" i="1" s="1"/>
  <c r="AE442" i="1" s="1"/>
  <c r="AF440" i="1"/>
  <c r="AF441" i="1" s="1"/>
  <c r="AF442" i="1" s="1"/>
  <c r="AG440" i="1"/>
  <c r="AG441" i="1" s="1"/>
  <c r="AG442" i="1" s="1"/>
  <c r="AE443" i="1"/>
  <c r="AE444" i="1" s="1"/>
  <c r="AF443" i="1"/>
  <c r="AF444" i="1" s="1"/>
  <c r="AF445" i="1" s="1"/>
  <c r="AG443" i="1"/>
  <c r="AG444" i="1" s="1"/>
  <c r="AG445" i="1" s="1"/>
  <c r="AE446" i="1"/>
  <c r="AF446" i="1"/>
  <c r="AG446" i="1"/>
  <c r="AE447" i="1"/>
  <c r="AF447" i="1"/>
  <c r="AG447" i="1"/>
  <c r="AE448" i="1"/>
  <c r="AF448" i="1"/>
  <c r="AF449" i="1" s="1"/>
  <c r="AF450" i="1" s="1"/>
  <c r="AF451" i="1" s="1"/>
  <c r="AF452" i="1" s="1"/>
  <c r="AG448" i="1"/>
  <c r="AG449" i="1" s="1"/>
  <c r="AG450" i="1" s="1"/>
  <c r="AG451" i="1" s="1"/>
  <c r="AG452" i="1" s="1"/>
  <c r="AE453" i="1"/>
  <c r="AE454" i="1" s="1"/>
  <c r="AF453" i="1"/>
  <c r="AF454" i="1" s="1"/>
  <c r="AF455" i="1" s="1"/>
  <c r="AF456" i="1" s="1"/>
  <c r="AF457" i="1" s="1"/>
  <c r="AG453" i="1"/>
  <c r="AG454" i="1" s="1"/>
  <c r="AG455" i="1" s="1"/>
  <c r="AG456" i="1" s="1"/>
  <c r="AG457" i="1" s="1"/>
  <c r="AE458" i="1"/>
  <c r="AF458" i="1"/>
  <c r="AG458" i="1"/>
  <c r="AE459" i="1"/>
  <c r="AE460" i="1" s="1"/>
  <c r="AF459" i="1"/>
  <c r="AF460" i="1" s="1"/>
  <c r="AG459" i="1"/>
  <c r="AG460" i="1" s="1"/>
  <c r="AE461" i="1"/>
  <c r="AE462" i="1" s="1"/>
  <c r="AF461" i="1"/>
  <c r="AF462" i="1" s="1"/>
  <c r="AF463" i="1" s="1"/>
  <c r="AG461" i="1"/>
  <c r="AG462" i="1" s="1"/>
  <c r="AG463" i="1" s="1"/>
  <c r="AE464" i="1"/>
  <c r="AF464" i="1"/>
  <c r="AG464" i="1"/>
  <c r="AE465" i="1"/>
  <c r="AE466" i="1" s="1"/>
  <c r="AF465" i="1"/>
  <c r="AF466" i="1" s="1"/>
  <c r="AG465" i="1"/>
  <c r="AG466" i="1" s="1"/>
  <c r="AE467" i="1"/>
  <c r="AE468" i="1" s="1"/>
  <c r="AF467" i="1"/>
  <c r="AF468" i="1" s="1"/>
  <c r="AF469" i="1" s="1"/>
  <c r="AG467" i="1"/>
  <c r="AG468" i="1" s="1"/>
  <c r="AG469" i="1" s="1"/>
  <c r="AE470" i="1"/>
  <c r="AF470" i="1"/>
  <c r="AG470" i="1"/>
  <c r="AE471" i="1"/>
  <c r="AE472" i="1" s="1"/>
  <c r="AF471" i="1"/>
  <c r="AF472" i="1" s="1"/>
  <c r="AG471" i="1"/>
  <c r="AG472" i="1" s="1"/>
  <c r="AE473" i="1"/>
  <c r="AE474" i="1" s="1"/>
  <c r="AF473" i="1"/>
  <c r="AF474" i="1" s="1"/>
  <c r="AG473" i="1"/>
  <c r="AG474" i="1" s="1"/>
  <c r="AE475" i="1"/>
  <c r="AE476" i="1" s="1"/>
  <c r="AE477" i="1" s="1"/>
  <c r="AF475" i="1"/>
  <c r="AF476" i="1" s="1"/>
  <c r="AF477" i="1" s="1"/>
  <c r="AG475" i="1"/>
  <c r="AG476" i="1" s="1"/>
  <c r="AG477" i="1" s="1"/>
  <c r="AE478" i="1"/>
  <c r="AE479" i="1" s="1"/>
  <c r="AF478" i="1"/>
  <c r="AF479" i="1" s="1"/>
  <c r="AF480" i="1" s="1"/>
  <c r="AG478" i="1"/>
  <c r="AG479" i="1" s="1"/>
  <c r="AG480" i="1" s="1"/>
  <c r="AE481" i="1"/>
  <c r="AF481" i="1"/>
  <c r="AF482" i="1" s="1"/>
  <c r="AF483" i="1" s="1"/>
  <c r="AG481" i="1"/>
  <c r="AG482" i="1" s="1"/>
  <c r="AG483" i="1" s="1"/>
  <c r="AE484" i="1"/>
  <c r="AF484" i="1"/>
  <c r="AG484" i="1"/>
  <c r="AE485" i="1"/>
  <c r="AF485" i="1"/>
  <c r="AG485" i="1"/>
  <c r="AE486" i="1"/>
  <c r="AE487" i="1" s="1"/>
  <c r="AF486" i="1"/>
  <c r="AF487" i="1" s="1"/>
  <c r="AG486" i="1"/>
  <c r="AG487" i="1" s="1"/>
  <c r="AE488" i="1"/>
  <c r="AE489" i="1" s="1"/>
  <c r="AF488" i="1"/>
  <c r="AF489" i="1" s="1"/>
  <c r="AG488" i="1"/>
  <c r="AG489" i="1" s="1"/>
  <c r="AE490" i="1"/>
  <c r="AF490" i="1"/>
  <c r="AG490" i="1"/>
  <c r="AE491" i="1"/>
  <c r="AF491" i="1"/>
  <c r="AG491" i="1"/>
  <c r="AE492" i="1"/>
  <c r="AF492" i="1"/>
  <c r="AF493" i="1" s="1"/>
  <c r="AF494" i="1" s="1"/>
  <c r="AG492" i="1"/>
  <c r="AG493" i="1" s="1"/>
  <c r="AG494" i="1" s="1"/>
  <c r="AE495" i="1"/>
  <c r="AE496" i="1" s="1"/>
  <c r="AE497" i="1" s="1"/>
  <c r="AF495" i="1"/>
  <c r="AF496" i="1" s="1"/>
  <c r="AF497" i="1" s="1"/>
  <c r="AG495" i="1"/>
  <c r="AG496" i="1" s="1"/>
  <c r="AG497" i="1" s="1"/>
  <c r="AE498" i="1"/>
  <c r="AF498" i="1"/>
  <c r="AF499" i="1" s="1"/>
  <c r="AG498" i="1"/>
  <c r="AG499" i="1" s="1"/>
  <c r="AE500" i="1"/>
  <c r="AF500" i="1"/>
  <c r="AF501" i="1" s="1"/>
  <c r="AG500" i="1"/>
  <c r="AG501" i="1" s="1"/>
  <c r="AE502" i="1"/>
  <c r="AF502" i="1"/>
  <c r="AF503" i="1" s="1"/>
  <c r="AG502" i="1"/>
  <c r="AG503" i="1" s="1"/>
  <c r="AE504" i="1"/>
  <c r="AF504" i="1"/>
  <c r="AG504" i="1"/>
  <c r="AE505" i="1"/>
  <c r="AE506" i="1" s="1"/>
  <c r="AF505" i="1"/>
  <c r="AF506" i="1" s="1"/>
  <c r="AF507" i="1" s="1"/>
  <c r="AF508" i="1" s="1"/>
  <c r="AG505" i="1"/>
  <c r="AG506" i="1" s="1"/>
  <c r="AG507" i="1" s="1"/>
  <c r="AG508" i="1" s="1"/>
  <c r="AE509" i="1"/>
  <c r="AF509" i="1"/>
  <c r="AF510" i="1" s="1"/>
  <c r="AG509" i="1"/>
  <c r="AG510" i="1" s="1"/>
  <c r="AE511" i="1"/>
  <c r="AF511" i="1"/>
  <c r="AF512" i="1" s="1"/>
  <c r="AG511" i="1"/>
  <c r="AG512" i="1" s="1"/>
  <c r="AE513" i="1"/>
  <c r="AE514" i="1" s="1"/>
  <c r="AF513" i="1"/>
  <c r="AF514" i="1" s="1"/>
  <c r="AG513" i="1"/>
  <c r="AG514" i="1" s="1"/>
  <c r="AE515" i="1"/>
  <c r="AF515" i="1"/>
  <c r="AG515" i="1"/>
  <c r="AE516" i="1"/>
  <c r="AF516" i="1"/>
  <c r="AG516" i="1"/>
  <c r="AE517" i="1"/>
  <c r="AF517" i="1"/>
  <c r="AF518" i="1" s="1"/>
  <c r="AF519" i="1" s="1"/>
  <c r="AG517" i="1"/>
  <c r="AG518" i="1" s="1"/>
  <c r="AG519" i="1" s="1"/>
  <c r="AE520" i="1"/>
  <c r="AE521" i="1" s="1"/>
  <c r="AF520" i="1"/>
  <c r="AF521" i="1" s="1"/>
  <c r="AG520" i="1"/>
  <c r="AG521" i="1" s="1"/>
  <c r="AE522" i="1"/>
  <c r="AF522" i="1"/>
  <c r="AG522" i="1"/>
  <c r="AE523" i="1"/>
  <c r="AE524" i="1" s="1"/>
  <c r="AF523" i="1"/>
  <c r="AF524" i="1" s="1"/>
  <c r="AF525" i="1" s="1"/>
  <c r="AG523" i="1"/>
  <c r="AG524" i="1" s="1"/>
  <c r="AG525" i="1" s="1"/>
  <c r="AE526" i="1"/>
  <c r="AF526" i="1"/>
  <c r="AG526" i="1"/>
  <c r="AE527" i="1"/>
  <c r="AF527" i="1"/>
  <c r="AF528" i="1" s="1"/>
  <c r="AG527" i="1"/>
  <c r="AG528" i="1" s="1"/>
  <c r="AE529" i="1"/>
  <c r="AE530" i="1" s="1"/>
  <c r="AF529" i="1"/>
  <c r="AF530" i="1" s="1"/>
  <c r="AG529" i="1"/>
  <c r="AG530" i="1" s="1"/>
  <c r="AE531" i="1"/>
  <c r="AF531" i="1"/>
  <c r="AG531" i="1"/>
  <c r="AE532" i="1"/>
  <c r="AF532" i="1"/>
  <c r="AF533" i="1" s="1"/>
  <c r="AF534" i="1" s="1"/>
  <c r="AG532" i="1"/>
  <c r="AG533" i="1" s="1"/>
  <c r="AG534" i="1" s="1"/>
  <c r="AE535" i="1"/>
  <c r="AE536" i="1" s="1"/>
  <c r="AE537" i="1" s="1"/>
  <c r="AF535" i="1"/>
  <c r="AF536" i="1" s="1"/>
  <c r="AF537" i="1" s="1"/>
  <c r="AG535" i="1"/>
  <c r="AG536" i="1" s="1"/>
  <c r="AG537" i="1" s="1"/>
  <c r="AE538" i="1"/>
  <c r="AE539" i="1" s="1"/>
  <c r="AF538" i="1"/>
  <c r="AG538" i="1"/>
  <c r="AG539" i="1" s="1"/>
  <c r="AE540" i="1"/>
  <c r="AE541" i="1" s="1"/>
  <c r="AF540" i="1"/>
  <c r="AF541" i="1" s="1"/>
  <c r="AG540" i="1"/>
  <c r="AG541" i="1" s="1"/>
  <c r="AE542" i="1"/>
  <c r="AF542" i="1"/>
  <c r="AG542" i="1"/>
  <c r="AE543" i="1"/>
  <c r="AE544" i="1" s="1"/>
  <c r="AF543" i="1"/>
  <c r="AF544" i="1" s="1"/>
  <c r="AG543" i="1"/>
  <c r="AG544" i="1" s="1"/>
  <c r="AE545" i="1"/>
  <c r="AE546" i="1" s="1"/>
  <c r="AF545" i="1"/>
  <c r="AF546" i="1" s="1"/>
  <c r="AG545" i="1"/>
  <c r="AG546" i="1" s="1"/>
  <c r="AE547" i="1"/>
  <c r="AE548" i="1" s="1"/>
  <c r="AF547" i="1"/>
  <c r="AF548" i="1" s="1"/>
  <c r="AG547" i="1"/>
  <c r="AG548" i="1" s="1"/>
  <c r="AE549" i="1"/>
  <c r="AE550" i="1" s="1"/>
  <c r="AF549" i="1"/>
  <c r="AF550" i="1" s="1"/>
  <c r="AG549" i="1"/>
  <c r="AG550" i="1" s="1"/>
  <c r="AE551" i="1"/>
  <c r="AE552" i="1" s="1"/>
  <c r="AF551" i="1"/>
  <c r="AF552" i="1" s="1"/>
  <c r="AG551" i="1"/>
  <c r="AG552" i="1" s="1"/>
  <c r="AE553" i="1"/>
  <c r="AE554" i="1" s="1"/>
  <c r="AF553" i="1"/>
  <c r="AF554" i="1" s="1"/>
  <c r="AG553" i="1"/>
  <c r="AG554" i="1" s="1"/>
  <c r="AE555" i="1"/>
  <c r="AF555" i="1"/>
  <c r="AF556" i="1" s="1"/>
  <c r="AG555" i="1"/>
  <c r="AG556" i="1" s="1"/>
  <c r="AE557" i="1"/>
  <c r="AE558" i="1" s="1"/>
  <c r="AF557" i="1"/>
  <c r="AF558" i="1" s="1"/>
  <c r="AG557" i="1"/>
  <c r="AG558" i="1" s="1"/>
  <c r="AE559" i="1"/>
  <c r="AF559" i="1"/>
  <c r="AF560" i="1" s="1"/>
  <c r="AG559" i="1"/>
  <c r="AG560" i="1" s="1"/>
  <c r="AE561" i="1"/>
  <c r="AE562" i="1" s="1"/>
  <c r="AE563" i="1" s="1"/>
  <c r="AF561" i="1"/>
  <c r="AF562" i="1" s="1"/>
  <c r="AF563" i="1" s="1"/>
  <c r="AG561" i="1"/>
  <c r="AG562" i="1" s="1"/>
  <c r="AG563" i="1" s="1"/>
  <c r="AE564" i="1"/>
  <c r="AF564" i="1"/>
  <c r="AF565" i="1" s="1"/>
  <c r="AF566" i="1" s="1"/>
  <c r="AG564" i="1"/>
  <c r="AG565" i="1" s="1"/>
  <c r="AG566" i="1" s="1"/>
  <c r="AE567" i="1"/>
  <c r="AE568" i="1" s="1"/>
  <c r="AF567" i="1"/>
  <c r="AF568" i="1" s="1"/>
  <c r="AG567" i="1"/>
  <c r="AG568" i="1" s="1"/>
  <c r="AE569" i="1"/>
  <c r="AE570" i="1" s="1"/>
  <c r="AF569" i="1"/>
  <c r="AF570" i="1" s="1"/>
  <c r="AG569" i="1"/>
  <c r="AG570" i="1" s="1"/>
  <c r="AE571" i="1"/>
  <c r="AE572" i="1" s="1"/>
  <c r="AF571" i="1"/>
  <c r="AF572" i="1" s="1"/>
  <c r="AG571" i="1"/>
  <c r="AG572" i="1" s="1"/>
  <c r="AE573" i="1"/>
  <c r="AF573" i="1"/>
  <c r="AG573" i="1"/>
  <c r="AE574" i="1"/>
  <c r="AE575" i="1" s="1"/>
  <c r="AE576" i="1" s="1"/>
  <c r="AF574" i="1"/>
  <c r="AF575" i="1" s="1"/>
  <c r="AF576" i="1" s="1"/>
  <c r="AG574" i="1"/>
  <c r="AG575" i="1" s="1"/>
  <c r="AG576" i="1" s="1"/>
  <c r="AE577" i="1"/>
  <c r="AE578" i="1" s="1"/>
  <c r="AF577" i="1"/>
  <c r="AF578" i="1" s="1"/>
  <c r="AG577" i="1"/>
  <c r="AG578" i="1" s="1"/>
  <c r="AE579" i="1"/>
  <c r="AE580" i="1" s="1"/>
  <c r="AE581" i="1" s="1"/>
  <c r="AF579" i="1"/>
  <c r="AF580" i="1" s="1"/>
  <c r="AF581" i="1" s="1"/>
  <c r="AG579" i="1"/>
  <c r="AG580" i="1" s="1"/>
  <c r="AG581" i="1" s="1"/>
  <c r="AE582" i="1"/>
  <c r="AE583" i="1" s="1"/>
  <c r="AF582" i="1"/>
  <c r="AG582" i="1"/>
  <c r="AG583" i="1" s="1"/>
  <c r="AE584" i="1"/>
  <c r="AE585" i="1" s="1"/>
  <c r="AF584" i="1"/>
  <c r="AF585" i="1" s="1"/>
  <c r="AG584" i="1"/>
  <c r="AG585" i="1" s="1"/>
  <c r="AE586" i="1"/>
  <c r="AF586" i="1"/>
  <c r="AG586" i="1"/>
  <c r="AE587" i="1"/>
  <c r="AE588" i="1" s="1"/>
  <c r="AF587" i="1"/>
  <c r="AF588" i="1" s="1"/>
  <c r="AF589" i="1" s="1"/>
  <c r="AF590" i="1" s="1"/>
  <c r="AG587" i="1"/>
  <c r="AG588" i="1" s="1"/>
  <c r="AG589" i="1" s="1"/>
  <c r="AG590" i="1" s="1"/>
  <c r="AE591" i="1"/>
  <c r="AE592" i="1" s="1"/>
  <c r="AF591" i="1"/>
  <c r="AF592" i="1" s="1"/>
  <c r="AF593" i="1" s="1"/>
  <c r="AF594" i="1" s="1"/>
  <c r="AG591" i="1"/>
  <c r="AG592" i="1" s="1"/>
  <c r="AG593" i="1" s="1"/>
  <c r="AG594" i="1" s="1"/>
  <c r="AE595" i="1"/>
  <c r="AF595" i="1"/>
  <c r="AG595" i="1"/>
  <c r="AE596" i="1"/>
  <c r="AF596" i="1"/>
  <c r="AG596" i="1"/>
  <c r="AE597" i="1"/>
  <c r="AE598" i="1" s="1"/>
  <c r="AF597" i="1"/>
  <c r="AF598" i="1" s="1"/>
  <c r="AG597" i="1"/>
  <c r="AG598" i="1" s="1"/>
  <c r="AE599" i="1"/>
  <c r="AF599" i="1"/>
  <c r="AG599" i="1"/>
  <c r="AE600" i="1"/>
  <c r="AE601" i="1" s="1"/>
  <c r="AF600" i="1"/>
  <c r="AF601" i="1" s="1"/>
  <c r="AG600" i="1"/>
  <c r="AG601" i="1" s="1"/>
  <c r="AE602" i="1"/>
  <c r="AE603" i="1" s="1"/>
  <c r="AF602" i="1"/>
  <c r="AG602" i="1"/>
  <c r="AG603" i="1" s="1"/>
  <c r="AE604" i="1"/>
  <c r="AE605" i="1" s="1"/>
  <c r="AF604" i="1"/>
  <c r="AF605" i="1" s="1"/>
  <c r="AF606" i="1" s="1"/>
  <c r="AG604" i="1"/>
  <c r="AG605" i="1" s="1"/>
  <c r="AG606" i="1" s="1"/>
  <c r="AE607" i="1"/>
  <c r="AE608" i="1" s="1"/>
  <c r="AF607" i="1"/>
  <c r="AF608" i="1" s="1"/>
  <c r="AF609" i="1" s="1"/>
  <c r="AF610" i="1" s="1"/>
  <c r="AG607" i="1"/>
  <c r="AG608" i="1" s="1"/>
  <c r="AG609" i="1" s="1"/>
  <c r="AG610" i="1" s="1"/>
  <c r="AE611" i="1"/>
  <c r="AF611" i="1"/>
  <c r="AG611" i="1"/>
  <c r="AE612" i="1"/>
  <c r="AF612" i="1"/>
  <c r="AG612" i="1"/>
  <c r="AE613" i="1"/>
  <c r="AE614" i="1" s="1"/>
  <c r="AF613" i="1"/>
  <c r="AF614" i="1" s="1"/>
  <c r="AG613" i="1"/>
  <c r="AG614" i="1" s="1"/>
  <c r="AE615" i="1"/>
  <c r="AE616" i="1" s="1"/>
  <c r="AF615" i="1"/>
  <c r="AF616" i="1" s="1"/>
  <c r="AG615" i="1"/>
  <c r="AG616" i="1" s="1"/>
  <c r="AE617" i="1"/>
  <c r="AE618" i="1" s="1"/>
  <c r="AF617" i="1"/>
  <c r="AF618" i="1" s="1"/>
  <c r="AG617" i="1"/>
  <c r="AG618" i="1" s="1"/>
  <c r="AE619" i="1"/>
  <c r="AE620" i="1" s="1"/>
  <c r="AF619" i="1"/>
  <c r="AF620" i="1" s="1"/>
  <c r="AG619" i="1"/>
  <c r="AG620" i="1" s="1"/>
  <c r="AE621" i="1"/>
  <c r="AF621" i="1"/>
  <c r="AG621" i="1"/>
  <c r="AE622" i="1"/>
  <c r="AE623" i="1" s="1"/>
  <c r="AE624" i="1" s="1"/>
  <c r="AF622" i="1"/>
  <c r="AF623" i="1" s="1"/>
  <c r="AF624" i="1" s="1"/>
  <c r="AG622" i="1"/>
  <c r="AG623" i="1" s="1"/>
  <c r="AG624" i="1" s="1"/>
  <c r="AE625" i="1"/>
  <c r="AE626" i="1" s="1"/>
  <c r="AF625" i="1"/>
  <c r="AF626" i="1" s="1"/>
  <c r="AG625" i="1"/>
  <c r="AG626" i="1" s="1"/>
  <c r="AE627" i="1"/>
  <c r="AE628" i="1" s="1"/>
  <c r="AF627" i="1"/>
  <c r="AF628" i="1" s="1"/>
  <c r="AG627" i="1"/>
  <c r="AG628" i="1" s="1"/>
  <c r="AE629" i="1"/>
  <c r="AF629" i="1"/>
  <c r="AG629" i="1"/>
  <c r="AE630" i="1"/>
  <c r="AE631" i="1" s="1"/>
  <c r="AE632" i="1" s="1"/>
  <c r="AF630" i="1"/>
  <c r="AG630" i="1"/>
  <c r="AG631" i="1" s="1"/>
  <c r="AG632" i="1" s="1"/>
  <c r="AE633" i="1"/>
  <c r="AE634" i="1" s="1"/>
  <c r="AE635" i="1" s="1"/>
  <c r="AF633" i="1"/>
  <c r="AF634" i="1" s="1"/>
  <c r="AG633" i="1"/>
  <c r="AG634" i="1" s="1"/>
  <c r="AG635" i="1" s="1"/>
  <c r="AE636" i="1"/>
  <c r="AE637" i="1" s="1"/>
  <c r="AF636" i="1"/>
  <c r="AG636" i="1"/>
  <c r="AG637" i="1" s="1"/>
  <c r="AG638" i="1" s="1"/>
  <c r="AE639" i="1"/>
  <c r="AE640" i="1" s="1"/>
  <c r="AF639" i="1"/>
  <c r="AF640" i="1" s="1"/>
  <c r="AG639" i="1"/>
  <c r="AG640" i="1" s="1"/>
  <c r="AE641" i="1"/>
  <c r="AE642" i="1" s="1"/>
  <c r="AF641" i="1"/>
  <c r="AF642" i="1" s="1"/>
  <c r="AG641" i="1"/>
  <c r="AG642" i="1" s="1"/>
  <c r="AE643" i="1"/>
  <c r="AF643" i="1"/>
  <c r="AG643" i="1"/>
  <c r="AE644" i="1"/>
  <c r="AF644" i="1"/>
  <c r="AF645" i="1" s="1"/>
  <c r="AG644" i="1"/>
  <c r="AG645" i="1" s="1"/>
  <c r="AE646" i="1"/>
  <c r="AE647" i="1" s="1"/>
  <c r="AE648" i="1" s="1"/>
  <c r="AF646" i="1"/>
  <c r="AF647" i="1" s="1"/>
  <c r="AF648" i="1" s="1"/>
  <c r="AG646" i="1"/>
  <c r="AG647" i="1" s="1"/>
  <c r="AG648" i="1" s="1"/>
  <c r="AE649" i="1"/>
  <c r="AE650" i="1" s="1"/>
  <c r="AE651" i="1" s="1"/>
  <c r="AF649" i="1"/>
  <c r="AF650" i="1" s="1"/>
  <c r="AF651" i="1" s="1"/>
  <c r="AG649" i="1"/>
  <c r="AG650" i="1" s="1"/>
  <c r="AG651" i="1" s="1"/>
  <c r="AE652" i="1"/>
  <c r="AE653" i="1" s="1"/>
  <c r="AF652" i="1"/>
  <c r="AF653" i="1" s="1"/>
  <c r="AG652" i="1"/>
  <c r="AG653" i="1" s="1"/>
  <c r="AE654" i="1"/>
  <c r="AE655" i="1" s="1"/>
  <c r="AF654" i="1"/>
  <c r="AG654" i="1"/>
  <c r="AG655" i="1" s="1"/>
  <c r="AE656" i="1"/>
  <c r="AE657" i="1" s="1"/>
  <c r="AF656" i="1"/>
  <c r="AF657" i="1" s="1"/>
  <c r="AG656" i="1"/>
  <c r="AG657" i="1" s="1"/>
  <c r="AE658" i="1"/>
  <c r="AE659" i="1" s="1"/>
  <c r="AE660" i="1" s="1"/>
  <c r="AF658" i="1"/>
  <c r="AG658" i="1"/>
  <c r="AG659" i="1" s="1"/>
  <c r="AG660" i="1" s="1"/>
  <c r="AE661" i="1"/>
  <c r="AE662" i="1" s="1"/>
  <c r="AF661" i="1"/>
  <c r="AF662" i="1" s="1"/>
  <c r="AG661" i="1"/>
  <c r="AG662" i="1" s="1"/>
  <c r="AE663" i="1"/>
  <c r="AF663" i="1"/>
  <c r="AG663" i="1"/>
  <c r="AE664" i="1"/>
  <c r="AF664" i="1"/>
  <c r="AF665" i="1" s="1"/>
  <c r="AF666" i="1" s="1"/>
  <c r="AG664" i="1"/>
  <c r="AG665" i="1" s="1"/>
  <c r="AG666" i="1" s="1"/>
  <c r="AE667" i="1"/>
  <c r="AF667" i="1"/>
  <c r="AF668" i="1" s="1"/>
  <c r="AF669" i="1" s="1"/>
  <c r="AG667" i="1"/>
  <c r="AG668" i="1" s="1"/>
  <c r="AG669" i="1" s="1"/>
  <c r="AE670" i="1"/>
  <c r="AE671" i="1" s="1"/>
  <c r="AF670" i="1"/>
  <c r="AG670" i="1"/>
  <c r="AG671" i="1" s="1"/>
  <c r="AE672" i="1"/>
  <c r="AF672" i="1"/>
  <c r="AG672" i="1"/>
  <c r="AE673" i="1"/>
  <c r="AE674" i="1" s="1"/>
  <c r="AF673" i="1"/>
  <c r="AF674" i="1" s="1"/>
  <c r="AG673" i="1"/>
  <c r="AG674" i="1" s="1"/>
  <c r="AE675" i="1"/>
  <c r="AE676" i="1" s="1"/>
  <c r="AF675" i="1"/>
  <c r="AF676" i="1" s="1"/>
  <c r="AG675" i="1"/>
  <c r="AG676" i="1" s="1"/>
  <c r="AE677" i="1"/>
  <c r="AE678" i="1" s="1"/>
  <c r="AF677" i="1"/>
  <c r="AF678" i="1" s="1"/>
  <c r="AG677" i="1"/>
  <c r="AG678" i="1" s="1"/>
  <c r="AE679" i="1"/>
  <c r="AF679" i="1"/>
  <c r="AG679" i="1"/>
  <c r="AE680" i="1"/>
  <c r="AF680" i="1"/>
  <c r="AF681" i="1" s="1"/>
  <c r="AG680" i="1"/>
  <c r="AG681" i="1" s="1"/>
  <c r="AE682" i="1"/>
  <c r="AF682" i="1"/>
  <c r="AG682" i="1"/>
  <c r="AE683" i="1"/>
  <c r="AF683" i="1"/>
  <c r="AF684" i="1" s="1"/>
  <c r="AF685" i="1" s="1"/>
  <c r="AG683" i="1"/>
  <c r="AG684" i="1" s="1"/>
  <c r="AG685" i="1" s="1"/>
  <c r="AE686" i="1"/>
  <c r="AE687" i="1" s="1"/>
  <c r="AE688" i="1" s="1"/>
  <c r="AF686" i="1"/>
  <c r="AG686" i="1"/>
  <c r="AG687" i="1" s="1"/>
  <c r="AG688" i="1" s="1"/>
  <c r="AE689" i="1"/>
  <c r="AF689" i="1"/>
  <c r="AG689" i="1"/>
  <c r="AE690" i="1"/>
  <c r="AE691" i="1" s="1"/>
  <c r="AF690" i="1"/>
  <c r="AF691" i="1" s="1"/>
  <c r="AG690" i="1"/>
  <c r="AG691" i="1" s="1"/>
  <c r="AE692" i="1"/>
  <c r="AE693" i="1" s="1"/>
  <c r="AF692" i="1"/>
  <c r="AF693" i="1" s="1"/>
  <c r="AG692" i="1"/>
  <c r="AG693" i="1" s="1"/>
  <c r="AE694" i="1"/>
  <c r="AF694" i="1"/>
  <c r="AG694" i="1"/>
  <c r="AE695" i="1"/>
  <c r="AE696" i="1" s="1"/>
  <c r="AF695" i="1"/>
  <c r="AF696" i="1" s="1"/>
  <c r="AG695" i="1"/>
  <c r="AG696" i="1" s="1"/>
  <c r="AE697" i="1"/>
  <c r="AE698" i="1" s="1"/>
  <c r="AF697" i="1"/>
  <c r="AF698" i="1" s="1"/>
  <c r="AG697" i="1"/>
  <c r="AG698" i="1" s="1"/>
  <c r="AE699" i="1"/>
  <c r="AE700" i="1" s="1"/>
  <c r="AF699" i="1"/>
  <c r="AF700" i="1" s="1"/>
  <c r="AG699" i="1"/>
  <c r="AG700" i="1" s="1"/>
  <c r="AE701" i="1"/>
  <c r="AE702" i="1" s="1"/>
  <c r="AF701" i="1"/>
  <c r="AF702" i="1" s="1"/>
  <c r="AG701" i="1"/>
  <c r="AG702" i="1" s="1"/>
  <c r="AE703" i="1"/>
  <c r="AE704" i="1" s="1"/>
  <c r="AE705" i="1" s="1"/>
  <c r="AF703" i="1"/>
  <c r="AF704" i="1" s="1"/>
  <c r="AF705" i="1" s="1"/>
  <c r="AF706" i="1" s="1"/>
  <c r="AG703" i="1"/>
  <c r="AG704" i="1" s="1"/>
  <c r="AG705" i="1" s="1"/>
  <c r="AG706" i="1" s="1"/>
  <c r="AE707" i="1"/>
  <c r="AF707" i="1"/>
  <c r="AF708" i="1" s="1"/>
  <c r="AF709" i="1" s="1"/>
  <c r="AG707" i="1"/>
  <c r="AG708" i="1" s="1"/>
  <c r="AG709" i="1" s="1"/>
  <c r="AE710" i="1"/>
  <c r="AE711" i="1" s="1"/>
  <c r="AF710" i="1"/>
  <c r="AF711" i="1" s="1"/>
  <c r="AG710" i="1"/>
  <c r="AG711" i="1" s="1"/>
  <c r="AE712" i="1"/>
  <c r="AF712" i="1"/>
  <c r="AF713" i="1" s="1"/>
  <c r="AG712" i="1"/>
  <c r="AG713" i="1" s="1"/>
  <c r="AE714" i="1"/>
  <c r="AF714" i="1"/>
  <c r="AG714" i="1"/>
  <c r="AE715" i="1"/>
  <c r="AF715" i="1"/>
  <c r="AF716" i="1" s="1"/>
  <c r="AG715" i="1"/>
  <c r="AG716" i="1" s="1"/>
  <c r="AE717" i="1"/>
  <c r="AE718" i="1" s="1"/>
  <c r="AF717" i="1"/>
  <c r="AF718" i="1" s="1"/>
  <c r="AG717" i="1"/>
  <c r="AG718" i="1" s="1"/>
  <c r="AE719" i="1"/>
  <c r="AF719" i="1"/>
  <c r="AG719" i="1"/>
  <c r="AE720" i="1"/>
  <c r="AF720" i="1"/>
  <c r="AG720" i="1"/>
  <c r="AE721" i="1"/>
  <c r="AE722" i="1" s="1"/>
  <c r="AE723" i="1" s="1"/>
  <c r="AF721" i="1"/>
  <c r="AF722" i="1" s="1"/>
  <c r="AF723" i="1" s="1"/>
  <c r="AG721" i="1"/>
  <c r="AG722" i="1" s="1"/>
  <c r="AG723" i="1" s="1"/>
  <c r="AE724" i="1"/>
  <c r="AE725" i="1" s="1"/>
  <c r="AF724" i="1"/>
  <c r="AG724" i="1"/>
  <c r="AG725" i="1" s="1"/>
  <c r="AE726" i="1"/>
  <c r="AE727" i="1" s="1"/>
  <c r="AE728" i="1" s="1"/>
  <c r="AF726" i="1"/>
  <c r="AG726" i="1"/>
  <c r="AG727" i="1" s="1"/>
  <c r="AG728" i="1" s="1"/>
  <c r="AE729" i="1"/>
  <c r="AE730" i="1" s="1"/>
  <c r="AE731" i="1" s="1"/>
  <c r="AF729" i="1"/>
  <c r="AF730" i="1" s="1"/>
  <c r="AG729" i="1"/>
  <c r="AG730" i="1" s="1"/>
  <c r="AG731" i="1" s="1"/>
  <c r="AE732" i="1"/>
  <c r="AF732" i="1"/>
  <c r="AG732" i="1"/>
  <c r="AE733" i="1"/>
  <c r="AF733" i="1"/>
  <c r="AG733" i="1"/>
  <c r="AE734" i="1"/>
  <c r="AE735" i="1" s="1"/>
  <c r="AF734" i="1"/>
  <c r="AF735" i="1" s="1"/>
  <c r="AF736" i="1" s="1"/>
  <c r="AG734" i="1"/>
  <c r="AG735" i="1" s="1"/>
  <c r="AG736" i="1" s="1"/>
  <c r="AE737" i="1"/>
  <c r="AE738" i="1" s="1"/>
  <c r="AF737" i="1"/>
  <c r="AF738" i="1" s="1"/>
  <c r="AG737" i="1"/>
  <c r="AG738" i="1" s="1"/>
  <c r="AE739" i="1"/>
  <c r="AF739" i="1"/>
  <c r="AG739" i="1"/>
  <c r="AE740" i="1"/>
  <c r="AE741" i="1" s="1"/>
  <c r="AF740" i="1"/>
  <c r="AF741" i="1" s="1"/>
  <c r="AG740" i="1"/>
  <c r="AG741" i="1" s="1"/>
  <c r="AE742" i="1"/>
  <c r="AF742" i="1"/>
  <c r="AG742" i="1"/>
  <c r="AE743" i="1"/>
  <c r="AE744" i="1" s="1"/>
  <c r="AF743" i="1"/>
  <c r="AF744" i="1" s="1"/>
  <c r="AF745" i="1" s="1"/>
  <c r="AF746" i="1" s="1"/>
  <c r="AG743" i="1"/>
  <c r="AG744" i="1" s="1"/>
  <c r="AG745" i="1" s="1"/>
  <c r="AG746" i="1" s="1"/>
  <c r="AE747" i="1"/>
  <c r="AF747" i="1"/>
  <c r="AF748" i="1" s="1"/>
  <c r="AG747" i="1"/>
  <c r="AG748" i="1" s="1"/>
  <c r="AE749" i="1"/>
  <c r="AE750" i="1" s="1"/>
  <c r="AF749" i="1"/>
  <c r="AF750" i="1" s="1"/>
  <c r="AG749" i="1"/>
  <c r="AG750" i="1" s="1"/>
  <c r="AE751" i="1"/>
  <c r="AF751" i="1"/>
  <c r="AF752" i="1" s="1"/>
  <c r="AG751" i="1"/>
  <c r="AG752" i="1" s="1"/>
  <c r="AE753" i="1"/>
  <c r="AF753" i="1"/>
  <c r="AG753" i="1"/>
  <c r="AE754" i="1"/>
  <c r="AE755" i="1" s="1"/>
  <c r="AE756" i="1" s="1"/>
  <c r="AF754" i="1"/>
  <c r="AF755" i="1" s="1"/>
  <c r="AF756" i="1" s="1"/>
  <c r="AG754" i="1"/>
  <c r="AG755" i="1" s="1"/>
  <c r="AG756" i="1" s="1"/>
  <c r="AE757" i="1"/>
  <c r="AE758" i="1" s="1"/>
  <c r="AE759" i="1" s="1"/>
  <c r="AF757" i="1"/>
  <c r="AF758" i="1" s="1"/>
  <c r="AF759" i="1" s="1"/>
  <c r="AG757" i="1"/>
  <c r="AG758" i="1" s="1"/>
  <c r="AG759" i="1" s="1"/>
  <c r="AE760" i="1"/>
  <c r="AF760" i="1"/>
  <c r="AF761" i="1" s="1"/>
  <c r="AG760" i="1"/>
  <c r="AG761" i="1" s="1"/>
  <c r="AE762" i="1"/>
  <c r="AE763" i="1" s="1"/>
  <c r="AE764" i="1" s="1"/>
  <c r="AF762" i="1"/>
  <c r="AG762" i="1"/>
  <c r="AG763" i="1" s="1"/>
  <c r="AG764" i="1" s="1"/>
  <c r="AE765" i="1"/>
  <c r="AE766" i="1" s="1"/>
  <c r="AE767" i="1" s="1"/>
  <c r="AF765" i="1"/>
  <c r="AF766" i="1" s="1"/>
  <c r="AG765" i="1"/>
  <c r="AG766" i="1" s="1"/>
  <c r="AG767" i="1" s="1"/>
  <c r="AE768" i="1"/>
  <c r="AF768" i="1"/>
  <c r="AG768" i="1"/>
  <c r="AE769" i="1"/>
  <c r="AE770" i="1" s="1"/>
  <c r="AF769" i="1"/>
  <c r="AF770" i="1" s="1"/>
  <c r="AG769" i="1"/>
  <c r="AG770" i="1" s="1"/>
  <c r="AE771" i="1"/>
  <c r="AE772" i="1" s="1"/>
  <c r="AF771" i="1"/>
  <c r="AF772" i="1" s="1"/>
  <c r="AG771" i="1"/>
  <c r="AG772" i="1" s="1"/>
  <c r="AE773" i="1"/>
  <c r="AF773" i="1"/>
  <c r="AG773" i="1"/>
  <c r="AE774" i="1"/>
  <c r="AE775" i="1" s="1"/>
  <c r="AE776" i="1" s="1"/>
  <c r="AF774" i="1"/>
  <c r="AF775" i="1" s="1"/>
  <c r="AG774" i="1"/>
  <c r="AG775" i="1" s="1"/>
  <c r="AG776" i="1" s="1"/>
  <c r="AE777" i="1"/>
  <c r="AE778" i="1" s="1"/>
  <c r="AF777" i="1"/>
  <c r="AF778" i="1" s="1"/>
  <c r="AF779" i="1" s="1"/>
  <c r="AG777" i="1"/>
  <c r="AG778" i="1" s="1"/>
  <c r="AG779" i="1" s="1"/>
  <c r="AE780" i="1"/>
  <c r="AF780" i="1"/>
  <c r="AG780" i="1"/>
  <c r="AE781" i="1"/>
  <c r="AE782" i="1" s="1"/>
  <c r="AE783" i="1" s="1"/>
  <c r="AF781" i="1"/>
  <c r="AF782" i="1" s="1"/>
  <c r="AF783" i="1" s="1"/>
  <c r="AG781" i="1"/>
  <c r="AG782" i="1" s="1"/>
  <c r="AG783" i="1" s="1"/>
  <c r="AE784" i="1"/>
  <c r="AF784" i="1"/>
  <c r="AG784" i="1"/>
  <c r="AE785" i="1"/>
  <c r="AE786" i="1" s="1"/>
  <c r="AE787" i="1" s="1"/>
  <c r="AF785" i="1"/>
  <c r="AF786" i="1" s="1"/>
  <c r="AF787" i="1" s="1"/>
  <c r="AG785" i="1"/>
  <c r="AG786" i="1" s="1"/>
  <c r="AG787" i="1" s="1"/>
  <c r="AE788" i="1"/>
  <c r="AE789" i="1" s="1"/>
  <c r="AE790" i="1" s="1"/>
  <c r="AE791" i="1" s="1"/>
  <c r="AF788" i="1"/>
  <c r="AF789" i="1" s="1"/>
  <c r="AG788" i="1"/>
  <c r="AG789" i="1" s="1"/>
  <c r="AG790" i="1" s="1"/>
  <c r="AG791" i="1" s="1"/>
  <c r="AE792" i="1"/>
  <c r="AE793" i="1" s="1"/>
  <c r="AE794" i="1" s="1"/>
  <c r="AE795" i="1" s="1"/>
  <c r="AF792" i="1"/>
  <c r="AF793" i="1" s="1"/>
  <c r="AF794" i="1" s="1"/>
  <c r="AF795" i="1" s="1"/>
  <c r="AG792" i="1"/>
  <c r="AG793" i="1" s="1"/>
  <c r="AG794" i="1" s="1"/>
  <c r="AG795" i="1" s="1"/>
  <c r="AE796" i="1"/>
  <c r="AF796" i="1"/>
  <c r="AG796" i="1"/>
  <c r="AE797" i="1"/>
  <c r="AF797" i="1"/>
  <c r="AG797" i="1"/>
  <c r="AE798" i="1"/>
  <c r="AE799" i="1" s="1"/>
  <c r="AF798" i="1"/>
  <c r="AF799" i="1" s="1"/>
  <c r="AG798" i="1"/>
  <c r="AG799" i="1" s="1"/>
  <c r="AE800" i="1"/>
  <c r="AF800" i="1"/>
  <c r="AG800" i="1"/>
  <c r="AE801" i="1"/>
  <c r="AE802" i="1" s="1"/>
  <c r="AF801" i="1"/>
  <c r="AF802" i="1" s="1"/>
  <c r="AG801" i="1"/>
  <c r="AG802" i="1" s="1"/>
  <c r="AE803" i="1"/>
  <c r="AF803" i="1"/>
  <c r="AG803" i="1"/>
  <c r="AE804" i="1"/>
  <c r="AF804" i="1"/>
  <c r="AF805" i="1" s="1"/>
  <c r="AF806" i="1" s="1"/>
  <c r="AG804" i="1"/>
  <c r="AG805" i="1" s="1"/>
  <c r="AG806" i="1" s="1"/>
  <c r="AE807" i="1"/>
  <c r="AF807" i="1"/>
  <c r="AF808" i="1" s="1"/>
  <c r="AF809" i="1" s="1"/>
  <c r="AG807" i="1"/>
  <c r="AG808" i="1" s="1"/>
  <c r="AG809" i="1" s="1"/>
  <c r="AE810" i="1"/>
  <c r="AE811" i="1" s="1"/>
  <c r="AF810" i="1"/>
  <c r="AF811" i="1" s="1"/>
  <c r="AG810" i="1"/>
  <c r="AG811" i="1" s="1"/>
  <c r="AE812" i="1"/>
  <c r="AE813" i="1" s="1"/>
  <c r="AF812" i="1"/>
  <c r="AG812" i="1"/>
  <c r="AG813" i="1" s="1"/>
  <c r="AE814" i="1"/>
  <c r="AF814" i="1"/>
  <c r="AF815" i="1" s="1"/>
  <c r="AG814" i="1"/>
  <c r="AG815" i="1" s="1"/>
  <c r="AE816" i="1"/>
  <c r="AF816" i="1"/>
  <c r="AF817" i="1" s="1"/>
  <c r="AG816" i="1"/>
  <c r="AG817" i="1" s="1"/>
  <c r="AE818" i="1"/>
  <c r="AF818" i="1"/>
  <c r="AG818" i="1"/>
  <c r="AE819" i="1"/>
  <c r="AF819" i="1"/>
  <c r="AF820" i="1" s="1"/>
  <c r="AG819" i="1"/>
  <c r="AG820" i="1" s="1"/>
  <c r="AE821" i="1"/>
  <c r="AE822" i="1" s="1"/>
  <c r="AF821" i="1"/>
  <c r="AF822" i="1" s="1"/>
  <c r="AG821" i="1"/>
  <c r="AG822" i="1" s="1"/>
  <c r="AE823" i="1"/>
  <c r="AF823" i="1"/>
  <c r="AF824" i="1" s="1"/>
  <c r="AG823" i="1"/>
  <c r="AG824" i="1" s="1"/>
  <c r="AE825" i="1"/>
  <c r="AE826" i="1" s="1"/>
  <c r="AE827" i="1" s="1"/>
  <c r="AF825" i="1"/>
  <c r="AF826" i="1" s="1"/>
  <c r="AF827" i="1" s="1"/>
  <c r="AG825" i="1"/>
  <c r="AG826" i="1" s="1"/>
  <c r="AG827" i="1" s="1"/>
  <c r="AE828" i="1"/>
  <c r="AE829" i="1" s="1"/>
  <c r="AE830" i="1" s="1"/>
  <c r="AF828" i="1"/>
  <c r="AF829" i="1" s="1"/>
  <c r="AF830" i="1" s="1"/>
  <c r="AG828" i="1"/>
  <c r="AG829" i="1" s="1"/>
  <c r="AG830" i="1" s="1"/>
  <c r="AE831" i="1"/>
  <c r="AE832" i="1" s="1"/>
  <c r="AF831" i="1"/>
  <c r="AF832" i="1" s="1"/>
  <c r="AF833" i="1" s="1"/>
  <c r="AG831" i="1"/>
  <c r="AG832" i="1" s="1"/>
  <c r="AG833" i="1" s="1"/>
  <c r="AE834" i="1"/>
  <c r="AF834" i="1"/>
  <c r="AG834" i="1"/>
  <c r="AE835" i="1"/>
  <c r="AE836" i="1" s="1"/>
  <c r="AF835" i="1"/>
  <c r="AF836" i="1" s="1"/>
  <c r="AG835" i="1"/>
  <c r="AG836" i="1" s="1"/>
  <c r="AE837" i="1"/>
  <c r="AE838" i="1" s="1"/>
  <c r="AF837" i="1"/>
  <c r="AF838" i="1" s="1"/>
  <c r="AG837" i="1"/>
  <c r="AG838" i="1" s="1"/>
  <c r="AE839" i="1"/>
  <c r="AF839" i="1"/>
  <c r="AG839" i="1"/>
  <c r="AE840" i="1"/>
  <c r="AF840" i="1"/>
  <c r="AG840" i="1"/>
  <c r="AE841" i="1"/>
  <c r="AF841" i="1"/>
  <c r="AG841" i="1"/>
  <c r="AE842" i="1"/>
  <c r="AF842" i="1"/>
  <c r="AG842" i="1"/>
  <c r="AE843" i="1"/>
  <c r="AF843" i="1"/>
  <c r="AG843" i="1"/>
  <c r="AE844" i="1"/>
  <c r="AE845" i="1" s="1"/>
  <c r="AF844" i="1"/>
  <c r="AF845" i="1" s="1"/>
  <c r="AG844" i="1"/>
  <c r="AG845" i="1" s="1"/>
  <c r="AE846" i="1"/>
  <c r="AE847" i="1" s="1"/>
  <c r="AF846" i="1"/>
  <c r="AF847" i="1" s="1"/>
  <c r="AG846" i="1"/>
  <c r="AG847" i="1" s="1"/>
  <c r="AE848" i="1"/>
  <c r="AE849" i="1" s="1"/>
  <c r="AF848" i="1"/>
  <c r="AF849" i="1" s="1"/>
  <c r="AG848" i="1"/>
  <c r="AG849" i="1" s="1"/>
  <c r="AE850" i="1"/>
  <c r="AF850" i="1"/>
  <c r="AG850" i="1"/>
  <c r="AE851" i="1"/>
  <c r="AF851" i="1"/>
  <c r="AG851" i="1"/>
  <c r="AE852" i="1"/>
  <c r="AF852" i="1"/>
  <c r="AF853" i="1" s="1"/>
  <c r="AG852" i="1"/>
  <c r="AG853" i="1" s="1"/>
  <c r="AE854" i="1"/>
  <c r="AF854" i="1"/>
  <c r="AG854" i="1"/>
  <c r="AE855" i="1"/>
  <c r="AF855" i="1"/>
  <c r="AF856" i="1" s="1"/>
  <c r="AG855" i="1"/>
  <c r="AG856" i="1" s="1"/>
  <c r="AE857" i="1"/>
  <c r="AF857" i="1"/>
  <c r="AG857" i="1"/>
  <c r="AE858" i="1"/>
  <c r="AF858" i="1"/>
  <c r="AG858" i="1"/>
  <c r="AE859" i="1"/>
  <c r="AF859" i="1"/>
  <c r="AG859" i="1"/>
  <c r="AE860" i="1"/>
  <c r="AF860" i="1"/>
  <c r="AG860" i="1"/>
  <c r="AE861" i="1"/>
  <c r="AF861" i="1"/>
  <c r="AG861" i="1"/>
  <c r="AE862" i="1"/>
  <c r="AF862" i="1"/>
  <c r="AG862" i="1"/>
  <c r="AE863" i="1"/>
  <c r="AF863" i="1"/>
  <c r="AG863" i="1"/>
  <c r="AE864" i="1"/>
  <c r="AF864" i="1"/>
  <c r="AG864" i="1"/>
  <c r="AE865" i="1"/>
  <c r="AE866" i="1" s="1"/>
  <c r="AF865" i="1"/>
  <c r="AF866" i="1" s="1"/>
  <c r="AG865" i="1"/>
  <c r="AG866" i="1" s="1"/>
  <c r="AE867" i="1"/>
  <c r="AF867" i="1"/>
  <c r="AF868" i="1" s="1"/>
  <c r="AG867" i="1"/>
  <c r="AG868" i="1" s="1"/>
  <c r="AE869" i="1"/>
  <c r="AF869" i="1"/>
  <c r="AG869" i="1"/>
  <c r="AE870" i="1"/>
  <c r="AF870" i="1"/>
  <c r="AG870" i="1"/>
  <c r="AE871" i="1"/>
  <c r="AF871" i="1"/>
  <c r="AF872" i="1" s="1"/>
  <c r="AF873" i="1" s="1"/>
  <c r="AF874" i="1" s="1"/>
  <c r="AF875" i="1" s="1"/>
  <c r="AG871" i="1"/>
  <c r="AG872" i="1" s="1"/>
  <c r="AG873" i="1" s="1"/>
  <c r="AG874" i="1" s="1"/>
  <c r="AG875" i="1" s="1"/>
  <c r="AE876" i="1"/>
  <c r="AF876" i="1"/>
  <c r="AG876" i="1"/>
  <c r="AE877" i="1"/>
  <c r="AF877" i="1"/>
  <c r="AG877" i="1"/>
  <c r="AE878" i="1"/>
  <c r="AF878" i="1"/>
  <c r="AG878" i="1"/>
  <c r="AE879" i="1"/>
  <c r="AE880" i="1" s="1"/>
  <c r="AF879" i="1"/>
  <c r="AG879" i="1"/>
  <c r="AG880" i="1" s="1"/>
  <c r="AE881" i="1"/>
  <c r="AE882" i="1" s="1"/>
  <c r="AF881" i="1"/>
  <c r="AF882" i="1" s="1"/>
  <c r="AG881" i="1"/>
  <c r="AG882" i="1" s="1"/>
  <c r="AE883" i="1"/>
  <c r="AE884" i="1" s="1"/>
  <c r="AF883" i="1"/>
  <c r="AF884" i="1" s="1"/>
  <c r="AG883" i="1"/>
  <c r="AG884" i="1" s="1"/>
  <c r="AE885" i="1"/>
  <c r="AF885" i="1"/>
  <c r="AG885" i="1"/>
  <c r="AE886" i="1"/>
  <c r="AF886" i="1"/>
  <c r="AG886" i="1"/>
  <c r="AE887" i="1"/>
  <c r="AF887" i="1"/>
  <c r="AG887" i="1"/>
  <c r="AE888" i="1"/>
  <c r="AF888" i="1"/>
  <c r="AG888" i="1"/>
  <c r="AE889" i="1"/>
  <c r="AE890" i="1" s="1"/>
  <c r="AF889" i="1"/>
  <c r="AF890" i="1" s="1"/>
  <c r="AG889" i="1"/>
  <c r="AG890" i="1" s="1"/>
  <c r="AE891" i="1"/>
  <c r="AF891" i="1"/>
  <c r="AG891" i="1"/>
  <c r="AE892" i="1"/>
  <c r="AF892" i="1"/>
  <c r="AG892" i="1"/>
  <c r="AE893" i="1"/>
  <c r="AF893" i="1"/>
  <c r="AG893" i="1"/>
  <c r="AE894" i="1"/>
  <c r="AE895" i="1" s="1"/>
  <c r="AF894" i="1"/>
  <c r="AF895" i="1" s="1"/>
  <c r="AF896" i="1" s="1"/>
  <c r="AG894" i="1"/>
  <c r="AG895" i="1" s="1"/>
  <c r="AG896" i="1" s="1"/>
  <c r="AE897" i="1"/>
  <c r="AF897" i="1"/>
  <c r="AG897" i="1"/>
  <c r="AE898" i="1"/>
  <c r="AE899" i="1" s="1"/>
  <c r="AF898" i="1"/>
  <c r="AG898" i="1"/>
  <c r="AG899" i="1" s="1"/>
  <c r="AG900" i="1" s="1"/>
  <c r="AE901" i="1"/>
  <c r="AE902" i="1" s="1"/>
  <c r="AE903" i="1" s="1"/>
  <c r="AF901" i="1"/>
  <c r="AF902" i="1" s="1"/>
  <c r="AF903" i="1" s="1"/>
  <c r="AG901" i="1"/>
  <c r="AG902" i="1" s="1"/>
  <c r="AG903" i="1" s="1"/>
  <c r="AE904" i="1"/>
  <c r="AE905" i="1" s="1"/>
  <c r="AE906" i="1" s="1"/>
  <c r="AF904" i="1"/>
  <c r="AF905" i="1" s="1"/>
  <c r="AF906" i="1" s="1"/>
  <c r="AG904" i="1"/>
  <c r="AG905" i="1" s="1"/>
  <c r="AG906" i="1" s="1"/>
  <c r="AE907" i="1"/>
  <c r="AE908" i="1" s="1"/>
  <c r="AF907" i="1"/>
  <c r="AF908" i="1" s="1"/>
  <c r="AG907" i="1"/>
  <c r="AG908" i="1" s="1"/>
  <c r="AE909" i="1"/>
  <c r="AE910" i="1" s="1"/>
  <c r="AF909" i="1"/>
  <c r="AF910" i="1" s="1"/>
  <c r="AG909" i="1"/>
  <c r="AG910" i="1" s="1"/>
  <c r="AE911" i="1"/>
  <c r="AF911" i="1"/>
  <c r="AF912" i="1" s="1"/>
  <c r="AF913" i="1" s="1"/>
  <c r="AG911" i="1"/>
  <c r="AG912" i="1" s="1"/>
  <c r="AG913" i="1" s="1"/>
  <c r="AE914" i="1"/>
  <c r="AE915" i="1" s="1"/>
  <c r="AE916" i="1" s="1"/>
  <c r="AF914" i="1"/>
  <c r="AF915" i="1" s="1"/>
  <c r="AF916" i="1" s="1"/>
  <c r="AG914" i="1"/>
  <c r="AG915" i="1" s="1"/>
  <c r="AG916" i="1" s="1"/>
  <c r="AE917" i="1"/>
  <c r="AE918" i="1" s="1"/>
  <c r="AE919" i="1" s="1"/>
  <c r="AF917" i="1"/>
  <c r="AF918" i="1" s="1"/>
  <c r="AF919" i="1" s="1"/>
  <c r="AG917" i="1"/>
  <c r="AG918" i="1" s="1"/>
  <c r="AG919" i="1" s="1"/>
  <c r="AE920" i="1"/>
  <c r="AF920" i="1"/>
  <c r="AF921" i="1" s="1"/>
  <c r="AF922" i="1" s="1"/>
  <c r="AG920" i="1"/>
  <c r="AG921" i="1" s="1"/>
  <c r="AG922" i="1" s="1"/>
  <c r="AE923" i="1"/>
  <c r="AE924" i="1" s="1"/>
  <c r="AF923" i="1"/>
  <c r="AF924" i="1" s="1"/>
  <c r="AG923" i="1"/>
  <c r="AG924" i="1" s="1"/>
  <c r="AE925" i="1"/>
  <c r="AF925" i="1"/>
  <c r="AG925" i="1"/>
  <c r="AE926" i="1"/>
  <c r="AF926" i="1"/>
  <c r="AG926" i="1"/>
  <c r="AE927" i="1"/>
  <c r="AF927" i="1"/>
  <c r="AG927" i="1"/>
  <c r="AE928" i="1"/>
  <c r="AF928" i="1"/>
  <c r="AF929" i="1" s="1"/>
  <c r="AF930" i="1" s="1"/>
  <c r="AG928" i="1"/>
  <c r="AG929" i="1" s="1"/>
  <c r="AG930" i="1" s="1"/>
  <c r="AE931" i="1"/>
  <c r="AF931" i="1"/>
  <c r="AG931" i="1"/>
  <c r="AE932" i="1"/>
  <c r="AE933" i="1" s="1"/>
  <c r="AF932" i="1"/>
  <c r="AF933" i="1" s="1"/>
  <c r="AG932" i="1"/>
  <c r="AG933" i="1" s="1"/>
  <c r="AE934" i="1"/>
  <c r="AF934" i="1"/>
  <c r="AF935" i="1" s="1"/>
  <c r="AG934" i="1"/>
  <c r="AG935" i="1" s="1"/>
  <c r="AE936" i="1"/>
  <c r="AF936" i="1"/>
  <c r="AG936" i="1"/>
  <c r="AE937" i="1"/>
  <c r="AE938" i="1" s="1"/>
  <c r="AF937" i="1"/>
  <c r="AF938" i="1" s="1"/>
  <c r="AF939" i="1" s="1"/>
  <c r="AF940" i="1" s="1"/>
  <c r="AG937" i="1"/>
  <c r="AG938" i="1" s="1"/>
  <c r="AG939" i="1" s="1"/>
  <c r="AG940" i="1" s="1"/>
  <c r="AE941" i="1"/>
  <c r="AE942" i="1" s="1"/>
  <c r="AE943" i="1" s="1"/>
  <c r="AF941" i="1"/>
  <c r="AF942" i="1" s="1"/>
  <c r="AF943" i="1" s="1"/>
  <c r="AG941" i="1"/>
  <c r="AG942" i="1" s="1"/>
  <c r="AG943" i="1" s="1"/>
  <c r="AE944" i="1"/>
  <c r="AE945" i="1" s="1"/>
  <c r="AF944" i="1"/>
  <c r="AF945" i="1" s="1"/>
  <c r="AG944" i="1"/>
  <c r="AG945" i="1" s="1"/>
  <c r="AE946" i="1"/>
  <c r="AF946" i="1"/>
  <c r="AF947" i="1" s="1"/>
  <c r="AF948" i="1" s="1"/>
  <c r="AG946" i="1"/>
  <c r="AG947" i="1" s="1"/>
  <c r="AG948" i="1" s="1"/>
  <c r="AE949" i="1"/>
  <c r="AE950" i="1" s="1"/>
  <c r="AF949" i="1"/>
  <c r="AF950" i="1" s="1"/>
  <c r="AF951" i="1" s="1"/>
  <c r="AG949" i="1"/>
  <c r="AG950" i="1" s="1"/>
  <c r="AG951" i="1" s="1"/>
  <c r="AE952" i="1"/>
  <c r="AF952" i="1"/>
  <c r="AG952" i="1"/>
  <c r="AE953" i="1"/>
  <c r="AE954" i="1" s="1"/>
  <c r="AF953" i="1"/>
  <c r="AF954" i="1" s="1"/>
  <c r="AG953" i="1"/>
  <c r="AG954" i="1" s="1"/>
  <c r="AE955" i="1"/>
  <c r="AF955" i="1"/>
  <c r="AF956" i="1" s="1"/>
  <c r="AG955" i="1"/>
  <c r="AG956" i="1" s="1"/>
  <c r="AE957" i="1"/>
  <c r="AE958" i="1" s="1"/>
  <c r="AF957" i="1"/>
  <c r="AF958" i="1" s="1"/>
  <c r="AG957" i="1"/>
  <c r="AG958" i="1" s="1"/>
  <c r="AE959" i="1"/>
  <c r="AF959" i="1"/>
  <c r="AF960" i="1" s="1"/>
  <c r="AG959" i="1"/>
  <c r="AG960" i="1" s="1"/>
  <c r="AE961" i="1"/>
  <c r="AE962" i="1" s="1"/>
  <c r="AF961" i="1"/>
  <c r="AF962" i="1" s="1"/>
  <c r="AG961" i="1"/>
  <c r="AG962" i="1" s="1"/>
  <c r="AE963" i="1"/>
  <c r="AE964" i="1" s="1"/>
  <c r="AF963" i="1"/>
  <c r="AF964" i="1" s="1"/>
  <c r="AF965" i="1" s="1"/>
  <c r="AG963" i="1"/>
  <c r="AG964" i="1" s="1"/>
  <c r="AG965" i="1" s="1"/>
  <c r="AE966" i="1"/>
  <c r="AE967" i="1" s="1"/>
  <c r="AF966" i="1"/>
  <c r="AF967" i="1" s="1"/>
  <c r="AF968" i="1" s="1"/>
  <c r="AG966" i="1"/>
  <c r="AG967" i="1" s="1"/>
  <c r="AG968" i="1" s="1"/>
  <c r="AE969" i="1"/>
  <c r="AF969" i="1"/>
  <c r="AG969" i="1"/>
  <c r="AE970" i="1"/>
  <c r="AF970" i="1"/>
  <c r="AG970" i="1"/>
  <c r="AE971" i="1"/>
  <c r="AE972" i="1" s="1"/>
  <c r="AF971" i="1"/>
  <c r="AF972" i="1" s="1"/>
  <c r="AF973" i="1" s="1"/>
  <c r="AF974" i="1" s="1"/>
  <c r="AG971" i="1"/>
  <c r="AG972" i="1" s="1"/>
  <c r="AG973" i="1" s="1"/>
  <c r="AG974" i="1" s="1"/>
  <c r="AE975" i="1"/>
  <c r="AF975" i="1"/>
  <c r="AF976" i="1" s="1"/>
  <c r="AG975" i="1"/>
  <c r="AG976" i="1" s="1"/>
  <c r="AE977" i="1"/>
  <c r="AE978" i="1" s="1"/>
  <c r="AF977" i="1"/>
  <c r="AF978" i="1" s="1"/>
  <c r="AG977" i="1"/>
  <c r="AG978" i="1" s="1"/>
  <c r="AE979" i="1"/>
  <c r="AF979" i="1"/>
  <c r="AG979" i="1"/>
  <c r="AE980" i="1"/>
  <c r="AF980" i="1"/>
  <c r="AG980" i="1"/>
  <c r="AE981" i="1"/>
  <c r="AE982" i="1" s="1"/>
  <c r="AF981" i="1"/>
  <c r="AF982" i="1" s="1"/>
  <c r="AG981" i="1"/>
  <c r="AG982" i="1" s="1"/>
  <c r="AE983" i="1"/>
  <c r="AF983" i="1"/>
  <c r="AG983" i="1"/>
  <c r="AE984" i="1"/>
  <c r="AF984" i="1"/>
  <c r="AF985" i="1" s="1"/>
  <c r="AG984" i="1"/>
  <c r="AG985" i="1" s="1"/>
  <c r="AE986" i="1"/>
  <c r="AF986" i="1"/>
  <c r="AG986" i="1"/>
  <c r="AE987" i="1"/>
  <c r="AE988" i="1" s="1"/>
  <c r="AF987" i="1"/>
  <c r="AF988" i="1" s="1"/>
  <c r="AG987" i="1"/>
  <c r="AG988" i="1" s="1"/>
  <c r="AE989" i="1"/>
  <c r="AE990" i="1" s="1"/>
  <c r="AF989" i="1"/>
  <c r="AF990" i="1" s="1"/>
  <c r="AG989" i="1"/>
  <c r="AG990" i="1" s="1"/>
  <c r="AE991" i="1"/>
  <c r="AE992" i="1" s="1"/>
  <c r="AF991" i="1"/>
  <c r="AF992" i="1" s="1"/>
  <c r="AG991" i="1"/>
  <c r="AG992" i="1" s="1"/>
  <c r="AE993" i="1"/>
  <c r="AE994" i="1" s="1"/>
  <c r="AF993" i="1"/>
  <c r="AF994" i="1" s="1"/>
  <c r="AF995" i="1" s="1"/>
  <c r="AG993" i="1"/>
  <c r="AG994" i="1" s="1"/>
  <c r="AG995" i="1" s="1"/>
  <c r="AE996" i="1"/>
  <c r="AF996" i="1"/>
  <c r="AF997" i="1" s="1"/>
  <c r="AF998" i="1" s="1"/>
  <c r="AG996" i="1"/>
  <c r="AG997" i="1" s="1"/>
  <c r="AG998" i="1" s="1"/>
  <c r="AE999" i="1"/>
  <c r="AE1000" i="1" s="1"/>
  <c r="AF999" i="1"/>
  <c r="AF1000" i="1" s="1"/>
  <c r="AG999" i="1"/>
  <c r="AG1000" i="1" s="1"/>
  <c r="AE1001" i="1"/>
  <c r="AE1002" i="1" s="1"/>
  <c r="AF1001" i="1"/>
  <c r="AF1002" i="1" s="1"/>
  <c r="AG1001" i="1"/>
  <c r="AG1002" i="1" s="1"/>
  <c r="AE1003" i="1"/>
  <c r="AF1003" i="1"/>
  <c r="AF1004" i="1" s="1"/>
  <c r="AF1005" i="1" s="1"/>
  <c r="AF1006" i="1" s="1"/>
  <c r="AG1003" i="1"/>
  <c r="AG1004" i="1" s="1"/>
  <c r="AG1005" i="1" s="1"/>
  <c r="AG1006" i="1" s="1"/>
  <c r="AE1007" i="1"/>
  <c r="AE1008" i="1" s="1"/>
  <c r="AF1007" i="1"/>
  <c r="AF1008" i="1" s="1"/>
  <c r="AG1007" i="1"/>
  <c r="AG1008" i="1" s="1"/>
  <c r="AE1009" i="1"/>
  <c r="AE1010" i="1" s="1"/>
  <c r="AF1009" i="1"/>
  <c r="AF1010" i="1" s="1"/>
  <c r="AG1009" i="1"/>
  <c r="AG1010" i="1" s="1"/>
  <c r="AE1011" i="1"/>
  <c r="AE1012" i="1" s="1"/>
  <c r="AF1011" i="1"/>
  <c r="AF1012" i="1" s="1"/>
  <c r="AG1011" i="1"/>
  <c r="AG1012" i="1" s="1"/>
  <c r="AE1013" i="1"/>
  <c r="AE1014" i="1" s="1"/>
  <c r="AE1015" i="1" s="1"/>
  <c r="AF1013" i="1"/>
  <c r="AF1014" i="1" s="1"/>
  <c r="AF1015" i="1" s="1"/>
  <c r="AG1013" i="1"/>
  <c r="AG1014" i="1" s="1"/>
  <c r="AG1015" i="1" s="1"/>
  <c r="AE1016" i="1"/>
  <c r="AF1016" i="1"/>
  <c r="AF1017" i="1" s="1"/>
  <c r="AG1016" i="1"/>
  <c r="AG1017" i="1" s="1"/>
  <c r="AE1018" i="1"/>
  <c r="AF1018" i="1"/>
  <c r="AF1019" i="1" s="1"/>
  <c r="AG1018" i="1"/>
  <c r="AG1019" i="1" s="1"/>
  <c r="AE1020" i="1"/>
  <c r="AF1020" i="1"/>
  <c r="AG1020" i="1"/>
  <c r="AE1021" i="1"/>
  <c r="AF1021" i="1"/>
  <c r="AG1021" i="1"/>
  <c r="AE1022" i="1"/>
  <c r="AE1023" i="1" s="1"/>
  <c r="AF1022" i="1"/>
  <c r="AF1023" i="1" s="1"/>
  <c r="AF1024" i="1" s="1"/>
  <c r="AG1022" i="1"/>
  <c r="AG1023" i="1" s="1"/>
  <c r="AG1024" i="1" s="1"/>
  <c r="AE1025" i="1"/>
  <c r="AE1026" i="1" s="1"/>
  <c r="AE1027" i="1" s="1"/>
  <c r="AF1025" i="1"/>
  <c r="AF1026" i="1" s="1"/>
  <c r="AF1027" i="1" s="1"/>
  <c r="AG1025" i="1"/>
  <c r="AG1026" i="1" s="1"/>
  <c r="AG1027" i="1" s="1"/>
  <c r="AE1028" i="1"/>
  <c r="AF1028" i="1"/>
  <c r="AF1029" i="1" s="1"/>
  <c r="AF1030" i="1" s="1"/>
  <c r="AG1028" i="1"/>
  <c r="AG1029" i="1" s="1"/>
  <c r="AG1030" i="1" s="1"/>
  <c r="AE1031" i="1"/>
  <c r="AE1032" i="1" s="1"/>
  <c r="AF1031" i="1"/>
  <c r="AF1032" i="1" s="1"/>
  <c r="AG1031" i="1"/>
  <c r="AG1032" i="1" s="1"/>
  <c r="AE1033" i="1"/>
  <c r="AE1034" i="1" s="1"/>
  <c r="AF1033" i="1"/>
  <c r="AF1034" i="1" s="1"/>
  <c r="AG1033" i="1"/>
  <c r="AG1034" i="1" s="1"/>
  <c r="AE1035" i="1"/>
  <c r="AE1036" i="1" s="1"/>
  <c r="AF1035" i="1"/>
  <c r="AG1035" i="1"/>
  <c r="AG1036" i="1" s="1"/>
  <c r="AE1037" i="1"/>
  <c r="AF1037" i="1"/>
  <c r="AG1037" i="1"/>
  <c r="AE1038" i="1"/>
  <c r="AF1038" i="1"/>
  <c r="AG1038" i="1"/>
  <c r="AE1039" i="1"/>
  <c r="AE1040" i="1" s="1"/>
  <c r="AF1039" i="1"/>
  <c r="AF1040" i="1" s="1"/>
  <c r="AF1041" i="1" s="1"/>
  <c r="AG1039" i="1"/>
  <c r="AG1040" i="1" s="1"/>
  <c r="AG1041" i="1" s="1"/>
  <c r="AE1042" i="1"/>
  <c r="AF1042" i="1"/>
  <c r="AG1042" i="1"/>
  <c r="AE1043" i="1"/>
  <c r="AE1044" i="1" s="1"/>
  <c r="AF1043" i="1"/>
  <c r="AF1044" i="1" s="1"/>
  <c r="AG1043" i="1"/>
  <c r="AG1044" i="1" s="1"/>
  <c r="AE1045" i="1"/>
  <c r="AE1046" i="1" s="1"/>
  <c r="AF1045" i="1"/>
  <c r="AF1046" i="1" s="1"/>
  <c r="AG1045" i="1"/>
  <c r="AG1046" i="1" s="1"/>
  <c r="AE1047" i="1"/>
  <c r="AE1048" i="1" s="1"/>
  <c r="AF1047" i="1"/>
  <c r="AF1048" i="1" s="1"/>
  <c r="AG1047" i="1"/>
  <c r="AG1048" i="1" s="1"/>
  <c r="AE1049" i="1"/>
  <c r="AF1049" i="1"/>
  <c r="AG1049" i="1"/>
  <c r="AE1050" i="1"/>
  <c r="AE1051" i="1" s="1"/>
  <c r="AF1050" i="1"/>
  <c r="AG1050" i="1"/>
  <c r="AG1051" i="1" s="1"/>
  <c r="AE1052" i="1"/>
  <c r="AF1052" i="1"/>
  <c r="AF1053" i="1" s="1"/>
  <c r="AG1052" i="1"/>
  <c r="AG1053" i="1" s="1"/>
  <c r="AE1054" i="1"/>
  <c r="AE1055" i="1" s="1"/>
  <c r="AF1054" i="1"/>
  <c r="AF1055" i="1" s="1"/>
  <c r="AG1054" i="1"/>
  <c r="AG1055" i="1" s="1"/>
  <c r="AE1056" i="1"/>
  <c r="AF1056" i="1"/>
  <c r="AG1056" i="1"/>
  <c r="AE1057" i="1"/>
  <c r="AE1058" i="1" s="1"/>
  <c r="AE1059" i="1" s="1"/>
  <c r="AF1057" i="1"/>
  <c r="AF1058" i="1" s="1"/>
  <c r="AF1059" i="1" s="1"/>
  <c r="AG1057" i="1"/>
  <c r="AG1058" i="1" s="1"/>
  <c r="AG1059" i="1" s="1"/>
  <c r="AE1060" i="1"/>
  <c r="AF1060" i="1"/>
  <c r="AG1060" i="1"/>
  <c r="AE1061" i="1"/>
  <c r="AF1061" i="1"/>
  <c r="AG1061" i="1"/>
  <c r="AE1062" i="1"/>
  <c r="AE1063" i="1" s="1"/>
  <c r="AE1064" i="1" s="1"/>
  <c r="AF1062" i="1"/>
  <c r="AF1063" i="1" s="1"/>
  <c r="AF1064" i="1" s="1"/>
  <c r="AF1065" i="1" s="1"/>
  <c r="AG1062" i="1"/>
  <c r="AG1063" i="1" s="1"/>
  <c r="AG1064" i="1" s="1"/>
  <c r="AG1065" i="1" s="1"/>
  <c r="AE1066" i="1"/>
  <c r="AE1067" i="1" s="1"/>
  <c r="AE1068" i="1" s="1"/>
  <c r="AF1066" i="1"/>
  <c r="AF1067" i="1" s="1"/>
  <c r="AF1068" i="1" s="1"/>
  <c r="AG1066" i="1"/>
  <c r="AG1067" i="1" s="1"/>
  <c r="AG1068" i="1" s="1"/>
  <c r="AE1069" i="1"/>
  <c r="AE1070" i="1" s="1"/>
  <c r="AF1069" i="1"/>
  <c r="AF1070" i="1" s="1"/>
  <c r="AF1071" i="1" s="1"/>
  <c r="AG1069" i="1"/>
  <c r="AG1070" i="1" s="1"/>
  <c r="AG1071" i="1" s="1"/>
  <c r="AE1072" i="1"/>
  <c r="AF1072" i="1"/>
  <c r="AG1072" i="1"/>
  <c r="AE1073" i="1"/>
  <c r="AF1073" i="1"/>
  <c r="AG1073" i="1"/>
  <c r="AE1074" i="1"/>
  <c r="AF1074" i="1"/>
  <c r="AG1074" i="1"/>
  <c r="AE1075" i="1"/>
  <c r="AF1075" i="1"/>
  <c r="AG1075" i="1"/>
  <c r="AE1076" i="1"/>
  <c r="AF1076" i="1"/>
  <c r="AF1077" i="1" s="1"/>
  <c r="AG1076" i="1"/>
  <c r="AG1077" i="1" s="1"/>
  <c r="AE1078" i="1"/>
  <c r="AE1079" i="1" s="1"/>
  <c r="AF1078" i="1"/>
  <c r="AF1079" i="1" s="1"/>
  <c r="AF1080" i="1" s="1"/>
  <c r="AF1081" i="1" s="1"/>
  <c r="AG1078" i="1"/>
  <c r="AG1079" i="1" s="1"/>
  <c r="AG1080" i="1" s="1"/>
  <c r="AG1081" i="1" s="1"/>
  <c r="AE1082" i="1"/>
  <c r="AF1082" i="1"/>
  <c r="AF1083" i="1" s="1"/>
  <c r="AG1082" i="1"/>
  <c r="AG1083" i="1" s="1"/>
  <c r="AE1084" i="1"/>
  <c r="AF1084" i="1"/>
  <c r="AG1084" i="1"/>
  <c r="AE1085" i="1"/>
  <c r="AE1086" i="1" s="1"/>
  <c r="AE1087" i="1" s="1"/>
  <c r="AF1085" i="1"/>
  <c r="AF1086" i="1" s="1"/>
  <c r="AF1087" i="1" s="1"/>
  <c r="AG1085" i="1"/>
  <c r="AG1086" i="1" s="1"/>
  <c r="AG1087" i="1" s="1"/>
  <c r="AE1088" i="1"/>
  <c r="AF1088" i="1"/>
  <c r="AF1089" i="1" s="1"/>
  <c r="AG1088" i="1"/>
  <c r="AG1089" i="1" s="1"/>
  <c r="AE1090" i="1"/>
  <c r="AE1091" i="1" s="1"/>
  <c r="AF1090" i="1"/>
  <c r="AF1091" i="1" s="1"/>
  <c r="AG1090" i="1"/>
  <c r="AG1091" i="1" s="1"/>
  <c r="AE1092" i="1"/>
  <c r="AF1092" i="1"/>
  <c r="AG1092" i="1"/>
  <c r="AE1093" i="1"/>
  <c r="AF1093" i="1"/>
  <c r="AG1093" i="1"/>
  <c r="AE1094" i="1"/>
  <c r="AE1095" i="1" s="1"/>
  <c r="AF1094" i="1"/>
  <c r="AF1095" i="1" s="1"/>
  <c r="AG1094" i="1"/>
  <c r="AG1095" i="1" s="1"/>
  <c r="AE1096" i="1"/>
  <c r="AF1096" i="1"/>
  <c r="AF1097" i="1" s="1"/>
  <c r="AG1096" i="1"/>
  <c r="AG1097" i="1" s="1"/>
  <c r="AE1098" i="1"/>
  <c r="AF1098" i="1"/>
  <c r="AF1099" i="1" s="1"/>
  <c r="AG1098" i="1"/>
  <c r="AG1099" i="1" s="1"/>
  <c r="AE1100" i="1"/>
  <c r="AF1100" i="1"/>
  <c r="AF1101" i="1" s="1"/>
  <c r="AG1100" i="1"/>
  <c r="AG1101" i="1" s="1"/>
  <c r="AE1102" i="1"/>
  <c r="AE1103" i="1" s="1"/>
  <c r="AF1102" i="1"/>
  <c r="AF1103" i="1" s="1"/>
  <c r="AG1102" i="1"/>
  <c r="AG1103" i="1" s="1"/>
  <c r="AE1104" i="1"/>
  <c r="AF1104" i="1"/>
  <c r="AG1104" i="1"/>
  <c r="AE1105" i="1"/>
  <c r="AE1106" i="1" s="1"/>
  <c r="AF1105" i="1"/>
  <c r="AF1106" i="1" s="1"/>
  <c r="AG1105" i="1"/>
  <c r="AG1106" i="1" s="1"/>
  <c r="AE1107" i="1"/>
  <c r="AF1107" i="1"/>
  <c r="AF1108" i="1" s="1"/>
  <c r="AF1109" i="1" s="1"/>
  <c r="AG1107" i="1"/>
  <c r="AG1108" i="1" s="1"/>
  <c r="AG1109" i="1" s="1"/>
  <c r="AE1110" i="1"/>
  <c r="AF1110" i="1"/>
  <c r="AG1110" i="1"/>
  <c r="AE1111" i="1"/>
  <c r="AF1111" i="1"/>
  <c r="AG1111" i="1"/>
  <c r="AE1112" i="1"/>
  <c r="AF1112" i="1"/>
  <c r="AG1112" i="1"/>
  <c r="AE1113" i="1"/>
  <c r="AF1113" i="1"/>
  <c r="AG1113" i="1"/>
  <c r="AE1114" i="1"/>
  <c r="AF1114" i="1"/>
  <c r="AG1114" i="1"/>
  <c r="AE1115" i="1"/>
  <c r="AF1115" i="1"/>
  <c r="AG1115" i="1"/>
  <c r="AE1116" i="1"/>
  <c r="AF1116" i="1"/>
  <c r="AG1116" i="1"/>
  <c r="AE1117" i="1"/>
  <c r="AF1117" i="1"/>
  <c r="AG1117" i="1"/>
  <c r="AE1118" i="1"/>
  <c r="AF1118" i="1"/>
  <c r="AG1118" i="1"/>
  <c r="AE1119" i="1"/>
  <c r="AF1119" i="1"/>
  <c r="AF1120" i="1" s="1"/>
  <c r="AG1119" i="1"/>
  <c r="AG1120" i="1" s="1"/>
  <c r="AE1121" i="1"/>
  <c r="AF1121" i="1"/>
  <c r="AF1122" i="1" s="1"/>
  <c r="AG1121" i="1"/>
  <c r="AG1122" i="1" s="1"/>
  <c r="AE1123" i="1"/>
  <c r="AF1123" i="1"/>
  <c r="AG1123" i="1"/>
  <c r="AE1124" i="1"/>
  <c r="AE1125" i="1" s="1"/>
  <c r="AF1124" i="1"/>
  <c r="AF1125" i="1" s="1"/>
  <c r="AG1124" i="1"/>
  <c r="AG1125" i="1" s="1"/>
  <c r="AE1126" i="1"/>
  <c r="AF1126" i="1"/>
  <c r="AF1127" i="1" s="1"/>
  <c r="AF1128" i="1" s="1"/>
  <c r="AG1126" i="1"/>
  <c r="AG1127" i="1" s="1"/>
  <c r="AG1128" i="1" s="1"/>
  <c r="AE1129" i="1"/>
  <c r="AE1130" i="1" s="1"/>
  <c r="AF1129" i="1"/>
  <c r="AF1130" i="1" s="1"/>
  <c r="AF1131" i="1" s="1"/>
  <c r="AG1129" i="1"/>
  <c r="AG1130" i="1" s="1"/>
  <c r="AG1131" i="1" s="1"/>
  <c r="AE1132" i="1"/>
  <c r="AF1132" i="1"/>
  <c r="AG1132" i="1"/>
  <c r="AE1133" i="1"/>
  <c r="AF1133" i="1"/>
  <c r="AG1133" i="1"/>
  <c r="AE1134" i="1"/>
  <c r="AE1135" i="1" s="1"/>
  <c r="AF1134" i="1"/>
  <c r="AF1135" i="1" s="1"/>
  <c r="AF1136" i="1" s="1"/>
  <c r="AG1134" i="1"/>
  <c r="AG1135" i="1" s="1"/>
  <c r="AG1136" i="1" s="1"/>
  <c r="AE1137" i="1"/>
  <c r="AE1138" i="1" s="1"/>
  <c r="AF1137" i="1"/>
  <c r="AF1138" i="1" s="1"/>
  <c r="AG1137" i="1"/>
  <c r="AG1138" i="1" s="1"/>
  <c r="AE1139" i="1"/>
  <c r="AF1139" i="1"/>
  <c r="AF1140" i="1" s="1"/>
  <c r="AF1141" i="1" s="1"/>
  <c r="AG1139" i="1"/>
  <c r="AG1140" i="1" s="1"/>
  <c r="AG1141" i="1" s="1"/>
  <c r="AE1142" i="1"/>
  <c r="AE1143" i="1" s="1"/>
  <c r="AF1142" i="1"/>
  <c r="AF1143" i="1" s="1"/>
  <c r="AG1142" i="1"/>
  <c r="AG1143" i="1" s="1"/>
  <c r="AE1144" i="1"/>
  <c r="AF1144" i="1"/>
  <c r="AG1144" i="1"/>
  <c r="AE1145" i="1"/>
  <c r="AF1145" i="1"/>
  <c r="AG1145" i="1"/>
  <c r="AE1146" i="1"/>
  <c r="AE1147" i="1" s="1"/>
  <c r="AF1146" i="1"/>
  <c r="AF1147" i="1" s="1"/>
  <c r="AG1146" i="1"/>
  <c r="AG1147" i="1" s="1"/>
  <c r="AE1148" i="1"/>
  <c r="AF1148" i="1"/>
  <c r="AF1149" i="1" s="1"/>
  <c r="AF1150" i="1" s="1"/>
  <c r="AG1148" i="1"/>
  <c r="AG1149" i="1" s="1"/>
  <c r="AG1150" i="1" s="1"/>
  <c r="AE1151" i="1"/>
  <c r="AE1152" i="1" s="1"/>
  <c r="AF1151" i="1"/>
  <c r="AF1152" i="1" s="1"/>
  <c r="AF1153" i="1" s="1"/>
  <c r="AG1151" i="1"/>
  <c r="AG1152" i="1" s="1"/>
  <c r="AG1153" i="1" s="1"/>
  <c r="AE1154" i="1"/>
  <c r="AE1155" i="1" s="1"/>
  <c r="AF1154" i="1"/>
  <c r="AF1155" i="1" s="1"/>
  <c r="AG1154" i="1"/>
  <c r="AG1155" i="1" s="1"/>
  <c r="AE1156" i="1"/>
  <c r="AF1156" i="1"/>
  <c r="AG1156" i="1"/>
  <c r="AE1157" i="1"/>
  <c r="AF1157" i="1"/>
  <c r="AF1158" i="1" s="1"/>
  <c r="AG1157" i="1"/>
  <c r="AG1158" i="1" s="1"/>
  <c r="AE1159" i="1"/>
  <c r="AF1159" i="1"/>
  <c r="AG1159" i="1"/>
  <c r="AE1160" i="1"/>
  <c r="AE1161" i="1" s="1"/>
  <c r="AF1160" i="1"/>
  <c r="AF1161" i="1" s="1"/>
  <c r="AF1162" i="1" s="1"/>
  <c r="AG1160" i="1"/>
  <c r="AG1161" i="1" s="1"/>
  <c r="AG1162" i="1" s="1"/>
  <c r="AE1163" i="1"/>
  <c r="AE1164" i="1" s="1"/>
  <c r="AF1163" i="1"/>
  <c r="AF1164" i="1" s="1"/>
  <c r="AF1165" i="1" s="1"/>
  <c r="AG1163" i="1"/>
  <c r="AG1164" i="1" s="1"/>
  <c r="AG1165" i="1" s="1"/>
  <c r="AE1166" i="1"/>
  <c r="AE1167" i="1" s="1"/>
  <c r="AF1166" i="1"/>
  <c r="AF1167" i="1" s="1"/>
  <c r="AG1166" i="1"/>
  <c r="AG1167" i="1" s="1"/>
  <c r="AE1168" i="1"/>
  <c r="AE1169" i="1" s="1"/>
  <c r="AF1168" i="1"/>
  <c r="AF1169" i="1" s="1"/>
  <c r="AF1170" i="1" s="1"/>
  <c r="AG1168" i="1"/>
  <c r="AG1169" i="1" s="1"/>
  <c r="AG1170" i="1" s="1"/>
  <c r="AE1171" i="1"/>
  <c r="AE1172" i="1" s="1"/>
  <c r="AF1171" i="1"/>
  <c r="AF1172" i="1" s="1"/>
  <c r="AG1171" i="1"/>
  <c r="AG1172" i="1" s="1"/>
  <c r="AE1173" i="1"/>
  <c r="AE1174" i="1" s="1"/>
  <c r="AF1173" i="1"/>
  <c r="AF1174" i="1" s="1"/>
  <c r="AG1173" i="1"/>
  <c r="AG1174" i="1" s="1"/>
  <c r="AE1175" i="1"/>
  <c r="AF1175" i="1"/>
  <c r="AG1175" i="1"/>
  <c r="AE1176" i="1"/>
  <c r="AF1176" i="1"/>
  <c r="AF1177" i="1" s="1"/>
  <c r="AF1178" i="1" s="1"/>
  <c r="AG1176" i="1"/>
  <c r="AG1177" i="1" s="1"/>
  <c r="AG1178" i="1" s="1"/>
  <c r="AE1179" i="1"/>
  <c r="AE1180" i="1" s="1"/>
  <c r="AF1179" i="1"/>
  <c r="AF1180" i="1" s="1"/>
  <c r="AG1179" i="1"/>
  <c r="AG1180" i="1" s="1"/>
  <c r="AE1181" i="1"/>
  <c r="AF1181" i="1"/>
  <c r="AF1182" i="1" s="1"/>
  <c r="AG1181" i="1"/>
  <c r="AG1182" i="1" s="1"/>
  <c r="AE1183" i="1"/>
  <c r="AF1183" i="1"/>
  <c r="AF1184" i="1" s="1"/>
  <c r="AG1183" i="1"/>
  <c r="AG1184" i="1" s="1"/>
  <c r="AE1185" i="1"/>
  <c r="AE1186" i="1" s="1"/>
  <c r="AE1187" i="1" s="1"/>
  <c r="AF1185" i="1"/>
  <c r="AG1185" i="1"/>
  <c r="AG1186" i="1" s="1"/>
  <c r="AG1187" i="1" s="1"/>
  <c r="AG1188" i="1" s="1"/>
  <c r="AE1189" i="1"/>
  <c r="AE1190" i="1" s="1"/>
  <c r="AF1189" i="1"/>
  <c r="AG1189" i="1"/>
  <c r="AG1190" i="1" s="1"/>
  <c r="AE1191" i="1"/>
  <c r="AE1192" i="1" s="1"/>
  <c r="AF1191" i="1"/>
  <c r="AG1191" i="1"/>
  <c r="AG1192" i="1" s="1"/>
  <c r="AE1193" i="1"/>
  <c r="AE1194" i="1" s="1"/>
  <c r="AF1193" i="1"/>
  <c r="AF1194" i="1" s="1"/>
  <c r="AF1195" i="1" s="1"/>
  <c r="AF1196" i="1" s="1"/>
  <c r="AG1193" i="1"/>
  <c r="AG1194" i="1" s="1"/>
  <c r="AG1195" i="1" s="1"/>
  <c r="AG1196" i="1" s="1"/>
  <c r="AE1197" i="1"/>
  <c r="AF1197" i="1"/>
  <c r="AF1198" i="1" s="1"/>
  <c r="AF1199" i="1" s="1"/>
  <c r="AG1197" i="1"/>
  <c r="AG1198" i="1" s="1"/>
  <c r="AG1199" i="1" s="1"/>
  <c r="AE1200" i="1"/>
  <c r="AE1201" i="1" s="1"/>
  <c r="AF1200" i="1"/>
  <c r="AF1201" i="1" s="1"/>
  <c r="AG1200" i="1"/>
  <c r="AG1201" i="1" s="1"/>
  <c r="AE1202" i="1"/>
  <c r="AE1203" i="1" s="1"/>
  <c r="AE1204" i="1" s="1"/>
  <c r="AF1202" i="1"/>
  <c r="AF1203" i="1" s="1"/>
  <c r="AF1204" i="1" s="1"/>
  <c r="AG1202" i="1"/>
  <c r="AG1203" i="1" s="1"/>
  <c r="AG1204" i="1" s="1"/>
  <c r="AE1205" i="1"/>
  <c r="AE1206" i="1" s="1"/>
  <c r="AF1205" i="1"/>
  <c r="AF1206" i="1" s="1"/>
  <c r="AF1207" i="1" s="1"/>
  <c r="AG1205" i="1"/>
  <c r="AG1206" i="1" s="1"/>
  <c r="AG1207" i="1" s="1"/>
  <c r="AE1208" i="1"/>
  <c r="AF1208" i="1"/>
  <c r="AF1209" i="1" s="1"/>
  <c r="AG1208" i="1"/>
  <c r="AG1209" i="1" s="1"/>
  <c r="AE1210" i="1"/>
  <c r="AF1210" i="1"/>
  <c r="AF1211" i="1" s="1"/>
  <c r="AG1210" i="1"/>
  <c r="AG1211" i="1" s="1"/>
  <c r="AE1212" i="1"/>
  <c r="AF1212" i="1"/>
  <c r="AF1213" i="1" s="1"/>
  <c r="AG1212" i="1"/>
  <c r="AG1213" i="1" s="1"/>
  <c r="AE1214" i="1"/>
  <c r="AF1214" i="1"/>
  <c r="AF1215" i="1" s="1"/>
  <c r="AG1214" i="1"/>
  <c r="AG1215" i="1" s="1"/>
  <c r="AE1216" i="1"/>
  <c r="AF1216" i="1"/>
  <c r="AF1217" i="1" s="1"/>
  <c r="AF1218" i="1" s="1"/>
  <c r="AG1216" i="1"/>
  <c r="AG1217" i="1" s="1"/>
  <c r="AG1218" i="1" s="1"/>
  <c r="AE1219" i="1"/>
  <c r="AE1220" i="1" s="1"/>
  <c r="AF1219" i="1"/>
  <c r="AF1220" i="1" s="1"/>
  <c r="AG1219" i="1"/>
  <c r="AG1220" i="1" s="1"/>
  <c r="AE1221" i="1"/>
  <c r="AF1221" i="1"/>
  <c r="AF1222" i="1" s="1"/>
  <c r="AG1221" i="1"/>
  <c r="AG1222" i="1" s="1"/>
  <c r="AE1223" i="1"/>
  <c r="AF1223" i="1"/>
  <c r="AF1224" i="1" s="1"/>
  <c r="AG1223" i="1"/>
  <c r="AG1224" i="1" s="1"/>
  <c r="AE1225" i="1"/>
  <c r="AE1226" i="1" s="1"/>
  <c r="AF1225" i="1"/>
  <c r="AF1226" i="1" s="1"/>
  <c r="AG1225" i="1"/>
  <c r="AG1226" i="1" s="1"/>
  <c r="AE1227" i="1"/>
  <c r="AF1227" i="1"/>
  <c r="AG1227" i="1"/>
  <c r="AE1228" i="1"/>
  <c r="AF1228" i="1"/>
  <c r="AG1228" i="1"/>
  <c r="AE1229" i="1"/>
  <c r="AE1230" i="1" s="1"/>
  <c r="AE1231" i="1" s="1"/>
  <c r="AF1229" i="1"/>
  <c r="AF1230" i="1" s="1"/>
  <c r="AF1231" i="1" s="1"/>
  <c r="AG1229" i="1"/>
  <c r="AG1230" i="1" s="1"/>
  <c r="AG1231" i="1" s="1"/>
  <c r="AE1232" i="1"/>
  <c r="AF1232" i="1"/>
  <c r="AF1233" i="1" s="1"/>
  <c r="AG1232" i="1"/>
  <c r="AG1233" i="1" s="1"/>
  <c r="AE1234" i="1"/>
  <c r="AF1234" i="1"/>
  <c r="AG1234" i="1"/>
  <c r="AE1235" i="1"/>
  <c r="AE1236" i="1" s="1"/>
  <c r="AF1235" i="1"/>
  <c r="AF1236" i="1" s="1"/>
  <c r="AF1237" i="1" s="1"/>
  <c r="AG1235" i="1"/>
  <c r="AG1236" i="1" s="1"/>
  <c r="AG1237" i="1" s="1"/>
  <c r="AE1238" i="1"/>
  <c r="AE1239" i="1" s="1"/>
  <c r="AF1238" i="1"/>
  <c r="AF1239" i="1" s="1"/>
  <c r="AF1240" i="1" s="1"/>
  <c r="AG1238" i="1"/>
  <c r="AG1239" i="1" s="1"/>
  <c r="AG1240" i="1" s="1"/>
  <c r="AE1241" i="1"/>
  <c r="AF1241" i="1"/>
  <c r="AF1242" i="1" s="1"/>
  <c r="AG1241" i="1"/>
  <c r="AG1242" i="1" s="1"/>
  <c r="AE1243" i="1"/>
  <c r="AE1244" i="1" s="1"/>
  <c r="AF1243" i="1"/>
  <c r="AF1244" i="1" s="1"/>
  <c r="AG1243" i="1"/>
  <c r="AG1244" i="1" s="1"/>
  <c r="AE1245" i="1"/>
  <c r="AE1246" i="1" s="1"/>
  <c r="AF1245" i="1"/>
  <c r="AF1246" i="1" s="1"/>
  <c r="AG1245" i="1"/>
  <c r="AG1246" i="1" s="1"/>
  <c r="AE1247" i="1"/>
  <c r="AF1247" i="1"/>
  <c r="AF1248" i="1" s="1"/>
  <c r="AF1249" i="1" s="1"/>
  <c r="AF1250" i="1" s="1"/>
  <c r="AF1251" i="1" s="1"/>
  <c r="AF1252" i="1" s="1"/>
  <c r="AF1253" i="1" s="1"/>
  <c r="AF1254" i="1" s="1"/>
  <c r="AF1255" i="1" s="1"/>
  <c r="AF1256" i="1" s="1"/>
  <c r="AF1257" i="1" s="1"/>
  <c r="AF1258" i="1" s="1"/>
  <c r="AF1259" i="1" s="1"/>
  <c r="AF1260" i="1" s="1"/>
  <c r="AF1261" i="1" s="1"/>
  <c r="AF1262" i="1" s="1"/>
  <c r="AF1263" i="1" s="1"/>
  <c r="AF1264" i="1" s="1"/>
  <c r="AF1265" i="1" s="1"/>
  <c r="AF1266" i="1" s="1"/>
  <c r="AF1267" i="1" s="1"/>
  <c r="AF1268" i="1" s="1"/>
  <c r="AF1269" i="1" s="1"/>
  <c r="AF1270" i="1" s="1"/>
  <c r="AF1271" i="1" s="1"/>
  <c r="AF1272" i="1" s="1"/>
  <c r="AF1273" i="1" s="1"/>
  <c r="AF1274" i="1" s="1"/>
  <c r="AF1275" i="1" s="1"/>
  <c r="AF1276" i="1" s="1"/>
  <c r="AF1277" i="1" s="1"/>
  <c r="AF1278" i="1" s="1"/>
  <c r="AF1279" i="1" s="1"/>
  <c r="AF1280" i="1" s="1"/>
  <c r="AF1281" i="1" s="1"/>
  <c r="AF1282" i="1" s="1"/>
  <c r="AF1283" i="1" s="1"/>
  <c r="AF1284" i="1" s="1"/>
  <c r="AF1285" i="1" s="1"/>
  <c r="AF1286" i="1" s="1"/>
  <c r="AF1287" i="1" s="1"/>
  <c r="AF1288" i="1" s="1"/>
  <c r="AF1289" i="1" s="1"/>
  <c r="AF1290" i="1" s="1"/>
  <c r="AF1291" i="1" s="1"/>
  <c r="AF1292" i="1" s="1"/>
  <c r="AF1293" i="1" s="1"/>
  <c r="AF1294" i="1" s="1"/>
  <c r="AF1295" i="1" s="1"/>
  <c r="AF1296" i="1" s="1"/>
  <c r="AF1297" i="1" s="1"/>
  <c r="AF1298" i="1" s="1"/>
  <c r="AF1299" i="1" s="1"/>
  <c r="AF1300" i="1" s="1"/>
  <c r="AF1301" i="1" s="1"/>
  <c r="AF1302" i="1" s="1"/>
  <c r="AF1303" i="1" s="1"/>
  <c r="AF1304" i="1" s="1"/>
  <c r="AF1305" i="1" s="1"/>
  <c r="AF1306" i="1" s="1"/>
  <c r="AF1307" i="1" s="1"/>
  <c r="AF1308" i="1" s="1"/>
  <c r="AF1309" i="1" s="1"/>
  <c r="AF1310" i="1" s="1"/>
  <c r="AF1311" i="1" s="1"/>
  <c r="AF1312" i="1" s="1"/>
  <c r="AF1313" i="1" s="1"/>
  <c r="AF1314" i="1" s="1"/>
  <c r="AF1315" i="1" s="1"/>
  <c r="AF1316" i="1" s="1"/>
  <c r="AF1317" i="1" s="1"/>
  <c r="AF1318" i="1" s="1"/>
  <c r="AF1319" i="1" s="1"/>
  <c r="AF1320" i="1" s="1"/>
  <c r="AF1321" i="1" s="1"/>
  <c r="AF1322" i="1" s="1"/>
  <c r="AF1323" i="1" s="1"/>
  <c r="AF1324" i="1" s="1"/>
  <c r="AF1325" i="1" s="1"/>
  <c r="AF1326" i="1" s="1"/>
  <c r="AF1327" i="1" s="1"/>
  <c r="AF1328" i="1" s="1"/>
  <c r="AF1329" i="1" s="1"/>
  <c r="AF1330" i="1" s="1"/>
  <c r="AF1331" i="1" s="1"/>
  <c r="AF1332" i="1" s="1"/>
  <c r="AF1333" i="1" s="1"/>
  <c r="AF1334" i="1" s="1"/>
  <c r="AF1335" i="1" s="1"/>
  <c r="AF1336" i="1" s="1"/>
  <c r="AF1337" i="1" s="1"/>
  <c r="AF1338" i="1" s="1"/>
  <c r="AF1339" i="1" s="1"/>
  <c r="AF1340" i="1" s="1"/>
  <c r="AF1341" i="1" s="1"/>
  <c r="AF1342" i="1" s="1"/>
  <c r="AF1343" i="1" s="1"/>
  <c r="AF1344" i="1" s="1"/>
  <c r="AF1345" i="1" s="1"/>
  <c r="AF1346" i="1" s="1"/>
  <c r="AF1347" i="1" s="1"/>
  <c r="AF1348" i="1" s="1"/>
  <c r="AF1349" i="1" s="1"/>
  <c r="AF1350" i="1" s="1"/>
  <c r="AF1351" i="1" s="1"/>
  <c r="AF1352" i="1" s="1"/>
  <c r="AF1353" i="1" s="1"/>
  <c r="AF1354" i="1" s="1"/>
  <c r="AF1355" i="1" s="1"/>
  <c r="AF1356" i="1" s="1"/>
  <c r="AF1357" i="1" s="1"/>
  <c r="AF1358" i="1" s="1"/>
  <c r="AF1359" i="1" s="1"/>
  <c r="AF1360" i="1" s="1"/>
  <c r="AF1361" i="1" s="1"/>
  <c r="AF1362" i="1" s="1"/>
  <c r="AF1363" i="1" s="1"/>
  <c r="AF1364" i="1" s="1"/>
  <c r="AF1365" i="1" s="1"/>
  <c r="AF1366" i="1" s="1"/>
  <c r="AF1367" i="1" s="1"/>
  <c r="AF1368" i="1" s="1"/>
  <c r="AF1369" i="1" s="1"/>
  <c r="AF1370" i="1" s="1"/>
  <c r="AF1371" i="1" s="1"/>
  <c r="AF1372" i="1" s="1"/>
  <c r="AF1373" i="1" s="1"/>
  <c r="AF1374" i="1" s="1"/>
  <c r="AF1375" i="1" s="1"/>
  <c r="AF1376" i="1" s="1"/>
  <c r="AF1377" i="1" s="1"/>
  <c r="AF1378" i="1" s="1"/>
  <c r="AF1379" i="1" s="1"/>
  <c r="AF1380" i="1" s="1"/>
  <c r="AF1381" i="1" s="1"/>
  <c r="AF1382" i="1" s="1"/>
  <c r="AF1383" i="1" s="1"/>
  <c r="AF1384" i="1" s="1"/>
  <c r="AF1385" i="1" s="1"/>
  <c r="AF1386" i="1" s="1"/>
  <c r="AF1387" i="1" s="1"/>
  <c r="AF1388" i="1" s="1"/>
  <c r="AF1389" i="1" s="1"/>
  <c r="AF1390" i="1" s="1"/>
  <c r="AF1391" i="1" s="1"/>
  <c r="AF1392" i="1" s="1"/>
  <c r="AF1393" i="1" s="1"/>
  <c r="AF1394" i="1" s="1"/>
  <c r="AF1395" i="1" s="1"/>
  <c r="AF1396" i="1" s="1"/>
  <c r="AF1397" i="1" s="1"/>
  <c r="AF1398" i="1" s="1"/>
  <c r="AF1399" i="1" s="1"/>
  <c r="AF1400" i="1" s="1"/>
  <c r="AF1401" i="1" s="1"/>
  <c r="AF1402" i="1" s="1"/>
  <c r="AF1403" i="1" s="1"/>
  <c r="AF1404" i="1" s="1"/>
  <c r="AF1405" i="1" s="1"/>
  <c r="AF1406" i="1" s="1"/>
  <c r="AF1407" i="1" s="1"/>
  <c r="AF1408" i="1" s="1"/>
  <c r="AF1409" i="1" s="1"/>
  <c r="AF1410" i="1" s="1"/>
  <c r="AF1411" i="1" s="1"/>
  <c r="AF1412" i="1" s="1"/>
  <c r="AF1413" i="1" s="1"/>
  <c r="AF1414" i="1" s="1"/>
  <c r="AF1415" i="1" s="1"/>
  <c r="AF1416" i="1" s="1"/>
  <c r="AF1417" i="1" s="1"/>
  <c r="AF1418" i="1" s="1"/>
  <c r="AF1419" i="1" s="1"/>
  <c r="AF1420" i="1" s="1"/>
  <c r="AF1421" i="1" s="1"/>
  <c r="AF1422" i="1" s="1"/>
  <c r="AF1423" i="1" s="1"/>
  <c r="AF1424" i="1" s="1"/>
  <c r="AF1425" i="1" s="1"/>
  <c r="AF1426" i="1" s="1"/>
  <c r="AF1427" i="1" s="1"/>
  <c r="AF1428" i="1" s="1"/>
  <c r="AF1429" i="1" s="1"/>
  <c r="AF1430" i="1" s="1"/>
  <c r="AF1431" i="1" s="1"/>
  <c r="AF1432" i="1" s="1"/>
  <c r="AF1433" i="1" s="1"/>
  <c r="AF1434" i="1" s="1"/>
  <c r="AF1435" i="1" s="1"/>
  <c r="AF1436" i="1" s="1"/>
  <c r="AF1437" i="1" s="1"/>
  <c r="AF1438" i="1" s="1"/>
  <c r="AF1439" i="1" s="1"/>
  <c r="AF1440" i="1" s="1"/>
  <c r="AF1441" i="1" s="1"/>
  <c r="AF1442" i="1" s="1"/>
  <c r="AF1443" i="1" s="1"/>
  <c r="AF1444" i="1" s="1"/>
  <c r="AF1445" i="1" s="1"/>
  <c r="AF1446" i="1" s="1"/>
  <c r="AF1447" i="1" s="1"/>
  <c r="AF1448" i="1" s="1"/>
  <c r="AF1449" i="1" s="1"/>
  <c r="AF1450" i="1" s="1"/>
  <c r="AF1451" i="1" s="1"/>
  <c r="AF1452" i="1" s="1"/>
  <c r="AF1453" i="1" s="1"/>
  <c r="AF1454" i="1" s="1"/>
  <c r="AF1455" i="1" s="1"/>
  <c r="AF1456" i="1" s="1"/>
  <c r="AF1457" i="1" s="1"/>
  <c r="AF1458" i="1" s="1"/>
  <c r="AF1459" i="1" s="1"/>
  <c r="AF1460" i="1" s="1"/>
  <c r="AF1461" i="1" s="1"/>
  <c r="AF1462" i="1" s="1"/>
  <c r="AF1463" i="1" s="1"/>
  <c r="AF1464" i="1" s="1"/>
  <c r="AF1465" i="1" s="1"/>
  <c r="AF1466" i="1" s="1"/>
  <c r="AF1467" i="1" s="1"/>
  <c r="AF1468" i="1" s="1"/>
  <c r="AF1469" i="1" s="1"/>
  <c r="AF1470" i="1" s="1"/>
  <c r="AF1471" i="1" s="1"/>
  <c r="AF1472" i="1" s="1"/>
  <c r="AF1473" i="1" s="1"/>
  <c r="AF1474" i="1" s="1"/>
  <c r="AF1475" i="1" s="1"/>
  <c r="AF1476" i="1" s="1"/>
  <c r="AF1477" i="1" s="1"/>
  <c r="AF1478" i="1" s="1"/>
  <c r="AF1479" i="1" s="1"/>
  <c r="AF1480" i="1" s="1"/>
  <c r="AF1481" i="1" s="1"/>
  <c r="AF1482" i="1" s="1"/>
  <c r="AF1483" i="1" s="1"/>
  <c r="AF1484" i="1" s="1"/>
  <c r="AF1485" i="1" s="1"/>
  <c r="AF1486" i="1" s="1"/>
  <c r="AF1487" i="1" s="1"/>
  <c r="AF1488" i="1" s="1"/>
  <c r="AF1489" i="1" s="1"/>
  <c r="AF1490" i="1" s="1"/>
  <c r="AF1491" i="1" s="1"/>
  <c r="AF1492" i="1" s="1"/>
  <c r="AF1493" i="1" s="1"/>
  <c r="AF1494" i="1" s="1"/>
  <c r="AF1495" i="1" s="1"/>
  <c r="AF1496" i="1" s="1"/>
  <c r="AF1497" i="1" s="1"/>
  <c r="AF1498" i="1" s="1"/>
  <c r="AF1499" i="1" s="1"/>
  <c r="AF1500" i="1" s="1"/>
  <c r="AF1501" i="1" s="1"/>
  <c r="AF1502" i="1" s="1"/>
  <c r="AF1503" i="1" s="1"/>
  <c r="AF1504" i="1" s="1"/>
  <c r="AF1505" i="1" s="1"/>
  <c r="AF1506" i="1" s="1"/>
  <c r="AF1507" i="1" s="1"/>
  <c r="AF1508" i="1" s="1"/>
  <c r="AF1509" i="1" s="1"/>
  <c r="AF1510" i="1" s="1"/>
  <c r="AF1511" i="1" s="1"/>
  <c r="AF1512" i="1" s="1"/>
  <c r="AF1513" i="1" s="1"/>
  <c r="AF1514" i="1" s="1"/>
  <c r="AF1515" i="1" s="1"/>
  <c r="AF1516" i="1" s="1"/>
  <c r="AF1517" i="1" s="1"/>
  <c r="AF1518" i="1" s="1"/>
  <c r="AF1519" i="1" s="1"/>
  <c r="AF1520" i="1" s="1"/>
  <c r="AF1521" i="1" s="1"/>
  <c r="AF1522" i="1" s="1"/>
  <c r="AF1523" i="1" s="1"/>
  <c r="AF1524" i="1" s="1"/>
  <c r="AF1525" i="1" s="1"/>
  <c r="AF1526" i="1" s="1"/>
  <c r="AF1527" i="1" s="1"/>
  <c r="AF1528" i="1" s="1"/>
  <c r="AF1529" i="1" s="1"/>
  <c r="AF1530" i="1" s="1"/>
  <c r="AF1531" i="1" s="1"/>
  <c r="AF1532" i="1" s="1"/>
  <c r="AF1533" i="1" s="1"/>
  <c r="AF1534" i="1" s="1"/>
  <c r="AF1535" i="1" s="1"/>
  <c r="AF1536" i="1" s="1"/>
  <c r="AF1537" i="1" s="1"/>
  <c r="AF1538" i="1" s="1"/>
  <c r="AF1539" i="1" s="1"/>
  <c r="AF1540" i="1" s="1"/>
  <c r="AF1541" i="1" s="1"/>
  <c r="AF1542" i="1" s="1"/>
  <c r="AF1543" i="1" s="1"/>
  <c r="AF1544" i="1" s="1"/>
  <c r="AF1545" i="1" s="1"/>
  <c r="AF1546" i="1" s="1"/>
  <c r="AF1547" i="1" s="1"/>
  <c r="AF1548" i="1" s="1"/>
  <c r="AF1549" i="1" s="1"/>
  <c r="AF1550" i="1" s="1"/>
  <c r="AF1551" i="1" s="1"/>
  <c r="AF1552" i="1" s="1"/>
  <c r="AF1553" i="1" s="1"/>
  <c r="AF1554" i="1" s="1"/>
  <c r="AF1555" i="1" s="1"/>
  <c r="AF1556" i="1" s="1"/>
  <c r="AF1557" i="1" s="1"/>
  <c r="AF1558" i="1" s="1"/>
  <c r="AF1559" i="1" s="1"/>
  <c r="AF1560" i="1" s="1"/>
  <c r="AF1561" i="1" s="1"/>
  <c r="AF1562" i="1" s="1"/>
  <c r="AF1563" i="1" s="1"/>
  <c r="AF1564" i="1" s="1"/>
  <c r="AF1565" i="1" s="1"/>
  <c r="AF1566" i="1" s="1"/>
  <c r="AF1567" i="1" s="1"/>
  <c r="AF1568" i="1" s="1"/>
  <c r="AF1569" i="1" s="1"/>
  <c r="AF1570" i="1" s="1"/>
  <c r="AF1571" i="1" s="1"/>
  <c r="AF1572" i="1" s="1"/>
  <c r="AF1573" i="1" s="1"/>
  <c r="AF1574" i="1" s="1"/>
  <c r="AF1575" i="1" s="1"/>
  <c r="AF1576" i="1" s="1"/>
  <c r="AF1577" i="1" s="1"/>
  <c r="AF1578" i="1" s="1"/>
  <c r="AF1579" i="1" s="1"/>
  <c r="AF1580" i="1" s="1"/>
  <c r="AF1581" i="1" s="1"/>
  <c r="AF1582" i="1" s="1"/>
  <c r="AF1583" i="1" s="1"/>
  <c r="AF1584" i="1" s="1"/>
  <c r="AF1585" i="1" s="1"/>
  <c r="AF1586" i="1" s="1"/>
  <c r="AF1587" i="1" s="1"/>
  <c r="AF1588" i="1" s="1"/>
  <c r="AF1589" i="1" s="1"/>
  <c r="AF1590" i="1" s="1"/>
  <c r="AF1591" i="1" s="1"/>
  <c r="AF1592" i="1" s="1"/>
  <c r="AF1593" i="1" s="1"/>
  <c r="AF1594" i="1" s="1"/>
  <c r="AF1595" i="1" s="1"/>
  <c r="AF1596" i="1" s="1"/>
  <c r="AF1597" i="1" s="1"/>
  <c r="AF1598" i="1" s="1"/>
  <c r="AF1599" i="1" s="1"/>
  <c r="AF1600" i="1" s="1"/>
  <c r="AF1601" i="1" s="1"/>
  <c r="AF1602" i="1" s="1"/>
  <c r="AF1603" i="1" s="1"/>
  <c r="AF1604" i="1" s="1"/>
  <c r="AF1605" i="1" s="1"/>
  <c r="AF1606" i="1" s="1"/>
  <c r="AF1607" i="1" s="1"/>
  <c r="AF1608" i="1" s="1"/>
  <c r="AF1609" i="1" s="1"/>
  <c r="AF1610" i="1" s="1"/>
  <c r="AF1611" i="1" s="1"/>
  <c r="AF1612" i="1" s="1"/>
  <c r="AF1613" i="1" s="1"/>
  <c r="AF1614" i="1" s="1"/>
  <c r="AF1615" i="1" s="1"/>
  <c r="AF1616" i="1" s="1"/>
  <c r="AF1617" i="1" s="1"/>
  <c r="AF1618" i="1" s="1"/>
  <c r="AF1619" i="1" s="1"/>
  <c r="AF1620" i="1" s="1"/>
  <c r="AF1621" i="1" s="1"/>
  <c r="AF1622" i="1" s="1"/>
  <c r="AF1623" i="1" s="1"/>
  <c r="AF1624" i="1" s="1"/>
  <c r="AF1625" i="1" s="1"/>
  <c r="AF1626" i="1" s="1"/>
  <c r="AF1627" i="1" s="1"/>
  <c r="AF1628" i="1" s="1"/>
  <c r="AF1629" i="1" s="1"/>
  <c r="AF1630" i="1" s="1"/>
  <c r="AF1631" i="1" s="1"/>
  <c r="AF1632" i="1" s="1"/>
  <c r="AF1633" i="1" s="1"/>
  <c r="AF1634" i="1" s="1"/>
  <c r="AF1635" i="1" s="1"/>
  <c r="AF1636" i="1" s="1"/>
  <c r="AF1637" i="1" s="1"/>
  <c r="AF1638" i="1" s="1"/>
  <c r="AF1639" i="1" s="1"/>
  <c r="AF1640" i="1" s="1"/>
  <c r="AF1641" i="1" s="1"/>
  <c r="AF1642" i="1" s="1"/>
  <c r="AF1643" i="1" s="1"/>
  <c r="AF1644" i="1" s="1"/>
  <c r="AF1645" i="1" s="1"/>
  <c r="AF1646" i="1" s="1"/>
  <c r="AG1247" i="1"/>
  <c r="AG1248" i="1" s="1"/>
  <c r="AG1249" i="1" s="1"/>
  <c r="AG1250" i="1" s="1"/>
  <c r="AG1251" i="1" s="1"/>
  <c r="AG1252" i="1" s="1"/>
  <c r="AG1253" i="1" s="1"/>
  <c r="AG1254" i="1" s="1"/>
  <c r="AG1255" i="1" s="1"/>
  <c r="AG1256" i="1" s="1"/>
  <c r="AG1257" i="1" s="1"/>
  <c r="AG1258" i="1" s="1"/>
  <c r="AG1259" i="1" s="1"/>
  <c r="AG1260" i="1" s="1"/>
  <c r="AG1261" i="1" s="1"/>
  <c r="AG1262" i="1" s="1"/>
  <c r="AG1263" i="1" s="1"/>
  <c r="AG1264" i="1" s="1"/>
  <c r="AG1265" i="1" s="1"/>
  <c r="AG1266" i="1" s="1"/>
  <c r="AG1267" i="1" s="1"/>
  <c r="AG1268" i="1" s="1"/>
  <c r="AG1269" i="1" s="1"/>
  <c r="AG1270" i="1" s="1"/>
  <c r="AG1271" i="1" s="1"/>
  <c r="AG1272" i="1" s="1"/>
  <c r="AG1273" i="1" s="1"/>
  <c r="AG1274" i="1" s="1"/>
  <c r="AG1275" i="1" s="1"/>
  <c r="AG1276" i="1" s="1"/>
  <c r="AG1277" i="1" s="1"/>
  <c r="AG1278" i="1" s="1"/>
  <c r="AG1279" i="1" s="1"/>
  <c r="AG1280" i="1" s="1"/>
  <c r="AG1281" i="1" s="1"/>
  <c r="AG1282" i="1" s="1"/>
  <c r="AG1283" i="1" s="1"/>
  <c r="AG1284" i="1" s="1"/>
  <c r="AG1285" i="1" s="1"/>
  <c r="AG1286" i="1" s="1"/>
  <c r="AG1287" i="1" s="1"/>
  <c r="AG1288" i="1" s="1"/>
  <c r="AG1289" i="1" s="1"/>
  <c r="AG1290" i="1" s="1"/>
  <c r="AG1291" i="1" s="1"/>
  <c r="AG1292" i="1" s="1"/>
  <c r="AG1293" i="1" s="1"/>
  <c r="AG1294" i="1" s="1"/>
  <c r="AG1295" i="1" s="1"/>
  <c r="AG1296" i="1" s="1"/>
  <c r="AG1297" i="1" s="1"/>
  <c r="AG1298" i="1" s="1"/>
  <c r="AG1299" i="1" s="1"/>
  <c r="AG1300" i="1" s="1"/>
  <c r="AG1301" i="1" s="1"/>
  <c r="AG1302" i="1" s="1"/>
  <c r="AG1303" i="1" s="1"/>
  <c r="AG1304" i="1" s="1"/>
  <c r="AG1305" i="1" s="1"/>
  <c r="AG1306" i="1" s="1"/>
  <c r="AG1307" i="1" s="1"/>
  <c r="AG1308" i="1" s="1"/>
  <c r="AG1309" i="1" s="1"/>
  <c r="AG1310" i="1" s="1"/>
  <c r="AG1311" i="1" s="1"/>
  <c r="AG1312" i="1" s="1"/>
  <c r="AG1313" i="1" s="1"/>
  <c r="AG1314" i="1" s="1"/>
  <c r="AG1315" i="1" s="1"/>
  <c r="AG1316" i="1" s="1"/>
  <c r="AG1317" i="1" s="1"/>
  <c r="AG1318" i="1" s="1"/>
  <c r="AG1319" i="1" s="1"/>
  <c r="AG1320" i="1" s="1"/>
  <c r="AG1321" i="1" s="1"/>
  <c r="AG1322" i="1" s="1"/>
  <c r="AG1323" i="1" s="1"/>
  <c r="AG1324" i="1" s="1"/>
  <c r="AG1325" i="1" s="1"/>
  <c r="AG1326" i="1" s="1"/>
  <c r="AG1327" i="1" s="1"/>
  <c r="AG1328" i="1" s="1"/>
  <c r="AG1329" i="1" s="1"/>
  <c r="AG1330" i="1" s="1"/>
  <c r="AG1331" i="1" s="1"/>
  <c r="AG1332" i="1" s="1"/>
  <c r="AG1333" i="1" s="1"/>
  <c r="AG1334" i="1" s="1"/>
  <c r="AG1335" i="1" s="1"/>
  <c r="AG1336" i="1" s="1"/>
  <c r="AG1337" i="1" s="1"/>
  <c r="AG1338" i="1" s="1"/>
  <c r="AG1339" i="1" s="1"/>
  <c r="AG1340" i="1" s="1"/>
  <c r="AG1341" i="1" s="1"/>
  <c r="AG1342" i="1" s="1"/>
  <c r="AG1343" i="1" s="1"/>
  <c r="AG1344" i="1" s="1"/>
  <c r="AG1345" i="1" s="1"/>
  <c r="AG1346" i="1" s="1"/>
  <c r="AG1347" i="1" s="1"/>
  <c r="AG1348" i="1" s="1"/>
  <c r="AG1349" i="1" s="1"/>
  <c r="AG1350" i="1" s="1"/>
  <c r="AG1351" i="1" s="1"/>
  <c r="AG1352" i="1" s="1"/>
  <c r="AG1353" i="1" s="1"/>
  <c r="AG1354" i="1" s="1"/>
  <c r="AG1355" i="1" s="1"/>
  <c r="AG1356" i="1" s="1"/>
  <c r="AG1357" i="1" s="1"/>
  <c r="AG1358" i="1" s="1"/>
  <c r="AG1359" i="1" s="1"/>
  <c r="AG1360" i="1" s="1"/>
  <c r="AG1361" i="1" s="1"/>
  <c r="AG1362" i="1" s="1"/>
  <c r="AG1363" i="1" s="1"/>
  <c r="AG1364" i="1" s="1"/>
  <c r="AG1365" i="1" s="1"/>
  <c r="AG1366" i="1" s="1"/>
  <c r="AG1367" i="1" s="1"/>
  <c r="AG1368" i="1" s="1"/>
  <c r="AG1369" i="1" s="1"/>
  <c r="AG1370" i="1" s="1"/>
  <c r="AG1371" i="1" s="1"/>
  <c r="AG1372" i="1" s="1"/>
  <c r="AG1373" i="1" s="1"/>
  <c r="AG1374" i="1" s="1"/>
  <c r="AG1375" i="1" s="1"/>
  <c r="AG1376" i="1" s="1"/>
  <c r="AG1377" i="1" s="1"/>
  <c r="AG1378" i="1" s="1"/>
  <c r="AG1379" i="1" s="1"/>
  <c r="AG1380" i="1" s="1"/>
  <c r="AG1381" i="1" s="1"/>
  <c r="AG1382" i="1" s="1"/>
  <c r="AG1383" i="1" s="1"/>
  <c r="AG1384" i="1" s="1"/>
  <c r="AG1385" i="1" s="1"/>
  <c r="AG1386" i="1" s="1"/>
  <c r="AG1387" i="1" s="1"/>
  <c r="AG1388" i="1" s="1"/>
  <c r="AG1389" i="1" s="1"/>
  <c r="AG1390" i="1" s="1"/>
  <c r="AG1391" i="1" s="1"/>
  <c r="AG1392" i="1" s="1"/>
  <c r="AG1393" i="1" s="1"/>
  <c r="AG1394" i="1" s="1"/>
  <c r="AG1395" i="1" s="1"/>
  <c r="AG1396" i="1" s="1"/>
  <c r="AG1397" i="1" s="1"/>
  <c r="AG1398" i="1" s="1"/>
  <c r="AG1399" i="1" s="1"/>
  <c r="AG1400" i="1" s="1"/>
  <c r="AG1401" i="1" s="1"/>
  <c r="AG1402" i="1" s="1"/>
  <c r="AG1403" i="1" s="1"/>
  <c r="AG1404" i="1" s="1"/>
  <c r="AG1405" i="1" s="1"/>
  <c r="AG1406" i="1" s="1"/>
  <c r="AG1407" i="1" s="1"/>
  <c r="AG1408" i="1" s="1"/>
  <c r="AG1409" i="1" s="1"/>
  <c r="AG1410" i="1" s="1"/>
  <c r="AG1411" i="1" s="1"/>
  <c r="AG1412" i="1" s="1"/>
  <c r="AG1413" i="1" s="1"/>
  <c r="AG1414" i="1" s="1"/>
  <c r="AG1415" i="1" s="1"/>
  <c r="AG1416" i="1" s="1"/>
  <c r="AG1417" i="1" s="1"/>
  <c r="AG1418" i="1" s="1"/>
  <c r="AG1419" i="1" s="1"/>
  <c r="AG1420" i="1" s="1"/>
  <c r="AG1421" i="1" s="1"/>
  <c r="AG1422" i="1" s="1"/>
  <c r="AG1423" i="1" s="1"/>
  <c r="AG1424" i="1" s="1"/>
  <c r="AG1425" i="1" s="1"/>
  <c r="AG1426" i="1" s="1"/>
  <c r="AG1427" i="1" s="1"/>
  <c r="AG1428" i="1" s="1"/>
  <c r="AG1429" i="1" s="1"/>
  <c r="AG1430" i="1" s="1"/>
  <c r="AG1431" i="1" s="1"/>
  <c r="AG1432" i="1" s="1"/>
  <c r="AG1433" i="1" s="1"/>
  <c r="AG1434" i="1" s="1"/>
  <c r="AG1435" i="1" s="1"/>
  <c r="AG1436" i="1" s="1"/>
  <c r="AG1437" i="1" s="1"/>
  <c r="AG1438" i="1" s="1"/>
  <c r="AG1439" i="1" s="1"/>
  <c r="AG1440" i="1" s="1"/>
  <c r="AG1441" i="1" s="1"/>
  <c r="AG1442" i="1" s="1"/>
  <c r="AG1443" i="1" s="1"/>
  <c r="AG1444" i="1" s="1"/>
  <c r="AG1445" i="1" s="1"/>
  <c r="AG1446" i="1" s="1"/>
  <c r="AG1447" i="1" s="1"/>
  <c r="AG1448" i="1" s="1"/>
  <c r="AG1449" i="1" s="1"/>
  <c r="AG1450" i="1" s="1"/>
  <c r="AG1451" i="1" s="1"/>
  <c r="AG1452" i="1" s="1"/>
  <c r="AG1453" i="1" s="1"/>
  <c r="AG1454" i="1" s="1"/>
  <c r="AG1455" i="1" s="1"/>
  <c r="AG1456" i="1" s="1"/>
  <c r="AG1457" i="1" s="1"/>
  <c r="AG1458" i="1" s="1"/>
  <c r="AG1459" i="1" s="1"/>
  <c r="AG1460" i="1" s="1"/>
  <c r="AG1461" i="1" s="1"/>
  <c r="AG1462" i="1" s="1"/>
  <c r="AG1463" i="1" s="1"/>
  <c r="AG1464" i="1" s="1"/>
  <c r="AG1465" i="1" s="1"/>
  <c r="AG1466" i="1" s="1"/>
  <c r="AG1467" i="1" s="1"/>
  <c r="AG1468" i="1" s="1"/>
  <c r="AG1469" i="1" s="1"/>
  <c r="AG1470" i="1" s="1"/>
  <c r="AG1471" i="1" s="1"/>
  <c r="AG1472" i="1" s="1"/>
  <c r="AG1473" i="1" s="1"/>
  <c r="AG1474" i="1" s="1"/>
  <c r="AG1475" i="1" s="1"/>
  <c r="AG1476" i="1" s="1"/>
  <c r="AG1477" i="1" s="1"/>
  <c r="AG1478" i="1" s="1"/>
  <c r="AG1479" i="1" s="1"/>
  <c r="AG1480" i="1" s="1"/>
  <c r="AG1481" i="1" s="1"/>
  <c r="AG1482" i="1" s="1"/>
  <c r="AG1483" i="1" s="1"/>
  <c r="AG1484" i="1" s="1"/>
  <c r="AG1485" i="1" s="1"/>
  <c r="AG1486" i="1" s="1"/>
  <c r="AG1487" i="1" s="1"/>
  <c r="AG1488" i="1" s="1"/>
  <c r="AG1489" i="1" s="1"/>
  <c r="AG1490" i="1" s="1"/>
  <c r="AG1491" i="1" s="1"/>
  <c r="AG1492" i="1" s="1"/>
  <c r="AG1493" i="1" s="1"/>
  <c r="AG1494" i="1" s="1"/>
  <c r="AG1495" i="1" s="1"/>
  <c r="AG1496" i="1" s="1"/>
  <c r="AG1497" i="1" s="1"/>
  <c r="AG1498" i="1" s="1"/>
  <c r="AG1499" i="1" s="1"/>
  <c r="AG1500" i="1" s="1"/>
  <c r="AG1501" i="1" s="1"/>
  <c r="AG1502" i="1" s="1"/>
  <c r="AG1503" i="1" s="1"/>
  <c r="AG1504" i="1" s="1"/>
  <c r="AG1505" i="1" s="1"/>
  <c r="AG1506" i="1" s="1"/>
  <c r="AG1507" i="1" s="1"/>
  <c r="AG1508" i="1" s="1"/>
  <c r="AG1509" i="1" s="1"/>
  <c r="AG1510" i="1" s="1"/>
  <c r="AG1511" i="1" s="1"/>
  <c r="AG1512" i="1" s="1"/>
  <c r="AG1513" i="1" s="1"/>
  <c r="AG1514" i="1" s="1"/>
  <c r="AG1515" i="1" s="1"/>
  <c r="AG1516" i="1" s="1"/>
  <c r="AG1517" i="1" s="1"/>
  <c r="AG1518" i="1" s="1"/>
  <c r="AG1519" i="1" s="1"/>
  <c r="AG1520" i="1" s="1"/>
  <c r="AG1521" i="1" s="1"/>
  <c r="AG1522" i="1" s="1"/>
  <c r="AG1523" i="1" s="1"/>
  <c r="AG1524" i="1" s="1"/>
  <c r="AG1525" i="1" s="1"/>
  <c r="AG1526" i="1" s="1"/>
  <c r="AG1527" i="1" s="1"/>
  <c r="AG1528" i="1" s="1"/>
  <c r="AG1529" i="1" s="1"/>
  <c r="AG1530" i="1" s="1"/>
  <c r="AG1531" i="1" s="1"/>
  <c r="AG1532" i="1" s="1"/>
  <c r="AG1533" i="1" s="1"/>
  <c r="AG1534" i="1" s="1"/>
  <c r="AG1535" i="1" s="1"/>
  <c r="AG1536" i="1" s="1"/>
  <c r="AG1537" i="1" s="1"/>
  <c r="AG1538" i="1" s="1"/>
  <c r="AG1539" i="1" s="1"/>
  <c r="AG1540" i="1" s="1"/>
  <c r="AG1541" i="1" s="1"/>
  <c r="AG1542" i="1" s="1"/>
  <c r="AG1543" i="1" s="1"/>
  <c r="AG1544" i="1" s="1"/>
  <c r="AG1545" i="1" s="1"/>
  <c r="AG1546" i="1" s="1"/>
  <c r="AG1547" i="1" s="1"/>
  <c r="AG1548" i="1" s="1"/>
  <c r="AG1549" i="1" s="1"/>
  <c r="AG1550" i="1" s="1"/>
  <c r="AG1551" i="1" s="1"/>
  <c r="AG1552" i="1" s="1"/>
  <c r="AG1553" i="1" s="1"/>
  <c r="AG1554" i="1" s="1"/>
  <c r="AG1555" i="1" s="1"/>
  <c r="AG1556" i="1" s="1"/>
  <c r="AG1557" i="1" s="1"/>
  <c r="AG1558" i="1" s="1"/>
  <c r="AG1559" i="1" s="1"/>
  <c r="AG1560" i="1" s="1"/>
  <c r="AG1561" i="1" s="1"/>
  <c r="AG1562" i="1" s="1"/>
  <c r="AG1563" i="1" s="1"/>
  <c r="AG1564" i="1" s="1"/>
  <c r="AG1565" i="1" s="1"/>
  <c r="AG1566" i="1" s="1"/>
  <c r="AG1567" i="1" s="1"/>
  <c r="AG1568" i="1" s="1"/>
  <c r="AG1569" i="1" s="1"/>
  <c r="AG1570" i="1" s="1"/>
  <c r="AG1571" i="1" s="1"/>
  <c r="AG1572" i="1" s="1"/>
  <c r="AG1573" i="1" s="1"/>
  <c r="AG1574" i="1" s="1"/>
  <c r="AG1575" i="1" s="1"/>
  <c r="AG1576" i="1" s="1"/>
  <c r="AG1577" i="1" s="1"/>
  <c r="AG1578" i="1" s="1"/>
  <c r="AG1579" i="1" s="1"/>
  <c r="AG1580" i="1" s="1"/>
  <c r="AG1581" i="1" s="1"/>
  <c r="AG1582" i="1" s="1"/>
  <c r="AG1583" i="1" s="1"/>
  <c r="AG1584" i="1" s="1"/>
  <c r="AG1585" i="1" s="1"/>
  <c r="AG1586" i="1" s="1"/>
  <c r="AG1587" i="1" s="1"/>
  <c r="AG1588" i="1" s="1"/>
  <c r="AG1589" i="1" s="1"/>
  <c r="AG1590" i="1" s="1"/>
  <c r="AG1591" i="1" s="1"/>
  <c r="AG1592" i="1" s="1"/>
  <c r="AG1593" i="1" s="1"/>
  <c r="AG1594" i="1" s="1"/>
  <c r="AG1595" i="1" s="1"/>
  <c r="AG1596" i="1" s="1"/>
  <c r="AG1597" i="1" s="1"/>
  <c r="AG1598" i="1" s="1"/>
  <c r="AG1599" i="1" s="1"/>
  <c r="AG1600" i="1" s="1"/>
  <c r="AG1601" i="1" s="1"/>
  <c r="AG1602" i="1" s="1"/>
  <c r="AG1603" i="1" s="1"/>
  <c r="AG1604" i="1" s="1"/>
  <c r="AG1605" i="1" s="1"/>
  <c r="AG1606" i="1" s="1"/>
  <c r="AG1607" i="1" s="1"/>
  <c r="AG1608" i="1" s="1"/>
  <c r="AG1609" i="1" s="1"/>
  <c r="AG1610" i="1" s="1"/>
  <c r="AG1611" i="1" s="1"/>
  <c r="AG1612" i="1" s="1"/>
  <c r="AG1613" i="1" s="1"/>
  <c r="AG1614" i="1" s="1"/>
  <c r="AG1615" i="1" s="1"/>
  <c r="AG1616" i="1" s="1"/>
  <c r="AG1617" i="1" s="1"/>
  <c r="AG1618" i="1" s="1"/>
  <c r="AG1619" i="1" s="1"/>
  <c r="AG1620" i="1" s="1"/>
  <c r="AG1621" i="1" s="1"/>
  <c r="AG1622" i="1" s="1"/>
  <c r="AG1623" i="1" s="1"/>
  <c r="AG1624" i="1" s="1"/>
  <c r="AG1625" i="1" s="1"/>
  <c r="AG1626" i="1" s="1"/>
  <c r="AG1627" i="1" s="1"/>
  <c r="AG1628" i="1" s="1"/>
  <c r="AG1629" i="1" s="1"/>
  <c r="AG1630" i="1" s="1"/>
  <c r="AG1631" i="1" s="1"/>
  <c r="AG1632" i="1" s="1"/>
  <c r="AG1633" i="1" s="1"/>
  <c r="AG1634" i="1" s="1"/>
  <c r="AG1635" i="1" s="1"/>
  <c r="AG1636" i="1" s="1"/>
  <c r="AG1637" i="1" s="1"/>
  <c r="AG1638" i="1" s="1"/>
  <c r="AG1639" i="1" s="1"/>
  <c r="AG1640" i="1" s="1"/>
  <c r="AG1641" i="1" s="1"/>
  <c r="AG1642" i="1" s="1"/>
  <c r="AG1643" i="1" s="1"/>
  <c r="AG1644" i="1" s="1"/>
  <c r="AG1645" i="1" s="1"/>
  <c r="AG1646" i="1" s="1"/>
  <c r="AG6" i="1"/>
  <c r="AG7" i="1" s="1"/>
  <c r="AG8" i="1"/>
  <c r="AG9" i="1" s="1"/>
  <c r="AF6" i="1"/>
  <c r="AF7" i="1" s="1"/>
  <c r="AF8" i="1"/>
  <c r="AF9" i="1" s="1"/>
  <c r="B1701" i="1" l="1"/>
  <c r="B1702" i="1" s="1"/>
  <c r="B1704" i="1" s="1"/>
  <c r="B1705" i="1" s="1"/>
  <c r="B1707" i="1" s="1"/>
  <c r="B1708" i="1" s="1"/>
  <c r="B1710" i="1" s="1"/>
  <c r="B1711" i="1" s="1"/>
  <c r="B1712" i="1" s="1"/>
  <c r="B1713" i="1" s="1"/>
  <c r="B1714" i="1" s="1"/>
  <c r="B1715" i="1" s="1"/>
  <c r="B1717" i="1" s="1"/>
  <c r="B1718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2" i="1" s="1"/>
  <c r="B1735" i="1" s="1"/>
  <c r="B1736" i="1" s="1"/>
  <c r="B1737" i="1" s="1"/>
  <c r="B1739" i="1" s="1"/>
  <c r="B1740" i="1" s="1"/>
  <c r="B1744" i="1" s="1"/>
  <c r="B1745" i="1" s="1"/>
  <c r="B1747" i="1" s="1"/>
  <c r="B1748" i="1" s="1"/>
  <c r="B1755" i="1" s="1"/>
  <c r="B1756" i="1" s="1"/>
  <c r="B1757" i="1" s="1"/>
  <c r="B1758" i="1" s="1"/>
  <c r="B1760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9" i="1" s="1"/>
  <c r="B1781" i="1" s="1"/>
  <c r="B1782" i="1" s="1"/>
  <c r="B1784" i="1" s="1"/>
  <c r="B1785" i="1" s="1"/>
  <c r="B1786" i="1" s="1"/>
  <c r="B1788" i="1" s="1"/>
  <c r="B1791" i="1" s="1"/>
  <c r="B1792" i="1" s="1"/>
  <c r="B1793" i="1" s="1"/>
  <c r="B1794" i="1" s="1"/>
  <c r="B1795" i="1" s="1"/>
  <c r="B1799" i="1" s="1"/>
  <c r="B1800" i="1" s="1"/>
  <c r="B1802" i="1" s="1"/>
  <c r="B1803" i="1" s="1"/>
  <c r="B1804" i="1" s="1"/>
  <c r="B1805" i="1" s="1"/>
  <c r="B1807" i="1" s="1"/>
  <c r="B1808" i="1" s="1"/>
  <c r="B1809" i="1" s="1"/>
  <c r="B1810" i="1" s="1"/>
  <c r="B1812" i="1" s="1"/>
  <c r="B1813" i="1" s="1"/>
  <c r="B1814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2" i="1" s="1"/>
  <c r="B1853" i="1" s="1"/>
  <c r="B1855" i="1" s="1"/>
  <c r="B1856" i="1" s="1"/>
  <c r="B1857" i="1" s="1"/>
  <c r="B1858" i="1" s="1"/>
  <c r="B1860" i="1" s="1"/>
  <c r="B1862" i="1" s="1"/>
  <c r="B1863" i="1" s="1"/>
  <c r="B1864" i="1" s="1"/>
  <c r="B1865" i="1" s="1"/>
  <c r="B1866" i="1" s="1"/>
  <c r="B1867" i="1" s="1"/>
  <c r="B1869" i="1" s="1"/>
  <c r="B1871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8" i="1" s="1"/>
  <c r="B1889" i="1" s="1"/>
  <c r="B1890" i="1" s="1"/>
  <c r="B1891" i="1" s="1"/>
  <c r="B1893" i="1" s="1"/>
  <c r="B1895" i="1" s="1"/>
  <c r="B1897" i="1" s="1"/>
  <c r="B1898" i="1" s="1"/>
  <c r="B1899" i="1" s="1"/>
  <c r="B1900" i="1" s="1"/>
  <c r="B1901" i="1" s="1"/>
  <c r="B1902" i="1" s="1"/>
  <c r="B1903" i="1" s="1"/>
  <c r="B1904" i="1" s="1"/>
  <c r="B1906" i="1" s="1"/>
  <c r="B1908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2" i="1" s="1"/>
  <c r="B1923" i="1" s="1"/>
  <c r="B1925" i="1" s="1"/>
  <c r="B1926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8" i="1" s="1"/>
  <c r="B1940" i="1" s="1"/>
  <c r="B1941" i="1" s="1"/>
  <c r="B1942" i="1" s="1"/>
  <c r="B1943" i="1" s="1"/>
  <c r="B1944" i="1" s="1"/>
  <c r="B1945" i="1" s="1"/>
  <c r="B1947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60" i="1" s="1"/>
  <c r="B1961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9" i="1" s="1"/>
  <c r="B2001" i="1" s="1"/>
  <c r="B2004" i="1" s="1"/>
  <c r="B2005" i="1" s="1"/>
  <c r="B2006" i="1" s="1"/>
  <c r="B2007" i="1" s="1"/>
  <c r="B2008" i="1" s="1"/>
  <c r="B2010" i="1" s="1"/>
  <c r="B2011" i="1" s="1"/>
  <c r="B2013" i="1" s="1"/>
  <c r="B2014" i="1" s="1"/>
  <c r="B2016" i="1" s="1"/>
  <c r="B2017" i="1" s="1"/>
  <c r="B2018" i="1" s="1"/>
  <c r="B2019" i="1" s="1"/>
  <c r="B2021" i="1" s="1"/>
  <c r="B2023" i="1" s="1"/>
  <c r="B2024" i="1" s="1"/>
  <c r="B2025" i="1" s="1"/>
  <c r="B2026" i="1" s="1"/>
  <c r="B2027" i="1" s="1"/>
  <c r="B2029" i="1" s="1"/>
  <c r="B2031" i="1" s="1"/>
  <c r="B2033" i="1" s="1"/>
  <c r="B2034" i="1" s="1"/>
  <c r="B2036" i="1" s="1"/>
  <c r="B2038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70" i="1" s="1"/>
  <c r="B2072" i="1" s="1"/>
  <c r="B2075" i="1" s="1"/>
  <c r="B2076" i="1" s="1"/>
  <c r="B2077" i="1" s="1"/>
  <c r="B2078" i="1" s="1"/>
  <c r="B2079" i="1" s="1"/>
  <c r="B2080" i="1" s="1"/>
  <c r="B2081" i="1" s="1"/>
  <c r="B2083" i="1" s="1"/>
  <c r="B2084" i="1" s="1"/>
  <c r="B2086" i="1" s="1"/>
  <c r="B2087" i="1" s="1"/>
  <c r="B2090" i="1" s="1"/>
  <c r="B2091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AE1660" i="1"/>
  <c r="AE1222" i="1"/>
  <c r="AE258" i="1"/>
  <c r="AE34" i="1"/>
  <c r="AE35" i="1" s="1"/>
  <c r="AE12" i="1"/>
  <c r="AE114" i="1"/>
  <c r="AE115" i="1" s="1"/>
  <c r="AE58" i="1"/>
  <c r="AE59" i="1" s="1"/>
  <c r="A1652" i="1"/>
  <c r="B1653" i="1" s="1"/>
  <c r="B1647" i="1"/>
  <c r="B1648" i="1" s="1"/>
  <c r="AG1647" i="1"/>
  <c r="AG1648" i="1" s="1"/>
  <c r="AG1649" i="1" s="1"/>
  <c r="AG1650" i="1" s="1"/>
  <c r="AF1647" i="1"/>
  <c r="AF1648" i="1" s="1"/>
  <c r="AF1649" i="1" s="1"/>
  <c r="AF1650" i="1" s="1"/>
  <c r="AF21" i="1"/>
  <c r="AF22" i="1" s="1"/>
  <c r="AF23" i="1" s="1"/>
  <c r="AF136" i="1"/>
  <c r="AF137" i="1" s="1"/>
  <c r="AF285" i="1"/>
  <c r="AF286" i="1" s="1"/>
  <c r="AE260" i="1"/>
  <c r="AE929" i="1"/>
  <c r="AE144" i="1"/>
  <c r="AE853" i="1"/>
  <c r="AE332" i="1"/>
  <c r="AE76" i="1"/>
  <c r="AF56" i="1"/>
  <c r="AE1240" i="1"/>
  <c r="AF1192" i="1"/>
  <c r="AE960" i="1"/>
  <c r="AF659" i="1"/>
  <c r="AE1207" i="1"/>
  <c r="AE1213" i="1"/>
  <c r="AE1077" i="1"/>
  <c r="AE1217" i="1"/>
  <c r="AF1186" i="1"/>
  <c r="AF1187" i="1" s="1"/>
  <c r="AF1188" i="1" s="1"/>
  <c r="AE1101" i="1"/>
  <c r="AE1019" i="1"/>
  <c r="AE1089" i="1"/>
  <c r="AE1248" i="1"/>
  <c r="AE1083" i="1"/>
  <c r="AE480" i="1"/>
  <c r="AF1036" i="1"/>
  <c r="AE61" i="1"/>
  <c r="AE18" i="1"/>
  <c r="AE1153" i="1"/>
  <c r="AE1122" i="1"/>
  <c r="AE463" i="1"/>
  <c r="AE779" i="1"/>
  <c r="AN779" i="1" s="1"/>
  <c r="AN778" i="1"/>
  <c r="AE681" i="1"/>
  <c r="AF671" i="1"/>
  <c r="AF631" i="1"/>
  <c r="AF632" i="1" s="1"/>
  <c r="AE896" i="1"/>
  <c r="AF637" i="1"/>
  <c r="AF638" i="1" s="1"/>
  <c r="AE560" i="1"/>
  <c r="AE1182" i="1"/>
  <c r="AE1170" i="1"/>
  <c r="AE745" i="1"/>
  <c r="AE708" i="1"/>
  <c r="AE1224" i="1"/>
  <c r="AE1211" i="1"/>
  <c r="AE1198" i="1"/>
  <c r="AF1190" i="1"/>
  <c r="AE912" i="1"/>
  <c r="AF880" i="1"/>
  <c r="AF790" i="1"/>
  <c r="AE973" i="1"/>
  <c r="AE1165" i="1"/>
  <c r="AE1099" i="1"/>
  <c r="AE900" i="1"/>
  <c r="AE1041" i="1"/>
  <c r="AE921" i="1"/>
  <c r="AF655" i="1"/>
  <c r="AE565" i="1"/>
  <c r="AE1233" i="1"/>
  <c r="AE965" i="1"/>
  <c r="AE939" i="1"/>
  <c r="AE1195" i="1"/>
  <c r="AE1140" i="1"/>
  <c r="AE1127" i="1"/>
  <c r="AE1188" i="1"/>
  <c r="AE1162" i="1"/>
  <c r="AE684" i="1"/>
  <c r="AF635" i="1"/>
  <c r="AF1051" i="1"/>
  <c r="AE1004" i="1"/>
  <c r="AE510" i="1"/>
  <c r="AE752" i="1"/>
  <c r="AE935" i="1"/>
  <c r="AE469" i="1"/>
  <c r="AE338" i="1"/>
  <c r="AE1097" i="1"/>
  <c r="AF899" i="1"/>
  <c r="AF900" i="1" s="1"/>
  <c r="AF725" i="1"/>
  <c r="AF603" i="1"/>
  <c r="AF583" i="1"/>
  <c r="AE501" i="1"/>
  <c r="AE264" i="1"/>
  <c r="AE1237" i="1"/>
  <c r="AE1120" i="1"/>
  <c r="AE820" i="1"/>
  <c r="AE433" i="1"/>
  <c r="AE1184" i="1"/>
  <c r="AE951" i="1"/>
  <c r="AE1177" i="1"/>
  <c r="AE956" i="1"/>
  <c r="AE609" i="1"/>
  <c r="AE1209" i="1"/>
  <c r="AE1131" i="1"/>
  <c r="AE997" i="1"/>
  <c r="AE556" i="1"/>
  <c r="AE968" i="1"/>
  <c r="AE824" i="1"/>
  <c r="AE668" i="1"/>
  <c r="AE507" i="1"/>
  <c r="AE493" i="1"/>
  <c r="AE1149" i="1"/>
  <c r="AE1071" i="1"/>
  <c r="AE1065" i="1"/>
  <c r="AE761" i="1"/>
  <c r="AE716" i="1"/>
  <c r="AF539" i="1"/>
  <c r="AE817" i="1"/>
  <c r="AE445" i="1"/>
  <c r="AE439" i="1"/>
  <c r="AE1242" i="1"/>
  <c r="AE1080" i="1"/>
  <c r="AE976" i="1"/>
  <c r="AE947" i="1"/>
  <c r="AE868" i="1"/>
  <c r="AF776" i="1"/>
  <c r="AF731" i="1"/>
  <c r="AE593" i="1"/>
  <c r="AE243" i="1"/>
  <c r="AE1108" i="1"/>
  <c r="AE736" i="1"/>
  <c r="AE713" i="1"/>
  <c r="AE1215" i="1"/>
  <c r="AE1158" i="1"/>
  <c r="AE1024" i="1"/>
  <c r="AE1017" i="1"/>
  <c r="AE833" i="1"/>
  <c r="AE518" i="1"/>
  <c r="AE985" i="1"/>
  <c r="AE808" i="1"/>
  <c r="AE1136" i="1"/>
  <c r="AE995" i="1"/>
  <c r="AE872" i="1"/>
  <c r="AF813" i="1"/>
  <c r="AE748" i="1"/>
  <c r="AF255" i="1"/>
  <c r="AE805" i="1"/>
  <c r="AE665" i="1"/>
  <c r="AE499" i="1"/>
  <c r="AF418" i="1"/>
  <c r="AF419" i="1" s="1"/>
  <c r="AE232" i="1"/>
  <c r="AE32" i="1"/>
  <c r="AF37" i="1"/>
  <c r="AE512" i="1"/>
  <c r="AF763" i="1"/>
  <c r="AF764" i="1" s="1"/>
  <c r="AE706" i="1"/>
  <c r="AF687" i="1"/>
  <c r="AE253" i="1"/>
  <c r="AE151" i="1"/>
  <c r="AE815" i="1"/>
  <c r="AF727" i="1"/>
  <c r="AF728" i="1" s="1"/>
  <c r="AE589" i="1"/>
  <c r="AE275" i="1"/>
  <c r="AE170" i="1"/>
  <c r="AE1053" i="1"/>
  <c r="AE1029" i="1"/>
  <c r="AE645" i="1"/>
  <c r="AE528" i="1"/>
  <c r="AE108" i="1"/>
  <c r="AE503" i="1"/>
  <c r="AE175" i="1"/>
  <c r="AE856" i="1"/>
  <c r="AF767" i="1"/>
  <c r="AE533" i="1"/>
  <c r="AE198" i="1"/>
  <c r="AE525" i="1"/>
  <c r="AE411" i="1"/>
  <c r="AE279" i="1"/>
  <c r="AE168" i="1"/>
  <c r="AF67" i="1"/>
  <c r="AE449" i="1"/>
  <c r="AE395" i="1"/>
  <c r="AE155" i="1"/>
  <c r="AE137" i="1"/>
  <c r="AE422" i="1"/>
  <c r="AE296" i="1"/>
  <c r="AE251" i="1"/>
  <c r="AE245" i="1"/>
  <c r="AE240" i="1"/>
  <c r="AE219" i="1"/>
  <c r="AE638" i="1"/>
  <c r="AE354" i="1"/>
  <c r="AF100" i="1"/>
  <c r="AE437" i="1"/>
  <c r="AF426" i="1"/>
  <c r="AE283" i="1"/>
  <c r="AE419" i="1"/>
  <c r="AE409" i="1"/>
  <c r="AE351" i="1"/>
  <c r="AE346" i="1"/>
  <c r="AE200" i="1"/>
  <c r="AE45" i="1"/>
  <c r="AE29" i="1"/>
  <c r="AE606" i="1"/>
  <c r="AE482" i="1"/>
  <c r="AE317" i="1"/>
  <c r="AE249" i="1"/>
  <c r="AE52" i="1"/>
  <c r="AF430" i="1"/>
  <c r="AE236" i="1"/>
  <c r="AE117" i="1"/>
  <c r="AE97" i="1"/>
  <c r="AE367" i="1"/>
  <c r="AE330" i="1"/>
  <c r="AE69" i="1"/>
  <c r="AE334" i="1"/>
  <c r="AE313" i="1"/>
  <c r="AE298" i="1"/>
  <c r="AE142" i="1"/>
  <c r="AF39" i="1"/>
  <c r="AE375" i="1"/>
  <c r="AE206" i="1"/>
  <c r="AE455" i="1"/>
  <c r="AE359" i="1"/>
  <c r="AE185" i="1"/>
  <c r="AE126" i="1"/>
  <c r="AE42" i="1"/>
  <c r="AE22" i="1"/>
  <c r="AE134" i="1"/>
  <c r="AE82" i="1"/>
  <c r="AE74" i="1"/>
  <c r="AD1113" i="1"/>
  <c r="AN1113" i="1" s="1"/>
  <c r="AD1097" i="1"/>
  <c r="AD1096" i="1"/>
  <c r="AN1096" i="1" s="1"/>
  <c r="AD1055" i="1"/>
  <c r="AN1055" i="1" s="1"/>
  <c r="AD1054" i="1"/>
  <c r="AN1054" i="1" s="1"/>
  <c r="AD1053" i="1"/>
  <c r="AD1052" i="1"/>
  <c r="AN1052" i="1" s="1"/>
  <c r="AD1030" i="1"/>
  <c r="AD1029" i="1"/>
  <c r="AD1028" i="1"/>
  <c r="AN1028" i="1" s="1"/>
  <c r="AD1027" i="1"/>
  <c r="AN1027" i="1" s="1"/>
  <c r="AD1026" i="1"/>
  <c r="AN1026" i="1" s="1"/>
  <c r="AD1025" i="1"/>
  <c r="AN1025" i="1" s="1"/>
  <c r="AD903" i="1"/>
  <c r="AN903" i="1" s="1"/>
  <c r="AD902" i="1"/>
  <c r="AN902" i="1" s="1"/>
  <c r="AD901" i="1"/>
  <c r="AN901" i="1" s="1"/>
  <c r="AD893" i="1"/>
  <c r="AN893" i="1" s="1"/>
  <c r="AD892" i="1"/>
  <c r="AN892" i="1" s="1"/>
  <c r="AD884" i="1"/>
  <c r="AN884" i="1" s="1"/>
  <c r="AD883" i="1"/>
  <c r="AN883" i="1" s="1"/>
  <c r="AD882" i="1"/>
  <c r="AN882" i="1" s="1"/>
  <c r="AD881" i="1"/>
  <c r="AN881" i="1" s="1"/>
  <c r="AD861" i="1"/>
  <c r="AN861" i="1" s="1"/>
  <c r="AD860" i="1"/>
  <c r="AN860" i="1" s="1"/>
  <c r="AD815" i="1"/>
  <c r="AD814" i="1"/>
  <c r="AN814" i="1" s="1"/>
  <c r="AD779" i="1"/>
  <c r="AD778" i="1"/>
  <c r="AD777" i="1"/>
  <c r="AN777" i="1" s="1"/>
  <c r="AD669" i="1"/>
  <c r="AD668" i="1"/>
  <c r="AD667" i="1"/>
  <c r="AN667" i="1" s="1"/>
  <c r="AD655" i="1"/>
  <c r="AD654" i="1"/>
  <c r="AN654" i="1" s="1"/>
  <c r="AD620" i="1"/>
  <c r="AN620" i="1" s="1"/>
  <c r="AD619" i="1"/>
  <c r="AN619" i="1" s="1"/>
  <c r="AN1053" i="1" l="1"/>
  <c r="AN1097" i="1"/>
  <c r="AN815" i="1"/>
  <c r="AE1661" i="1"/>
  <c r="AN655" i="1"/>
  <c r="B1650" i="1"/>
  <c r="B1651" i="1" s="1"/>
  <c r="B1652" i="1" s="1"/>
  <c r="AE46" i="1"/>
  <c r="AE590" i="1"/>
  <c r="AE1150" i="1"/>
  <c r="AE974" i="1"/>
  <c r="AE519" i="1"/>
  <c r="AE922" i="1"/>
  <c r="AE746" i="1"/>
  <c r="AE666" i="1"/>
  <c r="AE669" i="1"/>
  <c r="AN669" i="1" s="1"/>
  <c r="AN668" i="1"/>
  <c r="AE1196" i="1"/>
  <c r="AE930" i="1"/>
  <c r="AE873" i="1"/>
  <c r="AE450" i="1"/>
  <c r="AE98" i="1"/>
  <c r="AE171" i="1"/>
  <c r="AE940" i="1"/>
  <c r="AE913" i="1"/>
  <c r="AE1218" i="1"/>
  <c r="AE314" i="1"/>
  <c r="AE396" i="1"/>
  <c r="AN565" i="1"/>
  <c r="AE566" i="1"/>
  <c r="AN566" i="1" s="1"/>
  <c r="AE948" i="1"/>
  <c r="AE1109" i="1"/>
  <c r="AE806" i="1"/>
  <c r="AE1081" i="1"/>
  <c r="AE685" i="1"/>
  <c r="AE261" i="1"/>
  <c r="AE23" i="1"/>
  <c r="AE809" i="1"/>
  <c r="AE610" i="1"/>
  <c r="AE434" i="1"/>
  <c r="AE1005" i="1"/>
  <c r="AE494" i="1"/>
  <c r="AF660" i="1"/>
  <c r="AE456" i="1"/>
  <c r="AE276" i="1"/>
  <c r="AE339" i="1"/>
  <c r="AN1029" i="1"/>
  <c r="AE1030" i="1"/>
  <c r="AN1030" i="1" s="1"/>
  <c r="AE483" i="1"/>
  <c r="AE237" i="1"/>
  <c r="AE534" i="1"/>
  <c r="AE109" i="1"/>
  <c r="AF688" i="1"/>
  <c r="AE594" i="1"/>
  <c r="AE201" i="1"/>
  <c r="AE1128" i="1"/>
  <c r="AF40" i="1"/>
  <c r="AE299" i="1"/>
  <c r="AE376" i="1"/>
  <c r="AE1199" i="1"/>
  <c r="AE1249" i="1"/>
  <c r="AE1141" i="1"/>
  <c r="AE233" i="1"/>
  <c r="AE709" i="1"/>
  <c r="AE508" i="1"/>
  <c r="AE30" i="1"/>
  <c r="AE19" i="1"/>
  <c r="AE1178" i="1"/>
  <c r="AE62" i="1"/>
  <c r="AF791" i="1"/>
  <c r="AE998" i="1"/>
  <c r="AD566" i="1"/>
  <c r="AD565" i="1"/>
  <c r="AD564" i="1"/>
  <c r="AN564" i="1" s="1"/>
  <c r="AD473" i="1"/>
  <c r="AN473" i="1" s="1"/>
  <c r="AD445" i="1"/>
  <c r="AN445" i="1" s="1"/>
  <c r="AD444" i="1"/>
  <c r="AN444" i="1" s="1"/>
  <c r="AD443" i="1"/>
  <c r="AN443" i="1" s="1"/>
  <c r="AD422" i="1"/>
  <c r="AN422" i="1" s="1"/>
  <c r="AD421" i="1"/>
  <c r="AN421" i="1" s="1"/>
  <c r="AD420" i="1"/>
  <c r="AN420" i="1" s="1"/>
  <c r="AD356" i="1"/>
  <c r="AN356" i="1" s="1"/>
  <c r="AD355" i="1"/>
  <c r="AN355" i="1" s="1"/>
  <c r="AD354" i="1"/>
  <c r="AN354" i="1" s="1"/>
  <c r="AD353" i="1"/>
  <c r="AN353" i="1" s="1"/>
  <c r="AD352" i="1"/>
  <c r="AN352" i="1" s="1"/>
  <c r="AD62" i="1"/>
  <c r="AD61" i="1"/>
  <c r="AN61" i="1" s="1"/>
  <c r="AD60" i="1"/>
  <c r="AN60" i="1" s="1"/>
  <c r="AD59" i="1"/>
  <c r="AN59" i="1" s="1"/>
  <c r="AD58" i="1"/>
  <c r="AN58" i="1" s="1"/>
  <c r="AD57" i="1"/>
  <c r="AN57" i="1" s="1"/>
  <c r="AD49" i="1"/>
  <c r="AN49" i="1" s="1"/>
  <c r="AD50" i="1"/>
  <c r="AN50" i="1" s="1"/>
  <c r="V81" i="8"/>
  <c r="V82" i="8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V119" i="8" s="1"/>
  <c r="V120" i="8" s="1"/>
  <c r="V121" i="8" s="1"/>
  <c r="V122" i="8" s="1"/>
  <c r="V123" i="8" s="1"/>
  <c r="V124" i="8" s="1"/>
  <c r="V125" i="8" s="1"/>
  <c r="V126" i="8" s="1"/>
  <c r="V127" i="8" s="1"/>
  <c r="V128" i="8" s="1"/>
  <c r="V129" i="8" s="1"/>
  <c r="V130" i="8" s="1"/>
  <c r="V131" i="8" s="1"/>
  <c r="V132" i="8" s="1"/>
  <c r="V133" i="8" s="1"/>
  <c r="V134" i="8" s="1"/>
  <c r="V135" i="8" s="1"/>
  <c r="V136" i="8" s="1"/>
  <c r="V137" i="8" s="1"/>
  <c r="V138" i="8" s="1"/>
  <c r="V139" i="8" s="1"/>
  <c r="V140" i="8" s="1"/>
  <c r="V141" i="8" s="1"/>
  <c r="V142" i="8" s="1"/>
  <c r="V143" i="8" s="1"/>
  <c r="V144" i="8" s="1"/>
  <c r="V145" i="8" s="1"/>
  <c r="V146" i="8" s="1"/>
  <c r="V147" i="8" s="1"/>
  <c r="V148" i="8" s="1"/>
  <c r="V149" i="8" s="1"/>
  <c r="V150" i="8" s="1"/>
  <c r="V151" i="8" s="1"/>
  <c r="V152" i="8" s="1"/>
  <c r="V153" i="8" s="1"/>
  <c r="V154" i="8" s="1"/>
  <c r="V155" i="8" s="1"/>
  <c r="V156" i="8" s="1"/>
  <c r="V157" i="8" s="1"/>
  <c r="V158" i="8" s="1"/>
  <c r="V159" i="8" s="1"/>
  <c r="V160" i="8" s="1"/>
  <c r="V161" i="8" s="1"/>
  <c r="V162" i="8" s="1"/>
  <c r="V163" i="8" s="1"/>
  <c r="V164" i="8" s="1"/>
  <c r="V165" i="8" s="1"/>
  <c r="V166" i="8" s="1"/>
  <c r="V167" i="8" s="1"/>
  <c r="V168" i="8" s="1"/>
  <c r="V169" i="8" s="1"/>
  <c r="V170" i="8" s="1"/>
  <c r="V171" i="8" s="1"/>
  <c r="V172" i="8" s="1"/>
  <c r="V173" i="8" s="1"/>
  <c r="V174" i="8" s="1"/>
  <c r="V175" i="8" s="1"/>
  <c r="V176" i="8" s="1"/>
  <c r="V177" i="8" s="1"/>
  <c r="V178" i="8" s="1"/>
  <c r="V179" i="8" s="1"/>
  <c r="V180" i="8" s="1"/>
  <c r="V181" i="8" s="1"/>
  <c r="V182" i="8" s="1"/>
  <c r="V183" i="8" s="1"/>
  <c r="V184" i="8" s="1"/>
  <c r="V185" i="8" s="1"/>
  <c r="V186" i="8" s="1"/>
  <c r="V187" i="8" s="1"/>
  <c r="V188" i="8" s="1"/>
  <c r="V189" i="8" s="1"/>
  <c r="V190" i="8" s="1"/>
  <c r="V191" i="8" s="1"/>
  <c r="V192" i="8" s="1"/>
  <c r="V193" i="8" s="1"/>
  <c r="V194" i="8" s="1"/>
  <c r="V195" i="8" s="1"/>
  <c r="V196" i="8" s="1"/>
  <c r="V197" i="8" s="1"/>
  <c r="V198" i="8" s="1"/>
  <c r="V199" i="8" s="1"/>
  <c r="V79" i="8"/>
  <c r="V80" i="8" s="1"/>
  <c r="V44" i="8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43" i="8"/>
  <c r="P3" i="8"/>
  <c r="Q3" i="8"/>
  <c r="R3" i="8"/>
  <c r="S3" i="8"/>
  <c r="T3" i="8"/>
  <c r="P4" i="8"/>
  <c r="Q4" i="8"/>
  <c r="R4" i="8"/>
  <c r="S4" i="8"/>
  <c r="T4" i="8"/>
  <c r="P5" i="8"/>
  <c r="Q5" i="8"/>
  <c r="R5" i="8"/>
  <c r="S5" i="8"/>
  <c r="T5" i="8"/>
  <c r="P6" i="8"/>
  <c r="Q6" i="8"/>
  <c r="R6" i="8"/>
  <c r="S6" i="8"/>
  <c r="T6" i="8"/>
  <c r="P7" i="8"/>
  <c r="Q7" i="8"/>
  <c r="R7" i="8"/>
  <c r="S7" i="8"/>
  <c r="T7" i="8"/>
  <c r="P8" i="8"/>
  <c r="Q8" i="8"/>
  <c r="R8" i="8"/>
  <c r="S8" i="8"/>
  <c r="T8" i="8"/>
  <c r="P9" i="8"/>
  <c r="Q9" i="8"/>
  <c r="R9" i="8"/>
  <c r="S9" i="8"/>
  <c r="T9" i="8"/>
  <c r="P10" i="8"/>
  <c r="Q10" i="8"/>
  <c r="R10" i="8"/>
  <c r="S10" i="8"/>
  <c r="T10" i="8"/>
  <c r="P11" i="8"/>
  <c r="Q11" i="8"/>
  <c r="R11" i="8"/>
  <c r="S11" i="8"/>
  <c r="T11" i="8"/>
  <c r="P12" i="8"/>
  <c r="Q12" i="8"/>
  <c r="R12" i="8"/>
  <c r="S12" i="8"/>
  <c r="T12" i="8"/>
  <c r="P13" i="8"/>
  <c r="Q13" i="8"/>
  <c r="R13" i="8"/>
  <c r="S13" i="8"/>
  <c r="T13" i="8"/>
  <c r="P14" i="8"/>
  <c r="Q14" i="8"/>
  <c r="R14" i="8"/>
  <c r="S14" i="8"/>
  <c r="T14" i="8"/>
  <c r="P15" i="8"/>
  <c r="Q15" i="8"/>
  <c r="R15" i="8"/>
  <c r="S15" i="8"/>
  <c r="T15" i="8"/>
  <c r="P16" i="8"/>
  <c r="Q16" i="8"/>
  <c r="R16" i="8"/>
  <c r="S16" i="8"/>
  <c r="T16" i="8"/>
  <c r="P17" i="8"/>
  <c r="Q17" i="8"/>
  <c r="R17" i="8"/>
  <c r="S17" i="8"/>
  <c r="T17" i="8"/>
  <c r="P18" i="8"/>
  <c r="Q18" i="8"/>
  <c r="R18" i="8"/>
  <c r="S18" i="8"/>
  <c r="T18" i="8"/>
  <c r="P19" i="8"/>
  <c r="Q19" i="8"/>
  <c r="R19" i="8"/>
  <c r="S19" i="8"/>
  <c r="T19" i="8"/>
  <c r="P20" i="8"/>
  <c r="Q20" i="8"/>
  <c r="R20" i="8"/>
  <c r="S20" i="8"/>
  <c r="T20" i="8"/>
  <c r="P21" i="8"/>
  <c r="Q21" i="8"/>
  <c r="R21" i="8"/>
  <c r="S21" i="8"/>
  <c r="T21" i="8"/>
  <c r="P22" i="8"/>
  <c r="Q22" i="8"/>
  <c r="R22" i="8"/>
  <c r="S22" i="8"/>
  <c r="T22" i="8"/>
  <c r="P23" i="8"/>
  <c r="Q23" i="8"/>
  <c r="R23" i="8"/>
  <c r="S23" i="8"/>
  <c r="T23" i="8"/>
  <c r="P24" i="8"/>
  <c r="Q24" i="8"/>
  <c r="R24" i="8"/>
  <c r="S24" i="8"/>
  <c r="T24" i="8"/>
  <c r="P25" i="8"/>
  <c r="Q25" i="8"/>
  <c r="R25" i="8"/>
  <c r="S25" i="8"/>
  <c r="T25" i="8"/>
  <c r="P26" i="8"/>
  <c r="Q26" i="8"/>
  <c r="R26" i="8"/>
  <c r="S26" i="8"/>
  <c r="T26" i="8"/>
  <c r="P27" i="8"/>
  <c r="Q27" i="8"/>
  <c r="R27" i="8"/>
  <c r="S27" i="8"/>
  <c r="T27" i="8"/>
  <c r="P28" i="8"/>
  <c r="Q28" i="8"/>
  <c r="R28" i="8"/>
  <c r="S28" i="8"/>
  <c r="T28" i="8"/>
  <c r="P29" i="8"/>
  <c r="Q29" i="8"/>
  <c r="R29" i="8"/>
  <c r="S29" i="8"/>
  <c r="T29" i="8"/>
  <c r="P30" i="8"/>
  <c r="Q30" i="8"/>
  <c r="R30" i="8"/>
  <c r="S30" i="8"/>
  <c r="T30" i="8"/>
  <c r="P31" i="8"/>
  <c r="Q31" i="8"/>
  <c r="R31" i="8"/>
  <c r="S31" i="8"/>
  <c r="T31" i="8"/>
  <c r="P32" i="8"/>
  <c r="Q32" i="8"/>
  <c r="R32" i="8"/>
  <c r="S32" i="8"/>
  <c r="T32" i="8"/>
  <c r="P33" i="8"/>
  <c r="Q33" i="8"/>
  <c r="R33" i="8"/>
  <c r="S33" i="8"/>
  <c r="T33" i="8"/>
  <c r="P34" i="8"/>
  <c r="Q34" i="8"/>
  <c r="R34" i="8"/>
  <c r="S34" i="8"/>
  <c r="T34" i="8"/>
  <c r="P35" i="8"/>
  <c r="Q35" i="8"/>
  <c r="R35" i="8"/>
  <c r="S35" i="8"/>
  <c r="T35" i="8"/>
  <c r="P36" i="8"/>
  <c r="Q36" i="8"/>
  <c r="R36" i="8"/>
  <c r="S36" i="8"/>
  <c r="T36" i="8"/>
  <c r="P37" i="8"/>
  <c r="Q37" i="8"/>
  <c r="R37" i="8"/>
  <c r="S37" i="8"/>
  <c r="T37" i="8"/>
  <c r="P38" i="8"/>
  <c r="Q38" i="8"/>
  <c r="R38" i="8"/>
  <c r="S38" i="8"/>
  <c r="T38" i="8"/>
  <c r="P39" i="8"/>
  <c r="Q39" i="8"/>
  <c r="R39" i="8"/>
  <c r="S39" i="8"/>
  <c r="T39" i="8"/>
  <c r="P40" i="8"/>
  <c r="Q40" i="8"/>
  <c r="R40" i="8"/>
  <c r="S40" i="8"/>
  <c r="T40" i="8"/>
  <c r="P41" i="8"/>
  <c r="Q41" i="8"/>
  <c r="R41" i="8"/>
  <c r="S41" i="8"/>
  <c r="T41" i="8"/>
  <c r="P42" i="8"/>
  <c r="Q42" i="8"/>
  <c r="R42" i="8"/>
  <c r="S42" i="8"/>
  <c r="T42" i="8"/>
  <c r="P43" i="8"/>
  <c r="Q43" i="8"/>
  <c r="R43" i="8"/>
  <c r="S43" i="8"/>
  <c r="T43" i="8"/>
  <c r="P44" i="8"/>
  <c r="Q44" i="8"/>
  <c r="R44" i="8"/>
  <c r="S44" i="8"/>
  <c r="T44" i="8"/>
  <c r="P45" i="8"/>
  <c r="Q45" i="8"/>
  <c r="R45" i="8"/>
  <c r="S45" i="8"/>
  <c r="T45" i="8"/>
  <c r="P46" i="8"/>
  <c r="Q46" i="8"/>
  <c r="R46" i="8"/>
  <c r="S46" i="8"/>
  <c r="T46" i="8"/>
  <c r="P47" i="8"/>
  <c r="Q47" i="8"/>
  <c r="R47" i="8"/>
  <c r="S47" i="8"/>
  <c r="T47" i="8"/>
  <c r="P48" i="8"/>
  <c r="Q48" i="8"/>
  <c r="R48" i="8"/>
  <c r="S48" i="8"/>
  <c r="T48" i="8"/>
  <c r="P49" i="8"/>
  <c r="Q49" i="8"/>
  <c r="R49" i="8"/>
  <c r="S49" i="8"/>
  <c r="T49" i="8"/>
  <c r="P50" i="8"/>
  <c r="Q50" i="8"/>
  <c r="R50" i="8"/>
  <c r="S50" i="8"/>
  <c r="T50" i="8"/>
  <c r="P51" i="8"/>
  <c r="Q51" i="8"/>
  <c r="R51" i="8"/>
  <c r="S51" i="8"/>
  <c r="T51" i="8"/>
  <c r="P52" i="8"/>
  <c r="Q52" i="8"/>
  <c r="R52" i="8"/>
  <c r="S52" i="8"/>
  <c r="T52" i="8"/>
  <c r="P53" i="8"/>
  <c r="Q53" i="8"/>
  <c r="R53" i="8"/>
  <c r="S53" i="8"/>
  <c r="T53" i="8"/>
  <c r="P54" i="8"/>
  <c r="Q54" i="8"/>
  <c r="R54" i="8"/>
  <c r="S54" i="8"/>
  <c r="T54" i="8"/>
  <c r="P55" i="8"/>
  <c r="Q55" i="8"/>
  <c r="R55" i="8"/>
  <c r="S55" i="8"/>
  <c r="T55" i="8"/>
  <c r="P56" i="8"/>
  <c r="Q56" i="8"/>
  <c r="R56" i="8"/>
  <c r="S56" i="8"/>
  <c r="T56" i="8"/>
  <c r="P57" i="8"/>
  <c r="Q57" i="8"/>
  <c r="R57" i="8"/>
  <c r="S57" i="8"/>
  <c r="T57" i="8"/>
  <c r="P58" i="8"/>
  <c r="Q58" i="8"/>
  <c r="R58" i="8"/>
  <c r="S58" i="8"/>
  <c r="T58" i="8"/>
  <c r="P59" i="8"/>
  <c r="Q59" i="8"/>
  <c r="R59" i="8"/>
  <c r="S59" i="8"/>
  <c r="T59" i="8"/>
  <c r="P60" i="8"/>
  <c r="Q60" i="8"/>
  <c r="R60" i="8"/>
  <c r="S60" i="8"/>
  <c r="T60" i="8"/>
  <c r="P61" i="8"/>
  <c r="Q61" i="8"/>
  <c r="R61" i="8"/>
  <c r="S61" i="8"/>
  <c r="T61" i="8"/>
  <c r="P62" i="8"/>
  <c r="Q62" i="8"/>
  <c r="R62" i="8"/>
  <c r="S62" i="8"/>
  <c r="T62" i="8"/>
  <c r="P63" i="8"/>
  <c r="Q63" i="8"/>
  <c r="R63" i="8"/>
  <c r="S63" i="8"/>
  <c r="T63" i="8"/>
  <c r="P64" i="8"/>
  <c r="Q64" i="8"/>
  <c r="R64" i="8"/>
  <c r="S64" i="8"/>
  <c r="T64" i="8"/>
  <c r="P65" i="8"/>
  <c r="Q65" i="8"/>
  <c r="R65" i="8"/>
  <c r="S65" i="8"/>
  <c r="T65" i="8"/>
  <c r="P66" i="8"/>
  <c r="Q66" i="8"/>
  <c r="R66" i="8"/>
  <c r="S66" i="8"/>
  <c r="T66" i="8"/>
  <c r="P67" i="8"/>
  <c r="Q67" i="8"/>
  <c r="R67" i="8"/>
  <c r="S67" i="8"/>
  <c r="T67" i="8"/>
  <c r="P68" i="8"/>
  <c r="Q68" i="8"/>
  <c r="R68" i="8"/>
  <c r="S68" i="8"/>
  <c r="T68" i="8"/>
  <c r="P69" i="8"/>
  <c r="Q69" i="8"/>
  <c r="R69" i="8"/>
  <c r="S69" i="8"/>
  <c r="T69" i="8"/>
  <c r="P70" i="8"/>
  <c r="Q70" i="8"/>
  <c r="R70" i="8"/>
  <c r="S70" i="8"/>
  <c r="T70" i="8"/>
  <c r="P71" i="8"/>
  <c r="Q71" i="8"/>
  <c r="R71" i="8"/>
  <c r="S71" i="8"/>
  <c r="T71" i="8"/>
  <c r="P72" i="8"/>
  <c r="Q72" i="8"/>
  <c r="R72" i="8"/>
  <c r="S72" i="8"/>
  <c r="T72" i="8"/>
  <c r="P73" i="8"/>
  <c r="Q73" i="8"/>
  <c r="R73" i="8"/>
  <c r="S73" i="8"/>
  <c r="T73" i="8"/>
  <c r="P74" i="8"/>
  <c r="Q74" i="8"/>
  <c r="R74" i="8"/>
  <c r="S74" i="8"/>
  <c r="T74" i="8"/>
  <c r="P75" i="8"/>
  <c r="Q75" i="8"/>
  <c r="R75" i="8"/>
  <c r="S75" i="8"/>
  <c r="T75" i="8"/>
  <c r="P76" i="8"/>
  <c r="Q76" i="8"/>
  <c r="R76" i="8"/>
  <c r="S76" i="8"/>
  <c r="T76" i="8"/>
  <c r="P77" i="8"/>
  <c r="Q77" i="8"/>
  <c r="R77" i="8"/>
  <c r="S77" i="8"/>
  <c r="T77" i="8"/>
  <c r="P78" i="8"/>
  <c r="Q78" i="8"/>
  <c r="R78" i="8"/>
  <c r="S78" i="8"/>
  <c r="T78" i="8"/>
  <c r="P79" i="8"/>
  <c r="Q79" i="8"/>
  <c r="R79" i="8"/>
  <c r="S79" i="8"/>
  <c r="T79" i="8"/>
  <c r="P80" i="8"/>
  <c r="Q80" i="8"/>
  <c r="R80" i="8"/>
  <c r="S80" i="8"/>
  <c r="T80" i="8"/>
  <c r="P81" i="8"/>
  <c r="Q81" i="8"/>
  <c r="R81" i="8"/>
  <c r="S81" i="8"/>
  <c r="T81" i="8"/>
  <c r="P82" i="8"/>
  <c r="Q82" i="8"/>
  <c r="R82" i="8"/>
  <c r="S82" i="8"/>
  <c r="T82" i="8"/>
  <c r="P83" i="8"/>
  <c r="Q83" i="8"/>
  <c r="R83" i="8"/>
  <c r="S83" i="8"/>
  <c r="T83" i="8"/>
  <c r="P84" i="8"/>
  <c r="Q84" i="8"/>
  <c r="R84" i="8"/>
  <c r="S84" i="8"/>
  <c r="T84" i="8"/>
  <c r="P85" i="8"/>
  <c r="Q85" i="8"/>
  <c r="R85" i="8"/>
  <c r="S85" i="8"/>
  <c r="T85" i="8"/>
  <c r="P86" i="8"/>
  <c r="Q86" i="8"/>
  <c r="R86" i="8"/>
  <c r="S86" i="8"/>
  <c r="T86" i="8"/>
  <c r="P87" i="8"/>
  <c r="Q87" i="8"/>
  <c r="R87" i="8"/>
  <c r="S87" i="8"/>
  <c r="T87" i="8"/>
  <c r="P88" i="8"/>
  <c r="Q88" i="8"/>
  <c r="R88" i="8"/>
  <c r="S88" i="8"/>
  <c r="T88" i="8"/>
  <c r="P89" i="8"/>
  <c r="Q89" i="8"/>
  <c r="R89" i="8"/>
  <c r="S89" i="8"/>
  <c r="T89" i="8"/>
  <c r="P90" i="8"/>
  <c r="Q90" i="8"/>
  <c r="R90" i="8"/>
  <c r="S90" i="8"/>
  <c r="T90" i="8"/>
  <c r="P91" i="8"/>
  <c r="Q91" i="8"/>
  <c r="R91" i="8"/>
  <c r="S91" i="8"/>
  <c r="T91" i="8"/>
  <c r="P92" i="8"/>
  <c r="Q92" i="8"/>
  <c r="R92" i="8"/>
  <c r="S92" i="8"/>
  <c r="T92" i="8"/>
  <c r="P93" i="8"/>
  <c r="Q93" i="8"/>
  <c r="R93" i="8"/>
  <c r="S93" i="8"/>
  <c r="T93" i="8"/>
  <c r="P94" i="8"/>
  <c r="Q94" i="8"/>
  <c r="R94" i="8"/>
  <c r="S94" i="8"/>
  <c r="T94" i="8"/>
  <c r="P95" i="8"/>
  <c r="Q95" i="8"/>
  <c r="R95" i="8"/>
  <c r="S95" i="8"/>
  <c r="T95" i="8"/>
  <c r="P96" i="8"/>
  <c r="Q96" i="8"/>
  <c r="R96" i="8"/>
  <c r="S96" i="8"/>
  <c r="T96" i="8"/>
  <c r="P97" i="8"/>
  <c r="Q97" i="8"/>
  <c r="R97" i="8"/>
  <c r="S97" i="8"/>
  <c r="T97" i="8"/>
  <c r="P98" i="8"/>
  <c r="Q98" i="8"/>
  <c r="R98" i="8"/>
  <c r="S98" i="8"/>
  <c r="T98" i="8"/>
  <c r="P99" i="8"/>
  <c r="Q99" i="8"/>
  <c r="R99" i="8"/>
  <c r="S99" i="8"/>
  <c r="T99" i="8"/>
  <c r="P100" i="8"/>
  <c r="Q100" i="8"/>
  <c r="R100" i="8"/>
  <c r="S100" i="8"/>
  <c r="T100" i="8"/>
  <c r="P101" i="8"/>
  <c r="Q101" i="8"/>
  <c r="R101" i="8"/>
  <c r="S101" i="8"/>
  <c r="T101" i="8"/>
  <c r="P102" i="8"/>
  <c r="Q102" i="8"/>
  <c r="R102" i="8"/>
  <c r="S102" i="8"/>
  <c r="T102" i="8"/>
  <c r="P103" i="8"/>
  <c r="Q103" i="8"/>
  <c r="R103" i="8"/>
  <c r="S103" i="8"/>
  <c r="T103" i="8"/>
  <c r="P104" i="8"/>
  <c r="Q104" i="8"/>
  <c r="R104" i="8"/>
  <c r="S104" i="8"/>
  <c r="T104" i="8"/>
  <c r="P105" i="8"/>
  <c r="Q105" i="8"/>
  <c r="R105" i="8"/>
  <c r="S105" i="8"/>
  <c r="T105" i="8"/>
  <c r="P106" i="8"/>
  <c r="Q106" i="8"/>
  <c r="R106" i="8"/>
  <c r="S106" i="8"/>
  <c r="T106" i="8"/>
  <c r="P107" i="8"/>
  <c r="Q107" i="8"/>
  <c r="R107" i="8"/>
  <c r="S107" i="8"/>
  <c r="T107" i="8"/>
  <c r="P108" i="8"/>
  <c r="Q108" i="8"/>
  <c r="R108" i="8"/>
  <c r="S108" i="8"/>
  <c r="T108" i="8"/>
  <c r="P109" i="8"/>
  <c r="Q109" i="8"/>
  <c r="R109" i="8"/>
  <c r="S109" i="8"/>
  <c r="T109" i="8"/>
  <c r="P110" i="8"/>
  <c r="Q110" i="8"/>
  <c r="R110" i="8"/>
  <c r="S110" i="8"/>
  <c r="T110" i="8"/>
  <c r="P111" i="8"/>
  <c r="Q111" i="8"/>
  <c r="R111" i="8"/>
  <c r="S111" i="8"/>
  <c r="T111" i="8"/>
  <c r="P112" i="8"/>
  <c r="Q112" i="8"/>
  <c r="R112" i="8"/>
  <c r="S112" i="8"/>
  <c r="T112" i="8"/>
  <c r="P113" i="8"/>
  <c r="Q113" i="8"/>
  <c r="R113" i="8"/>
  <c r="S113" i="8"/>
  <c r="T113" i="8"/>
  <c r="P114" i="8"/>
  <c r="Q114" i="8"/>
  <c r="R114" i="8"/>
  <c r="S114" i="8"/>
  <c r="T114" i="8"/>
  <c r="P115" i="8"/>
  <c r="Q115" i="8"/>
  <c r="R115" i="8"/>
  <c r="S115" i="8"/>
  <c r="T115" i="8"/>
  <c r="P116" i="8"/>
  <c r="Q116" i="8"/>
  <c r="R116" i="8"/>
  <c r="S116" i="8"/>
  <c r="T116" i="8"/>
  <c r="P117" i="8"/>
  <c r="Q117" i="8"/>
  <c r="R117" i="8"/>
  <c r="S117" i="8"/>
  <c r="T117" i="8"/>
  <c r="P118" i="8"/>
  <c r="Q118" i="8"/>
  <c r="R118" i="8"/>
  <c r="S118" i="8"/>
  <c r="T118" i="8"/>
  <c r="P119" i="8"/>
  <c r="Q119" i="8"/>
  <c r="R119" i="8"/>
  <c r="S119" i="8"/>
  <c r="T119" i="8"/>
  <c r="P120" i="8"/>
  <c r="Q120" i="8"/>
  <c r="R120" i="8"/>
  <c r="S120" i="8"/>
  <c r="T120" i="8"/>
  <c r="P121" i="8"/>
  <c r="Q121" i="8"/>
  <c r="R121" i="8"/>
  <c r="S121" i="8"/>
  <c r="T121" i="8"/>
  <c r="P122" i="8"/>
  <c r="Q122" i="8"/>
  <c r="R122" i="8"/>
  <c r="S122" i="8"/>
  <c r="T122" i="8"/>
  <c r="P123" i="8"/>
  <c r="Q123" i="8"/>
  <c r="R123" i="8"/>
  <c r="S123" i="8"/>
  <c r="T123" i="8"/>
  <c r="P124" i="8"/>
  <c r="Q124" i="8"/>
  <c r="R124" i="8"/>
  <c r="S124" i="8"/>
  <c r="T124" i="8"/>
  <c r="P125" i="8"/>
  <c r="Q125" i="8"/>
  <c r="R125" i="8"/>
  <c r="S125" i="8"/>
  <c r="T125" i="8"/>
  <c r="P126" i="8"/>
  <c r="Q126" i="8"/>
  <c r="R126" i="8"/>
  <c r="S126" i="8"/>
  <c r="T126" i="8"/>
  <c r="P127" i="8"/>
  <c r="Q127" i="8"/>
  <c r="R127" i="8"/>
  <c r="S127" i="8"/>
  <c r="T127" i="8"/>
  <c r="P128" i="8"/>
  <c r="Q128" i="8"/>
  <c r="R128" i="8"/>
  <c r="S128" i="8"/>
  <c r="T128" i="8"/>
  <c r="P129" i="8"/>
  <c r="Q129" i="8"/>
  <c r="R129" i="8"/>
  <c r="S129" i="8"/>
  <c r="T129" i="8"/>
  <c r="P130" i="8"/>
  <c r="Q130" i="8"/>
  <c r="R130" i="8"/>
  <c r="S130" i="8"/>
  <c r="T130" i="8"/>
  <c r="P131" i="8"/>
  <c r="Q131" i="8"/>
  <c r="R131" i="8"/>
  <c r="S131" i="8"/>
  <c r="T131" i="8"/>
  <c r="P132" i="8"/>
  <c r="Q132" i="8"/>
  <c r="R132" i="8"/>
  <c r="S132" i="8"/>
  <c r="T132" i="8"/>
  <c r="P133" i="8"/>
  <c r="Q133" i="8"/>
  <c r="R133" i="8"/>
  <c r="S133" i="8"/>
  <c r="T133" i="8"/>
  <c r="P134" i="8"/>
  <c r="Q134" i="8"/>
  <c r="R134" i="8"/>
  <c r="S134" i="8"/>
  <c r="T134" i="8"/>
  <c r="P135" i="8"/>
  <c r="Q135" i="8"/>
  <c r="R135" i="8"/>
  <c r="S135" i="8"/>
  <c r="T135" i="8"/>
  <c r="P136" i="8"/>
  <c r="Q136" i="8"/>
  <c r="R136" i="8"/>
  <c r="S136" i="8"/>
  <c r="T136" i="8"/>
  <c r="P137" i="8"/>
  <c r="Q137" i="8"/>
  <c r="R137" i="8"/>
  <c r="S137" i="8"/>
  <c r="T137" i="8"/>
  <c r="P138" i="8"/>
  <c r="Q138" i="8"/>
  <c r="R138" i="8"/>
  <c r="S138" i="8"/>
  <c r="T138" i="8"/>
  <c r="P139" i="8"/>
  <c r="Q139" i="8"/>
  <c r="R139" i="8"/>
  <c r="S139" i="8"/>
  <c r="T139" i="8"/>
  <c r="P140" i="8"/>
  <c r="Q140" i="8"/>
  <c r="R140" i="8"/>
  <c r="S140" i="8"/>
  <c r="T140" i="8"/>
  <c r="P141" i="8"/>
  <c r="Q141" i="8"/>
  <c r="R141" i="8"/>
  <c r="S141" i="8"/>
  <c r="T141" i="8"/>
  <c r="P142" i="8"/>
  <c r="Q142" i="8"/>
  <c r="R142" i="8"/>
  <c r="S142" i="8"/>
  <c r="T142" i="8"/>
  <c r="P143" i="8"/>
  <c r="Q143" i="8"/>
  <c r="R143" i="8"/>
  <c r="S143" i="8"/>
  <c r="T143" i="8"/>
  <c r="P144" i="8"/>
  <c r="Q144" i="8"/>
  <c r="R144" i="8"/>
  <c r="S144" i="8"/>
  <c r="T144" i="8"/>
  <c r="P145" i="8"/>
  <c r="Q145" i="8"/>
  <c r="R145" i="8"/>
  <c r="S145" i="8"/>
  <c r="T145" i="8"/>
  <c r="P146" i="8"/>
  <c r="Q146" i="8"/>
  <c r="R146" i="8"/>
  <c r="S146" i="8"/>
  <c r="T146" i="8"/>
  <c r="P147" i="8"/>
  <c r="Q147" i="8"/>
  <c r="R147" i="8"/>
  <c r="S147" i="8"/>
  <c r="T147" i="8"/>
  <c r="P148" i="8"/>
  <c r="Q148" i="8"/>
  <c r="R148" i="8"/>
  <c r="S148" i="8"/>
  <c r="T148" i="8"/>
  <c r="P149" i="8"/>
  <c r="Q149" i="8"/>
  <c r="R149" i="8"/>
  <c r="S149" i="8"/>
  <c r="T149" i="8"/>
  <c r="P150" i="8"/>
  <c r="Q150" i="8"/>
  <c r="R150" i="8"/>
  <c r="S150" i="8"/>
  <c r="T150" i="8"/>
  <c r="P151" i="8"/>
  <c r="Q151" i="8"/>
  <c r="R151" i="8"/>
  <c r="S151" i="8"/>
  <c r="T151" i="8"/>
  <c r="P152" i="8"/>
  <c r="Q152" i="8"/>
  <c r="R152" i="8"/>
  <c r="S152" i="8"/>
  <c r="T152" i="8"/>
  <c r="P153" i="8"/>
  <c r="Q153" i="8"/>
  <c r="R153" i="8"/>
  <c r="S153" i="8"/>
  <c r="T153" i="8"/>
  <c r="P154" i="8"/>
  <c r="Q154" i="8"/>
  <c r="R154" i="8"/>
  <c r="S154" i="8"/>
  <c r="T154" i="8"/>
  <c r="P155" i="8"/>
  <c r="Q155" i="8"/>
  <c r="R155" i="8"/>
  <c r="S155" i="8"/>
  <c r="T155" i="8"/>
  <c r="P156" i="8"/>
  <c r="Q156" i="8"/>
  <c r="R156" i="8"/>
  <c r="S156" i="8"/>
  <c r="T156" i="8"/>
  <c r="P157" i="8"/>
  <c r="Q157" i="8"/>
  <c r="R157" i="8"/>
  <c r="S157" i="8"/>
  <c r="T157" i="8"/>
  <c r="P158" i="8"/>
  <c r="Q158" i="8"/>
  <c r="R158" i="8"/>
  <c r="S158" i="8"/>
  <c r="T158" i="8"/>
  <c r="P159" i="8"/>
  <c r="Q159" i="8"/>
  <c r="R159" i="8"/>
  <c r="S159" i="8"/>
  <c r="T159" i="8"/>
  <c r="P160" i="8"/>
  <c r="Q160" i="8"/>
  <c r="R160" i="8"/>
  <c r="S160" i="8"/>
  <c r="T160" i="8"/>
  <c r="P161" i="8"/>
  <c r="Q161" i="8"/>
  <c r="R161" i="8"/>
  <c r="S161" i="8"/>
  <c r="T161" i="8"/>
  <c r="P162" i="8"/>
  <c r="Q162" i="8"/>
  <c r="R162" i="8"/>
  <c r="S162" i="8"/>
  <c r="T162" i="8"/>
  <c r="P163" i="8"/>
  <c r="Q163" i="8"/>
  <c r="R163" i="8"/>
  <c r="S163" i="8"/>
  <c r="T163" i="8"/>
  <c r="P164" i="8"/>
  <c r="Q164" i="8"/>
  <c r="R164" i="8"/>
  <c r="S164" i="8"/>
  <c r="T164" i="8"/>
  <c r="P165" i="8"/>
  <c r="Q165" i="8"/>
  <c r="R165" i="8"/>
  <c r="S165" i="8"/>
  <c r="T165" i="8"/>
  <c r="P166" i="8"/>
  <c r="Q166" i="8"/>
  <c r="R166" i="8"/>
  <c r="S166" i="8"/>
  <c r="T166" i="8"/>
  <c r="P167" i="8"/>
  <c r="Q167" i="8"/>
  <c r="R167" i="8"/>
  <c r="S167" i="8"/>
  <c r="T167" i="8"/>
  <c r="P168" i="8"/>
  <c r="Q168" i="8"/>
  <c r="R168" i="8"/>
  <c r="S168" i="8"/>
  <c r="T168" i="8"/>
  <c r="P169" i="8"/>
  <c r="Q169" i="8"/>
  <c r="R169" i="8"/>
  <c r="S169" i="8"/>
  <c r="T169" i="8"/>
  <c r="P170" i="8"/>
  <c r="Q170" i="8"/>
  <c r="R170" i="8"/>
  <c r="S170" i="8"/>
  <c r="T170" i="8"/>
  <c r="P171" i="8"/>
  <c r="Q171" i="8"/>
  <c r="R171" i="8"/>
  <c r="S171" i="8"/>
  <c r="T171" i="8"/>
  <c r="P172" i="8"/>
  <c r="Q172" i="8"/>
  <c r="R172" i="8"/>
  <c r="S172" i="8"/>
  <c r="T172" i="8"/>
  <c r="P173" i="8"/>
  <c r="Q173" i="8"/>
  <c r="R173" i="8"/>
  <c r="S173" i="8"/>
  <c r="T173" i="8"/>
  <c r="P174" i="8"/>
  <c r="Q174" i="8"/>
  <c r="R174" i="8"/>
  <c r="S174" i="8"/>
  <c r="T174" i="8"/>
  <c r="P175" i="8"/>
  <c r="Q175" i="8"/>
  <c r="R175" i="8"/>
  <c r="S175" i="8"/>
  <c r="T175" i="8"/>
  <c r="P176" i="8"/>
  <c r="Q176" i="8"/>
  <c r="R176" i="8"/>
  <c r="S176" i="8"/>
  <c r="T176" i="8"/>
  <c r="P177" i="8"/>
  <c r="Q177" i="8"/>
  <c r="R177" i="8"/>
  <c r="S177" i="8"/>
  <c r="T177" i="8"/>
  <c r="P178" i="8"/>
  <c r="Q178" i="8"/>
  <c r="R178" i="8"/>
  <c r="S178" i="8"/>
  <c r="T178" i="8"/>
  <c r="P179" i="8"/>
  <c r="Q179" i="8"/>
  <c r="R179" i="8"/>
  <c r="S179" i="8"/>
  <c r="T179" i="8"/>
  <c r="P180" i="8"/>
  <c r="Q180" i="8"/>
  <c r="R180" i="8"/>
  <c r="S180" i="8"/>
  <c r="T180" i="8"/>
  <c r="P181" i="8"/>
  <c r="Q181" i="8"/>
  <c r="R181" i="8"/>
  <c r="S181" i="8"/>
  <c r="T181" i="8"/>
  <c r="P182" i="8"/>
  <c r="Q182" i="8"/>
  <c r="R182" i="8"/>
  <c r="S182" i="8"/>
  <c r="T182" i="8"/>
  <c r="P183" i="8"/>
  <c r="Q183" i="8"/>
  <c r="R183" i="8"/>
  <c r="S183" i="8"/>
  <c r="T183" i="8"/>
  <c r="P184" i="8"/>
  <c r="Q184" i="8"/>
  <c r="R184" i="8"/>
  <c r="S184" i="8"/>
  <c r="T184" i="8"/>
  <c r="P185" i="8"/>
  <c r="Q185" i="8"/>
  <c r="R185" i="8"/>
  <c r="S185" i="8"/>
  <c r="T185" i="8"/>
  <c r="P186" i="8"/>
  <c r="Q186" i="8"/>
  <c r="R186" i="8"/>
  <c r="S186" i="8"/>
  <c r="T186" i="8"/>
  <c r="P187" i="8"/>
  <c r="Q187" i="8"/>
  <c r="R187" i="8"/>
  <c r="S187" i="8"/>
  <c r="T187" i="8"/>
  <c r="P188" i="8"/>
  <c r="Q188" i="8"/>
  <c r="R188" i="8"/>
  <c r="S188" i="8"/>
  <c r="T188" i="8"/>
  <c r="P189" i="8"/>
  <c r="Q189" i="8"/>
  <c r="R189" i="8"/>
  <c r="S189" i="8"/>
  <c r="T189" i="8"/>
  <c r="P190" i="8"/>
  <c r="Q190" i="8"/>
  <c r="R190" i="8"/>
  <c r="S190" i="8"/>
  <c r="T190" i="8"/>
  <c r="P191" i="8"/>
  <c r="Q191" i="8"/>
  <c r="R191" i="8"/>
  <c r="S191" i="8"/>
  <c r="T191" i="8"/>
  <c r="P192" i="8"/>
  <c r="Q192" i="8"/>
  <c r="R192" i="8"/>
  <c r="S192" i="8"/>
  <c r="T192" i="8"/>
  <c r="P193" i="8"/>
  <c r="Q193" i="8"/>
  <c r="R193" i="8"/>
  <c r="S193" i="8"/>
  <c r="T193" i="8"/>
  <c r="P194" i="8"/>
  <c r="Q194" i="8"/>
  <c r="R194" i="8"/>
  <c r="S194" i="8"/>
  <c r="T194" i="8"/>
  <c r="P195" i="8"/>
  <c r="Q195" i="8"/>
  <c r="R195" i="8"/>
  <c r="S195" i="8"/>
  <c r="T195" i="8"/>
  <c r="P196" i="8"/>
  <c r="Q196" i="8"/>
  <c r="R196" i="8"/>
  <c r="S196" i="8"/>
  <c r="T196" i="8"/>
  <c r="P197" i="8"/>
  <c r="Q197" i="8"/>
  <c r="R197" i="8"/>
  <c r="S197" i="8"/>
  <c r="T197" i="8"/>
  <c r="P198" i="8"/>
  <c r="Q198" i="8"/>
  <c r="R198" i="8"/>
  <c r="S198" i="8"/>
  <c r="T198" i="8"/>
  <c r="P199" i="8"/>
  <c r="Q199" i="8"/>
  <c r="R199" i="8"/>
  <c r="S199" i="8"/>
  <c r="T199" i="8"/>
  <c r="I43" i="8"/>
  <c r="J43" i="8"/>
  <c r="K43" i="8"/>
  <c r="L43" i="8"/>
  <c r="M43" i="8"/>
  <c r="I79" i="8"/>
  <c r="J79" i="8"/>
  <c r="K79" i="8"/>
  <c r="L79" i="8"/>
  <c r="M79" i="8"/>
  <c r="I80" i="8"/>
  <c r="J80" i="8"/>
  <c r="K80" i="8"/>
  <c r="L80" i="8"/>
  <c r="M80" i="8"/>
  <c r="AE1662" i="1" l="1"/>
  <c r="AN62" i="1"/>
  <c r="AG1651" i="1"/>
  <c r="AG1652" i="1" s="1"/>
  <c r="AG1653" i="1" s="1"/>
  <c r="AG1654" i="1" s="1"/>
  <c r="AF1651" i="1"/>
  <c r="AF1652" i="1" s="1"/>
  <c r="AF1653" i="1" s="1"/>
  <c r="AF1654" i="1" s="1"/>
  <c r="AE234" i="1"/>
  <c r="AE1250" i="1"/>
  <c r="AE451" i="1"/>
  <c r="AE457" i="1"/>
  <c r="AE874" i="1"/>
  <c r="AE315" i="1"/>
  <c r="AF41" i="1"/>
  <c r="AE1006" i="1"/>
  <c r="AE47" i="1"/>
  <c r="N6" i="8"/>
  <c r="AD1528" i="1"/>
  <c r="AD1527" i="1"/>
  <c r="AD1526" i="1"/>
  <c r="AD1501" i="1"/>
  <c r="AD1500" i="1"/>
  <c r="AD1499" i="1"/>
  <c r="AD1498" i="1"/>
  <c r="AD1475" i="1"/>
  <c r="AD1474" i="1"/>
  <c r="AD1473" i="1"/>
  <c r="AD1472" i="1"/>
  <c r="AD1471" i="1"/>
  <c r="AD1470" i="1"/>
  <c r="AD1449" i="1"/>
  <c r="AD1448" i="1"/>
  <c r="AD1447" i="1"/>
  <c r="AD1446" i="1"/>
  <c r="AD1428" i="1"/>
  <c r="AD1427" i="1"/>
  <c r="AD1426" i="1"/>
  <c r="AD1424" i="1"/>
  <c r="AD1423" i="1"/>
  <c r="AD1422" i="1"/>
  <c r="AD1421" i="1"/>
  <c r="AD1420" i="1"/>
  <c r="AD1419" i="1"/>
  <c r="AD1333" i="1"/>
  <c r="AD1332" i="1"/>
  <c r="AD1331" i="1"/>
  <c r="AD1330" i="1"/>
  <c r="AD1329" i="1"/>
  <c r="AD1328" i="1"/>
  <c r="AD1235" i="1"/>
  <c r="AN1235" i="1" s="1"/>
  <c r="AD1236" i="1"/>
  <c r="AN1236" i="1" s="1"/>
  <c r="AD1237" i="1"/>
  <c r="AN1237" i="1" s="1"/>
  <c r="AD1238" i="1"/>
  <c r="AN1238" i="1" s="1"/>
  <c r="AD1239" i="1"/>
  <c r="AN1239" i="1" s="1"/>
  <c r="AD1240" i="1"/>
  <c r="AN1240" i="1" s="1"/>
  <c r="AD1197" i="1"/>
  <c r="AN1197" i="1" s="1"/>
  <c r="AD1196" i="1"/>
  <c r="AN1196" i="1" s="1"/>
  <c r="AD1195" i="1"/>
  <c r="AN1195" i="1" s="1"/>
  <c r="AD1194" i="1"/>
  <c r="AN1194" i="1" s="1"/>
  <c r="AE1663" i="1" l="1"/>
  <c r="AF42" i="1"/>
  <c r="AE875" i="1"/>
  <c r="AE452" i="1"/>
  <c r="AE1251" i="1"/>
  <c r="AD1044" i="1"/>
  <c r="AN1044" i="1" s="1"/>
  <c r="AD1045" i="1"/>
  <c r="AN1045" i="1" s="1"/>
  <c r="AD1046" i="1"/>
  <c r="AN1046" i="1" s="1"/>
  <c r="AD1047" i="1"/>
  <c r="AN1047" i="1" s="1"/>
  <c r="AD1048" i="1"/>
  <c r="AN1048" i="1" s="1"/>
  <c r="AD1049" i="1"/>
  <c r="AN1049" i="1" s="1"/>
  <c r="AD1050" i="1"/>
  <c r="AN1050" i="1" s="1"/>
  <c r="AD1051" i="1"/>
  <c r="AN1051" i="1" s="1"/>
  <c r="AD1056" i="1"/>
  <c r="AN1056" i="1" s="1"/>
  <c r="AD1057" i="1"/>
  <c r="AN1057" i="1" s="1"/>
  <c r="AD1058" i="1"/>
  <c r="AN1058" i="1" s="1"/>
  <c r="AD1059" i="1"/>
  <c r="AN1059" i="1" s="1"/>
  <c r="AD1060" i="1"/>
  <c r="AN1060" i="1" s="1"/>
  <c r="AD1061" i="1"/>
  <c r="AN1061" i="1" s="1"/>
  <c r="AD1062" i="1"/>
  <c r="AN1062" i="1" s="1"/>
  <c r="AD1063" i="1"/>
  <c r="AN1063" i="1" s="1"/>
  <c r="AD1064" i="1"/>
  <c r="AN1064" i="1" s="1"/>
  <c r="AD1065" i="1"/>
  <c r="AN1065" i="1" s="1"/>
  <c r="AD1066" i="1"/>
  <c r="AN1066" i="1" s="1"/>
  <c r="AD1067" i="1"/>
  <c r="AN1067" i="1" s="1"/>
  <c r="AD1068" i="1"/>
  <c r="AN1068" i="1" s="1"/>
  <c r="AD1069" i="1"/>
  <c r="AN1069" i="1" s="1"/>
  <c r="AD1070" i="1"/>
  <c r="AN1070" i="1" s="1"/>
  <c r="AD1071" i="1"/>
  <c r="AN1071" i="1" s="1"/>
  <c r="AD1072" i="1"/>
  <c r="AN1072" i="1" s="1"/>
  <c r="AD1073" i="1"/>
  <c r="AN1073" i="1" s="1"/>
  <c r="AD1074" i="1"/>
  <c r="AN1074" i="1" s="1"/>
  <c r="AD1075" i="1"/>
  <c r="AN1075" i="1" s="1"/>
  <c r="AD1076" i="1"/>
  <c r="AN1076" i="1" s="1"/>
  <c r="AD1077" i="1"/>
  <c r="AN1077" i="1" s="1"/>
  <c r="AD1078" i="1"/>
  <c r="AN1078" i="1" s="1"/>
  <c r="AD1079" i="1"/>
  <c r="AN1079" i="1" s="1"/>
  <c r="AD1080" i="1"/>
  <c r="AN1080" i="1" s="1"/>
  <c r="AD1081" i="1"/>
  <c r="AN1081" i="1" s="1"/>
  <c r="AD1082" i="1"/>
  <c r="AN1082" i="1" s="1"/>
  <c r="AD1083" i="1"/>
  <c r="AN1083" i="1" s="1"/>
  <c r="AD1084" i="1"/>
  <c r="AN1084" i="1" s="1"/>
  <c r="AD1085" i="1"/>
  <c r="AN1085" i="1" s="1"/>
  <c r="AD1086" i="1"/>
  <c r="AN1086" i="1" s="1"/>
  <c r="AD1087" i="1"/>
  <c r="AN1087" i="1" s="1"/>
  <c r="AD1088" i="1"/>
  <c r="AN1088" i="1" s="1"/>
  <c r="AD1089" i="1"/>
  <c r="AN1089" i="1" s="1"/>
  <c r="AD1090" i="1"/>
  <c r="AN1090" i="1" s="1"/>
  <c r="AD1091" i="1"/>
  <c r="AN1091" i="1" s="1"/>
  <c r="AD1092" i="1"/>
  <c r="AN1092" i="1" s="1"/>
  <c r="AD1093" i="1"/>
  <c r="AN1093" i="1" s="1"/>
  <c r="AD1094" i="1"/>
  <c r="AN1094" i="1" s="1"/>
  <c r="AD1095" i="1"/>
  <c r="AN1095" i="1" s="1"/>
  <c r="AD1098" i="1"/>
  <c r="AN1098" i="1" s="1"/>
  <c r="AD1099" i="1"/>
  <c r="AN1099" i="1" s="1"/>
  <c r="AD1100" i="1"/>
  <c r="AN1100" i="1" s="1"/>
  <c r="AD1101" i="1"/>
  <c r="AN1101" i="1" s="1"/>
  <c r="AD1102" i="1"/>
  <c r="AN1102" i="1" s="1"/>
  <c r="AD1103" i="1"/>
  <c r="AN1103" i="1" s="1"/>
  <c r="AD1104" i="1"/>
  <c r="AN1104" i="1" s="1"/>
  <c r="AD1105" i="1"/>
  <c r="AN1105" i="1" s="1"/>
  <c r="AD1106" i="1"/>
  <c r="AN1106" i="1" s="1"/>
  <c r="AD1107" i="1"/>
  <c r="AN1107" i="1" s="1"/>
  <c r="AD1108" i="1"/>
  <c r="AN1108" i="1" s="1"/>
  <c r="AD1109" i="1"/>
  <c r="AN1109" i="1" s="1"/>
  <c r="AD1110" i="1"/>
  <c r="AN1110" i="1" s="1"/>
  <c r="AD1111" i="1"/>
  <c r="AN1111" i="1" s="1"/>
  <c r="AD1112" i="1"/>
  <c r="AN1112" i="1" s="1"/>
  <c r="AD1114" i="1"/>
  <c r="AN1114" i="1" s="1"/>
  <c r="AD1115" i="1"/>
  <c r="AN1115" i="1" s="1"/>
  <c r="AD1116" i="1"/>
  <c r="AN1116" i="1" s="1"/>
  <c r="AD1117" i="1"/>
  <c r="AN1117" i="1" s="1"/>
  <c r="AD1118" i="1"/>
  <c r="AN1118" i="1" s="1"/>
  <c r="AD1119" i="1"/>
  <c r="AN1119" i="1" s="1"/>
  <c r="AD1120" i="1"/>
  <c r="AN1120" i="1" s="1"/>
  <c r="AD1121" i="1"/>
  <c r="AN1121" i="1" s="1"/>
  <c r="AD1122" i="1"/>
  <c r="AN1122" i="1" s="1"/>
  <c r="AD1123" i="1"/>
  <c r="AN1123" i="1" s="1"/>
  <c r="AD1124" i="1"/>
  <c r="AN1124" i="1" s="1"/>
  <c r="AD1125" i="1"/>
  <c r="AN1125" i="1" s="1"/>
  <c r="AD1126" i="1"/>
  <c r="AN1126" i="1" s="1"/>
  <c r="AD1127" i="1"/>
  <c r="AN1127" i="1" s="1"/>
  <c r="AD1128" i="1"/>
  <c r="AN1128" i="1" s="1"/>
  <c r="AD1129" i="1"/>
  <c r="AN1129" i="1" s="1"/>
  <c r="AD1130" i="1"/>
  <c r="AN1130" i="1" s="1"/>
  <c r="AD1131" i="1"/>
  <c r="AN1131" i="1" s="1"/>
  <c r="AD1132" i="1"/>
  <c r="AN1132" i="1" s="1"/>
  <c r="AD1133" i="1"/>
  <c r="AN1133" i="1" s="1"/>
  <c r="AD1134" i="1"/>
  <c r="AN1134" i="1" s="1"/>
  <c r="AD1135" i="1"/>
  <c r="AN1135" i="1" s="1"/>
  <c r="AD1136" i="1"/>
  <c r="AN1136" i="1" s="1"/>
  <c r="AD1137" i="1"/>
  <c r="AN1137" i="1" s="1"/>
  <c r="AD1138" i="1"/>
  <c r="AN1138" i="1" s="1"/>
  <c r="AD1139" i="1"/>
  <c r="AN1139" i="1" s="1"/>
  <c r="AD1140" i="1"/>
  <c r="AN1140" i="1" s="1"/>
  <c r="AD1141" i="1"/>
  <c r="AN1141" i="1" s="1"/>
  <c r="AD1142" i="1"/>
  <c r="AN1142" i="1" s="1"/>
  <c r="AD1143" i="1"/>
  <c r="AN1143" i="1" s="1"/>
  <c r="AD1144" i="1"/>
  <c r="AN1144" i="1" s="1"/>
  <c r="AD1145" i="1"/>
  <c r="AN1145" i="1" s="1"/>
  <c r="AD1146" i="1"/>
  <c r="AN1146" i="1" s="1"/>
  <c r="AD1147" i="1"/>
  <c r="AN1147" i="1" s="1"/>
  <c r="AD1148" i="1"/>
  <c r="AN1148" i="1" s="1"/>
  <c r="AD1149" i="1"/>
  <c r="AN1149" i="1" s="1"/>
  <c r="AD1150" i="1"/>
  <c r="AN1150" i="1" s="1"/>
  <c r="AD1151" i="1"/>
  <c r="AN1151" i="1" s="1"/>
  <c r="AD1152" i="1"/>
  <c r="AN1152" i="1" s="1"/>
  <c r="AD1153" i="1"/>
  <c r="AN1153" i="1" s="1"/>
  <c r="AD1154" i="1"/>
  <c r="AN1154" i="1" s="1"/>
  <c r="AD1155" i="1"/>
  <c r="AN1155" i="1" s="1"/>
  <c r="AD1156" i="1"/>
  <c r="AN1156" i="1" s="1"/>
  <c r="AD1157" i="1"/>
  <c r="AN1157" i="1" s="1"/>
  <c r="AD1158" i="1"/>
  <c r="AN1158" i="1" s="1"/>
  <c r="AD1159" i="1"/>
  <c r="AN1159" i="1" s="1"/>
  <c r="AD1160" i="1"/>
  <c r="AN1160" i="1" s="1"/>
  <c r="AD1161" i="1"/>
  <c r="AN1161" i="1" s="1"/>
  <c r="AD1162" i="1"/>
  <c r="AN1162" i="1" s="1"/>
  <c r="AD1163" i="1"/>
  <c r="AN1163" i="1" s="1"/>
  <c r="AD1164" i="1"/>
  <c r="AN1164" i="1" s="1"/>
  <c r="AD1165" i="1"/>
  <c r="AN1165" i="1" s="1"/>
  <c r="AD1166" i="1"/>
  <c r="AN1166" i="1" s="1"/>
  <c r="AD1167" i="1"/>
  <c r="AN1167" i="1" s="1"/>
  <c r="AD1168" i="1"/>
  <c r="AN1168" i="1" s="1"/>
  <c r="AD1169" i="1"/>
  <c r="AN1169" i="1" s="1"/>
  <c r="AD1170" i="1"/>
  <c r="AN1170" i="1" s="1"/>
  <c r="AD1171" i="1"/>
  <c r="AN1171" i="1" s="1"/>
  <c r="AD1172" i="1"/>
  <c r="AN1172" i="1" s="1"/>
  <c r="AD1173" i="1"/>
  <c r="AN1173" i="1" s="1"/>
  <c r="AD1174" i="1"/>
  <c r="AN1174" i="1" s="1"/>
  <c r="AD1175" i="1"/>
  <c r="AN1175" i="1" s="1"/>
  <c r="AD1176" i="1"/>
  <c r="AN1176" i="1" s="1"/>
  <c r="AD1177" i="1"/>
  <c r="AN1177" i="1" s="1"/>
  <c r="AD1178" i="1"/>
  <c r="AN1178" i="1" s="1"/>
  <c r="AD1179" i="1"/>
  <c r="AN1179" i="1" s="1"/>
  <c r="AD1180" i="1"/>
  <c r="AN1180" i="1" s="1"/>
  <c r="AD1181" i="1"/>
  <c r="AN1181" i="1" s="1"/>
  <c r="AD1182" i="1"/>
  <c r="AN1182" i="1" s="1"/>
  <c r="AD1183" i="1"/>
  <c r="AN1183" i="1" s="1"/>
  <c r="AD1184" i="1"/>
  <c r="AN1184" i="1" s="1"/>
  <c r="AD1185" i="1"/>
  <c r="AN1185" i="1" s="1"/>
  <c r="AD1186" i="1"/>
  <c r="AN1186" i="1" s="1"/>
  <c r="AD1187" i="1"/>
  <c r="AN1187" i="1" s="1"/>
  <c r="AD1188" i="1"/>
  <c r="AN1188" i="1" s="1"/>
  <c r="AD1189" i="1"/>
  <c r="AN1189" i="1" s="1"/>
  <c r="AD1190" i="1"/>
  <c r="AN1190" i="1" s="1"/>
  <c r="AD1191" i="1"/>
  <c r="AN1191" i="1" s="1"/>
  <c r="AD1192" i="1"/>
  <c r="AN1192" i="1" s="1"/>
  <c r="AD1193" i="1"/>
  <c r="AN1193" i="1" s="1"/>
  <c r="AD1198" i="1"/>
  <c r="AN1198" i="1" s="1"/>
  <c r="AD1199" i="1"/>
  <c r="AN1199" i="1" s="1"/>
  <c r="AD1200" i="1"/>
  <c r="AN1200" i="1" s="1"/>
  <c r="AD1201" i="1"/>
  <c r="AN1201" i="1" s="1"/>
  <c r="AD1202" i="1"/>
  <c r="AN1202" i="1" s="1"/>
  <c r="AD1203" i="1"/>
  <c r="AN1203" i="1" s="1"/>
  <c r="AD1204" i="1"/>
  <c r="AN1204" i="1" s="1"/>
  <c r="AD1205" i="1"/>
  <c r="AN1205" i="1" s="1"/>
  <c r="AD1206" i="1"/>
  <c r="AN1206" i="1" s="1"/>
  <c r="AD1207" i="1"/>
  <c r="AN1207" i="1" s="1"/>
  <c r="AD1208" i="1"/>
  <c r="AN1208" i="1" s="1"/>
  <c r="AD1209" i="1"/>
  <c r="AN1209" i="1" s="1"/>
  <c r="AD1210" i="1"/>
  <c r="AN1210" i="1" s="1"/>
  <c r="AD1211" i="1"/>
  <c r="AN1211" i="1" s="1"/>
  <c r="AD1212" i="1"/>
  <c r="AN1212" i="1" s="1"/>
  <c r="AD1213" i="1"/>
  <c r="AN1213" i="1" s="1"/>
  <c r="AD1214" i="1"/>
  <c r="AN1214" i="1" s="1"/>
  <c r="AD1215" i="1"/>
  <c r="AN1215" i="1" s="1"/>
  <c r="AD1216" i="1"/>
  <c r="AN1216" i="1" s="1"/>
  <c r="AD1217" i="1"/>
  <c r="AN1217" i="1" s="1"/>
  <c r="AD1218" i="1"/>
  <c r="AN1218" i="1" s="1"/>
  <c r="AD1219" i="1"/>
  <c r="AN1219" i="1" s="1"/>
  <c r="AD1220" i="1"/>
  <c r="AN1220" i="1" s="1"/>
  <c r="AD1221" i="1"/>
  <c r="AN1221" i="1" s="1"/>
  <c r="AD1222" i="1"/>
  <c r="AN1222" i="1" s="1"/>
  <c r="AD1223" i="1"/>
  <c r="AN1223" i="1" s="1"/>
  <c r="AD1224" i="1"/>
  <c r="AN1224" i="1" s="1"/>
  <c r="AD1225" i="1"/>
  <c r="AN1225" i="1" s="1"/>
  <c r="AD1226" i="1"/>
  <c r="AN1226" i="1" s="1"/>
  <c r="AD1227" i="1"/>
  <c r="AN1227" i="1" s="1"/>
  <c r="AD1228" i="1"/>
  <c r="AN1228" i="1" s="1"/>
  <c r="AD1229" i="1"/>
  <c r="AN1229" i="1" s="1"/>
  <c r="AD1230" i="1"/>
  <c r="AN1230" i="1" s="1"/>
  <c r="AD1231" i="1"/>
  <c r="AN1231" i="1" s="1"/>
  <c r="AD1232" i="1"/>
  <c r="AN1232" i="1" s="1"/>
  <c r="AD1233" i="1"/>
  <c r="AN1233" i="1" s="1"/>
  <c r="AD1234" i="1"/>
  <c r="AN1234" i="1" s="1"/>
  <c r="AD1241" i="1"/>
  <c r="AN1241" i="1" s="1"/>
  <c r="AD1242" i="1"/>
  <c r="AN1242" i="1" s="1"/>
  <c r="AD1243" i="1"/>
  <c r="AN1243" i="1" s="1"/>
  <c r="AD1244" i="1"/>
  <c r="AN1244" i="1" s="1"/>
  <c r="AD1245" i="1"/>
  <c r="AN1245" i="1" s="1"/>
  <c r="AD1246" i="1"/>
  <c r="AN1246" i="1" s="1"/>
  <c r="AD1247" i="1"/>
  <c r="AN1247" i="1" s="1"/>
  <c r="AD1248" i="1"/>
  <c r="AN1248" i="1" s="1"/>
  <c r="AD1249" i="1"/>
  <c r="AN1249" i="1" s="1"/>
  <c r="AD1250" i="1"/>
  <c r="AN1250" i="1" s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25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3" i="1"/>
  <c r="AD4" i="1"/>
  <c r="AD5" i="1"/>
  <c r="AD6" i="1"/>
  <c r="AD7" i="1"/>
  <c r="AD8" i="1"/>
  <c r="AD9" i="1"/>
  <c r="AD10" i="1"/>
  <c r="AN10" i="1" s="1"/>
  <c r="AD11" i="1"/>
  <c r="AN11" i="1" s="1"/>
  <c r="AD12" i="1"/>
  <c r="AN12" i="1" s="1"/>
  <c r="AD13" i="1"/>
  <c r="AN13" i="1" s="1"/>
  <c r="AD14" i="1"/>
  <c r="AN14" i="1" s="1"/>
  <c r="AD15" i="1"/>
  <c r="AN15" i="1" s="1"/>
  <c r="AD16" i="1"/>
  <c r="AN16" i="1" s="1"/>
  <c r="AD17" i="1"/>
  <c r="AN17" i="1" s="1"/>
  <c r="AD18" i="1"/>
  <c r="AN18" i="1" s="1"/>
  <c r="AD19" i="1"/>
  <c r="AN19" i="1" s="1"/>
  <c r="AD20" i="1"/>
  <c r="AN20" i="1" s="1"/>
  <c r="AD21" i="1"/>
  <c r="AN21" i="1" s="1"/>
  <c r="AD22" i="1"/>
  <c r="AN22" i="1" s="1"/>
  <c r="AD23" i="1"/>
  <c r="AN23" i="1" s="1"/>
  <c r="AD24" i="1"/>
  <c r="AN24" i="1" s="1"/>
  <c r="AD25" i="1"/>
  <c r="AN25" i="1" s="1"/>
  <c r="AD26" i="1"/>
  <c r="AN26" i="1" s="1"/>
  <c r="AD27" i="1"/>
  <c r="AN27" i="1" s="1"/>
  <c r="AD28" i="1"/>
  <c r="AN28" i="1" s="1"/>
  <c r="AD29" i="1"/>
  <c r="AN29" i="1" s="1"/>
  <c r="AD30" i="1"/>
  <c r="AN30" i="1" s="1"/>
  <c r="AD31" i="1"/>
  <c r="AN31" i="1" s="1"/>
  <c r="AD32" i="1"/>
  <c r="AN32" i="1" s="1"/>
  <c r="AD33" i="1"/>
  <c r="AN33" i="1" s="1"/>
  <c r="AD34" i="1"/>
  <c r="AN34" i="1" s="1"/>
  <c r="AD35" i="1"/>
  <c r="AN35" i="1" s="1"/>
  <c r="AD36" i="1"/>
  <c r="AN36" i="1" s="1"/>
  <c r="AD37" i="1"/>
  <c r="AN37" i="1" s="1"/>
  <c r="AD38" i="1"/>
  <c r="AN38" i="1" s="1"/>
  <c r="AD39" i="1"/>
  <c r="AN39" i="1" s="1"/>
  <c r="AD40" i="1"/>
  <c r="AN40" i="1" s="1"/>
  <c r="AD41" i="1"/>
  <c r="AN41" i="1" s="1"/>
  <c r="AD42" i="1"/>
  <c r="AD43" i="1"/>
  <c r="AN43" i="1" s="1"/>
  <c r="AD44" i="1"/>
  <c r="AN44" i="1" s="1"/>
  <c r="AD45" i="1"/>
  <c r="AN45" i="1" s="1"/>
  <c r="AD46" i="1"/>
  <c r="AN46" i="1" s="1"/>
  <c r="AD47" i="1"/>
  <c r="AN47" i="1" s="1"/>
  <c r="AD48" i="1"/>
  <c r="AN48" i="1" s="1"/>
  <c r="AD51" i="1"/>
  <c r="AN51" i="1" s="1"/>
  <c r="AD52" i="1"/>
  <c r="AN52" i="1" s="1"/>
  <c r="AD53" i="1"/>
  <c r="AN53" i="1" s="1"/>
  <c r="AD54" i="1"/>
  <c r="AN54" i="1" s="1"/>
  <c r="AD55" i="1"/>
  <c r="AN55" i="1" s="1"/>
  <c r="AD56" i="1"/>
  <c r="AN56" i="1" s="1"/>
  <c r="AD63" i="1"/>
  <c r="AN63" i="1" s="1"/>
  <c r="AD64" i="1"/>
  <c r="AN64" i="1" s="1"/>
  <c r="AD65" i="1"/>
  <c r="AN65" i="1" s="1"/>
  <c r="AD66" i="1"/>
  <c r="AN66" i="1" s="1"/>
  <c r="AD67" i="1"/>
  <c r="AN67" i="1" s="1"/>
  <c r="AD68" i="1"/>
  <c r="AN68" i="1" s="1"/>
  <c r="AD69" i="1"/>
  <c r="AN69" i="1" s="1"/>
  <c r="AD70" i="1"/>
  <c r="AN70" i="1" s="1"/>
  <c r="AD71" i="1"/>
  <c r="AN71" i="1" s="1"/>
  <c r="AD72" i="1"/>
  <c r="AN72" i="1" s="1"/>
  <c r="AD73" i="1"/>
  <c r="AN73" i="1" s="1"/>
  <c r="AD74" i="1"/>
  <c r="AN74" i="1" s="1"/>
  <c r="AD75" i="1"/>
  <c r="AN75" i="1" s="1"/>
  <c r="AD76" i="1"/>
  <c r="AN76" i="1" s="1"/>
  <c r="AD77" i="1"/>
  <c r="AN77" i="1" s="1"/>
  <c r="AD78" i="1"/>
  <c r="AN78" i="1" s="1"/>
  <c r="AD79" i="1"/>
  <c r="AN79" i="1" s="1"/>
  <c r="AD80" i="1"/>
  <c r="AN80" i="1" s="1"/>
  <c r="AD81" i="1"/>
  <c r="AN81" i="1" s="1"/>
  <c r="AD82" i="1"/>
  <c r="AN82" i="1" s="1"/>
  <c r="AD83" i="1"/>
  <c r="AN83" i="1" s="1"/>
  <c r="AD84" i="1"/>
  <c r="AN84" i="1" s="1"/>
  <c r="AD85" i="1"/>
  <c r="AN85" i="1" s="1"/>
  <c r="AD86" i="1"/>
  <c r="AN86" i="1" s="1"/>
  <c r="AD87" i="1"/>
  <c r="AN87" i="1" s="1"/>
  <c r="AD88" i="1"/>
  <c r="AN88" i="1" s="1"/>
  <c r="AD89" i="1"/>
  <c r="AN89" i="1" s="1"/>
  <c r="AD90" i="1"/>
  <c r="AN90" i="1" s="1"/>
  <c r="AD91" i="1"/>
  <c r="AN91" i="1" s="1"/>
  <c r="AD92" i="1"/>
  <c r="AN92" i="1" s="1"/>
  <c r="AD93" i="1"/>
  <c r="AN93" i="1" s="1"/>
  <c r="AD94" i="1"/>
  <c r="AN94" i="1" s="1"/>
  <c r="AD95" i="1"/>
  <c r="AN95" i="1" s="1"/>
  <c r="AD96" i="1"/>
  <c r="AN96" i="1" s="1"/>
  <c r="AD97" i="1"/>
  <c r="AN97" i="1" s="1"/>
  <c r="AD98" i="1"/>
  <c r="AN98" i="1" s="1"/>
  <c r="AD99" i="1"/>
  <c r="AN99" i="1" s="1"/>
  <c r="AD100" i="1"/>
  <c r="AN100" i="1" s="1"/>
  <c r="AD101" i="1"/>
  <c r="AN101" i="1" s="1"/>
  <c r="AD102" i="1"/>
  <c r="AN102" i="1" s="1"/>
  <c r="AD103" i="1"/>
  <c r="AN103" i="1" s="1"/>
  <c r="AD104" i="1"/>
  <c r="AN104" i="1" s="1"/>
  <c r="AD105" i="1"/>
  <c r="AN105" i="1" s="1"/>
  <c r="AD106" i="1"/>
  <c r="AN106" i="1" s="1"/>
  <c r="AD107" i="1"/>
  <c r="AN107" i="1" s="1"/>
  <c r="AD108" i="1"/>
  <c r="AN108" i="1" s="1"/>
  <c r="AD109" i="1"/>
  <c r="AN109" i="1" s="1"/>
  <c r="AD110" i="1"/>
  <c r="AN110" i="1" s="1"/>
  <c r="AD111" i="1"/>
  <c r="AN111" i="1" s="1"/>
  <c r="AD112" i="1"/>
  <c r="AN112" i="1" s="1"/>
  <c r="AD113" i="1"/>
  <c r="AN113" i="1" s="1"/>
  <c r="AD114" i="1"/>
  <c r="AN114" i="1" s="1"/>
  <c r="AD115" i="1"/>
  <c r="AN115" i="1" s="1"/>
  <c r="AD116" i="1"/>
  <c r="AN116" i="1" s="1"/>
  <c r="AD117" i="1"/>
  <c r="AN117" i="1" s="1"/>
  <c r="AD118" i="1"/>
  <c r="AN118" i="1" s="1"/>
  <c r="AD119" i="1"/>
  <c r="AN119" i="1" s="1"/>
  <c r="AD120" i="1"/>
  <c r="AN120" i="1" s="1"/>
  <c r="AD121" i="1"/>
  <c r="AN121" i="1" s="1"/>
  <c r="AD122" i="1"/>
  <c r="AN122" i="1" s="1"/>
  <c r="AD123" i="1"/>
  <c r="AN123" i="1" s="1"/>
  <c r="AD124" i="1"/>
  <c r="AN124" i="1" s="1"/>
  <c r="AD125" i="1"/>
  <c r="AN125" i="1" s="1"/>
  <c r="AD126" i="1"/>
  <c r="AN126" i="1" s="1"/>
  <c r="AD127" i="1"/>
  <c r="AN127" i="1" s="1"/>
  <c r="AD128" i="1"/>
  <c r="AN128" i="1" s="1"/>
  <c r="AD129" i="1"/>
  <c r="AN129" i="1" s="1"/>
  <c r="AD130" i="1"/>
  <c r="AN130" i="1" s="1"/>
  <c r="AD131" i="1"/>
  <c r="AN131" i="1" s="1"/>
  <c r="AD132" i="1"/>
  <c r="AN132" i="1" s="1"/>
  <c r="AD133" i="1"/>
  <c r="AN133" i="1" s="1"/>
  <c r="AD134" i="1"/>
  <c r="AN134" i="1" s="1"/>
  <c r="AD135" i="1"/>
  <c r="AN135" i="1" s="1"/>
  <c r="AD136" i="1"/>
  <c r="AN136" i="1" s="1"/>
  <c r="AD137" i="1"/>
  <c r="AN137" i="1" s="1"/>
  <c r="AD138" i="1"/>
  <c r="AN138" i="1" s="1"/>
  <c r="AD139" i="1"/>
  <c r="AN139" i="1" s="1"/>
  <c r="AD140" i="1"/>
  <c r="AN140" i="1" s="1"/>
  <c r="AD141" i="1"/>
  <c r="AN141" i="1" s="1"/>
  <c r="AD142" i="1"/>
  <c r="AN142" i="1" s="1"/>
  <c r="AD143" i="1"/>
  <c r="AN143" i="1" s="1"/>
  <c r="AD144" i="1"/>
  <c r="AN144" i="1" s="1"/>
  <c r="AD145" i="1"/>
  <c r="AN145" i="1" s="1"/>
  <c r="AD146" i="1"/>
  <c r="AN146" i="1" s="1"/>
  <c r="AD147" i="1"/>
  <c r="AN147" i="1" s="1"/>
  <c r="AD148" i="1"/>
  <c r="AN148" i="1" s="1"/>
  <c r="AD149" i="1"/>
  <c r="AN149" i="1" s="1"/>
  <c r="AD150" i="1"/>
  <c r="AN150" i="1" s="1"/>
  <c r="AD151" i="1"/>
  <c r="AN151" i="1" s="1"/>
  <c r="AD152" i="1"/>
  <c r="AN152" i="1" s="1"/>
  <c r="AD153" i="1"/>
  <c r="AN153" i="1" s="1"/>
  <c r="AD154" i="1"/>
  <c r="AN154" i="1" s="1"/>
  <c r="AD155" i="1"/>
  <c r="AN155" i="1" s="1"/>
  <c r="AD156" i="1"/>
  <c r="AN156" i="1" s="1"/>
  <c r="AD157" i="1"/>
  <c r="AN157" i="1" s="1"/>
  <c r="AD158" i="1"/>
  <c r="AN158" i="1" s="1"/>
  <c r="AD159" i="1"/>
  <c r="AN159" i="1" s="1"/>
  <c r="AD160" i="1"/>
  <c r="AN160" i="1" s="1"/>
  <c r="AD161" i="1"/>
  <c r="AN161" i="1" s="1"/>
  <c r="AD162" i="1"/>
  <c r="AN162" i="1" s="1"/>
  <c r="AD163" i="1"/>
  <c r="AN163" i="1" s="1"/>
  <c r="AD164" i="1"/>
  <c r="AN164" i="1" s="1"/>
  <c r="AD165" i="1"/>
  <c r="AN165" i="1" s="1"/>
  <c r="AD166" i="1"/>
  <c r="AN166" i="1" s="1"/>
  <c r="AD167" i="1"/>
  <c r="AN167" i="1" s="1"/>
  <c r="AD168" i="1"/>
  <c r="AN168" i="1" s="1"/>
  <c r="AD169" i="1"/>
  <c r="AN169" i="1" s="1"/>
  <c r="AD170" i="1"/>
  <c r="AN170" i="1" s="1"/>
  <c r="AD171" i="1"/>
  <c r="AN171" i="1" s="1"/>
  <c r="AD172" i="1"/>
  <c r="AN172" i="1" s="1"/>
  <c r="AD173" i="1"/>
  <c r="AN173" i="1" s="1"/>
  <c r="AD174" i="1"/>
  <c r="AN174" i="1" s="1"/>
  <c r="AD175" i="1"/>
  <c r="AN175" i="1" s="1"/>
  <c r="AD176" i="1"/>
  <c r="AN176" i="1" s="1"/>
  <c r="AD177" i="1"/>
  <c r="AN177" i="1" s="1"/>
  <c r="AD178" i="1"/>
  <c r="AN178" i="1" s="1"/>
  <c r="AD179" i="1"/>
  <c r="AN179" i="1" s="1"/>
  <c r="AD180" i="1"/>
  <c r="AN180" i="1" s="1"/>
  <c r="AD181" i="1"/>
  <c r="AN181" i="1" s="1"/>
  <c r="AD182" i="1"/>
  <c r="AN182" i="1" s="1"/>
  <c r="AD183" i="1"/>
  <c r="AN183" i="1" s="1"/>
  <c r="AD184" i="1"/>
  <c r="AN184" i="1" s="1"/>
  <c r="AD185" i="1"/>
  <c r="AN185" i="1" s="1"/>
  <c r="AD186" i="1"/>
  <c r="AN186" i="1" s="1"/>
  <c r="AD187" i="1"/>
  <c r="AN187" i="1" s="1"/>
  <c r="AD188" i="1"/>
  <c r="AN188" i="1" s="1"/>
  <c r="AD189" i="1"/>
  <c r="AN189" i="1" s="1"/>
  <c r="AD190" i="1"/>
  <c r="AN190" i="1" s="1"/>
  <c r="AD191" i="1"/>
  <c r="AN191" i="1" s="1"/>
  <c r="AD192" i="1"/>
  <c r="AN192" i="1" s="1"/>
  <c r="AD193" i="1"/>
  <c r="AN193" i="1" s="1"/>
  <c r="AD194" i="1"/>
  <c r="AN194" i="1" s="1"/>
  <c r="AD195" i="1"/>
  <c r="AN195" i="1" s="1"/>
  <c r="AD196" i="1"/>
  <c r="AN196" i="1" s="1"/>
  <c r="AD197" i="1"/>
  <c r="AN197" i="1" s="1"/>
  <c r="AD198" i="1"/>
  <c r="AN198" i="1" s="1"/>
  <c r="AD199" i="1"/>
  <c r="AN199" i="1" s="1"/>
  <c r="AD200" i="1"/>
  <c r="AN200" i="1" s="1"/>
  <c r="AD201" i="1"/>
  <c r="AN201" i="1" s="1"/>
  <c r="AD202" i="1"/>
  <c r="AN202" i="1" s="1"/>
  <c r="AD203" i="1"/>
  <c r="AN203" i="1" s="1"/>
  <c r="AD204" i="1"/>
  <c r="AN204" i="1" s="1"/>
  <c r="AD205" i="1"/>
  <c r="AN205" i="1" s="1"/>
  <c r="AD206" i="1"/>
  <c r="AN206" i="1" s="1"/>
  <c r="AD207" i="1"/>
  <c r="AN207" i="1" s="1"/>
  <c r="AD208" i="1"/>
  <c r="AN208" i="1" s="1"/>
  <c r="AD209" i="1"/>
  <c r="AN209" i="1" s="1"/>
  <c r="AD210" i="1"/>
  <c r="AN210" i="1" s="1"/>
  <c r="AD211" i="1"/>
  <c r="AN211" i="1" s="1"/>
  <c r="AD212" i="1"/>
  <c r="AN212" i="1" s="1"/>
  <c r="AD213" i="1"/>
  <c r="AN213" i="1" s="1"/>
  <c r="AD214" i="1"/>
  <c r="AN214" i="1" s="1"/>
  <c r="AD215" i="1"/>
  <c r="AN215" i="1" s="1"/>
  <c r="AD216" i="1"/>
  <c r="AN216" i="1" s="1"/>
  <c r="AD217" i="1"/>
  <c r="AN217" i="1" s="1"/>
  <c r="AD218" i="1"/>
  <c r="AN218" i="1" s="1"/>
  <c r="AD219" i="1"/>
  <c r="AN219" i="1" s="1"/>
  <c r="AD220" i="1"/>
  <c r="AN220" i="1" s="1"/>
  <c r="AD221" i="1"/>
  <c r="AN221" i="1" s="1"/>
  <c r="AD222" i="1"/>
  <c r="AN222" i="1" s="1"/>
  <c r="AD223" i="1"/>
  <c r="AN223" i="1" s="1"/>
  <c r="AD224" i="1"/>
  <c r="AN224" i="1" s="1"/>
  <c r="AD225" i="1"/>
  <c r="AN225" i="1" s="1"/>
  <c r="AD226" i="1"/>
  <c r="AN226" i="1" s="1"/>
  <c r="AD227" i="1"/>
  <c r="AN227" i="1" s="1"/>
  <c r="AD228" i="1"/>
  <c r="AN228" i="1" s="1"/>
  <c r="AD229" i="1"/>
  <c r="AN229" i="1" s="1"/>
  <c r="AD230" i="1"/>
  <c r="AN230" i="1" s="1"/>
  <c r="AD231" i="1"/>
  <c r="AN231" i="1" s="1"/>
  <c r="AD232" i="1"/>
  <c r="AN232" i="1" s="1"/>
  <c r="AD233" i="1"/>
  <c r="AN233" i="1" s="1"/>
  <c r="AD234" i="1"/>
  <c r="AN234" i="1" s="1"/>
  <c r="AD235" i="1"/>
  <c r="AN235" i="1" s="1"/>
  <c r="AD236" i="1"/>
  <c r="AN236" i="1" s="1"/>
  <c r="AD237" i="1"/>
  <c r="AN237" i="1" s="1"/>
  <c r="AD238" i="1"/>
  <c r="AN238" i="1" s="1"/>
  <c r="AD239" i="1"/>
  <c r="AN239" i="1" s="1"/>
  <c r="AD240" i="1"/>
  <c r="AN240" i="1" s="1"/>
  <c r="AD241" i="1"/>
  <c r="AN241" i="1" s="1"/>
  <c r="AD242" i="1"/>
  <c r="AN242" i="1" s="1"/>
  <c r="AD243" i="1"/>
  <c r="AN243" i="1" s="1"/>
  <c r="AD244" i="1"/>
  <c r="AN244" i="1" s="1"/>
  <c r="AD245" i="1"/>
  <c r="AN245" i="1" s="1"/>
  <c r="AD246" i="1"/>
  <c r="AN246" i="1" s="1"/>
  <c r="AD247" i="1"/>
  <c r="AN247" i="1" s="1"/>
  <c r="AD248" i="1"/>
  <c r="AN248" i="1" s="1"/>
  <c r="AD249" i="1"/>
  <c r="AN249" i="1" s="1"/>
  <c r="AD250" i="1"/>
  <c r="AN250" i="1" s="1"/>
  <c r="AD251" i="1"/>
  <c r="AN251" i="1" s="1"/>
  <c r="AD252" i="1"/>
  <c r="AN252" i="1" s="1"/>
  <c r="AD253" i="1"/>
  <c r="AN253" i="1" s="1"/>
  <c r="AD254" i="1"/>
  <c r="AN254" i="1" s="1"/>
  <c r="AD255" i="1"/>
  <c r="AN255" i="1" s="1"/>
  <c r="AD256" i="1"/>
  <c r="AN256" i="1" s="1"/>
  <c r="AD257" i="1"/>
  <c r="AN257" i="1" s="1"/>
  <c r="AD258" i="1"/>
  <c r="AN258" i="1" s="1"/>
  <c r="AD259" i="1"/>
  <c r="AN259" i="1" s="1"/>
  <c r="AD260" i="1"/>
  <c r="AN260" i="1" s="1"/>
  <c r="AD261" i="1"/>
  <c r="AN261" i="1" s="1"/>
  <c r="AD262" i="1"/>
  <c r="AN262" i="1" s="1"/>
  <c r="AD263" i="1"/>
  <c r="AN263" i="1" s="1"/>
  <c r="AD264" i="1"/>
  <c r="AN264" i="1" s="1"/>
  <c r="AD265" i="1"/>
  <c r="AN265" i="1" s="1"/>
  <c r="AD266" i="1"/>
  <c r="AN266" i="1" s="1"/>
  <c r="AD267" i="1"/>
  <c r="AN267" i="1" s="1"/>
  <c r="AD268" i="1"/>
  <c r="AN268" i="1" s="1"/>
  <c r="AD269" i="1"/>
  <c r="AN269" i="1" s="1"/>
  <c r="AD270" i="1"/>
  <c r="AN270" i="1" s="1"/>
  <c r="AD271" i="1"/>
  <c r="AN271" i="1" s="1"/>
  <c r="AD272" i="1"/>
  <c r="AN272" i="1" s="1"/>
  <c r="AD273" i="1"/>
  <c r="AN273" i="1" s="1"/>
  <c r="AD274" i="1"/>
  <c r="AN274" i="1" s="1"/>
  <c r="AD275" i="1"/>
  <c r="AN275" i="1" s="1"/>
  <c r="AD276" i="1"/>
  <c r="AN276" i="1" s="1"/>
  <c r="AD277" i="1"/>
  <c r="AN277" i="1" s="1"/>
  <c r="AD278" i="1"/>
  <c r="AN278" i="1" s="1"/>
  <c r="AD279" i="1"/>
  <c r="AN279" i="1" s="1"/>
  <c r="AD280" i="1"/>
  <c r="AN280" i="1" s="1"/>
  <c r="AD281" i="1"/>
  <c r="AN281" i="1" s="1"/>
  <c r="AD282" i="1"/>
  <c r="AN282" i="1" s="1"/>
  <c r="AD283" i="1"/>
  <c r="AN283" i="1" s="1"/>
  <c r="AD284" i="1"/>
  <c r="AN284" i="1" s="1"/>
  <c r="AD285" i="1"/>
  <c r="AN285" i="1" s="1"/>
  <c r="AD286" i="1"/>
  <c r="AN286" i="1" s="1"/>
  <c r="AD287" i="1"/>
  <c r="AN287" i="1" s="1"/>
  <c r="AD288" i="1"/>
  <c r="AN288" i="1" s="1"/>
  <c r="AD289" i="1"/>
  <c r="AN289" i="1" s="1"/>
  <c r="AD290" i="1"/>
  <c r="AN290" i="1" s="1"/>
  <c r="AD291" i="1"/>
  <c r="AN291" i="1" s="1"/>
  <c r="AD292" i="1"/>
  <c r="AN292" i="1" s="1"/>
  <c r="AD293" i="1"/>
  <c r="AN293" i="1" s="1"/>
  <c r="AD294" i="1"/>
  <c r="AN294" i="1" s="1"/>
  <c r="AD295" i="1"/>
  <c r="AN295" i="1" s="1"/>
  <c r="AD296" i="1"/>
  <c r="AN296" i="1" s="1"/>
  <c r="AD297" i="1"/>
  <c r="AN297" i="1" s="1"/>
  <c r="AD298" i="1"/>
  <c r="AN298" i="1" s="1"/>
  <c r="AD299" i="1"/>
  <c r="AN299" i="1" s="1"/>
  <c r="AD300" i="1"/>
  <c r="AN300" i="1" s="1"/>
  <c r="AD301" i="1"/>
  <c r="AN301" i="1" s="1"/>
  <c r="AD302" i="1"/>
  <c r="AN302" i="1" s="1"/>
  <c r="AD303" i="1"/>
  <c r="AN303" i="1" s="1"/>
  <c r="AD304" i="1"/>
  <c r="AN304" i="1" s="1"/>
  <c r="AD305" i="1"/>
  <c r="AN305" i="1" s="1"/>
  <c r="AD306" i="1"/>
  <c r="AN306" i="1" s="1"/>
  <c r="AD307" i="1"/>
  <c r="AN307" i="1" s="1"/>
  <c r="AD308" i="1"/>
  <c r="AN308" i="1" s="1"/>
  <c r="AD309" i="1"/>
  <c r="AN309" i="1" s="1"/>
  <c r="AD310" i="1"/>
  <c r="AN310" i="1" s="1"/>
  <c r="AD311" i="1"/>
  <c r="AN311" i="1" s="1"/>
  <c r="AD312" i="1"/>
  <c r="AN312" i="1" s="1"/>
  <c r="AD313" i="1"/>
  <c r="AN313" i="1" s="1"/>
  <c r="AD314" i="1"/>
  <c r="AN314" i="1" s="1"/>
  <c r="AD315" i="1"/>
  <c r="AN315" i="1" s="1"/>
  <c r="AD316" i="1"/>
  <c r="AN316" i="1" s="1"/>
  <c r="AD317" i="1"/>
  <c r="AN317" i="1" s="1"/>
  <c r="AD318" i="1"/>
  <c r="AN318" i="1" s="1"/>
  <c r="AD319" i="1"/>
  <c r="AN319" i="1" s="1"/>
  <c r="AD320" i="1"/>
  <c r="AN320" i="1" s="1"/>
  <c r="AD321" i="1"/>
  <c r="AN321" i="1" s="1"/>
  <c r="AD322" i="1"/>
  <c r="AN322" i="1" s="1"/>
  <c r="AD323" i="1"/>
  <c r="AN323" i="1" s="1"/>
  <c r="AD324" i="1"/>
  <c r="AN324" i="1" s="1"/>
  <c r="AD325" i="1"/>
  <c r="AN325" i="1" s="1"/>
  <c r="AD326" i="1"/>
  <c r="AN326" i="1" s="1"/>
  <c r="AD327" i="1"/>
  <c r="AN327" i="1" s="1"/>
  <c r="AD328" i="1"/>
  <c r="AN328" i="1" s="1"/>
  <c r="AD329" i="1"/>
  <c r="AN329" i="1" s="1"/>
  <c r="AD330" i="1"/>
  <c r="AN330" i="1" s="1"/>
  <c r="AD331" i="1"/>
  <c r="AN331" i="1" s="1"/>
  <c r="AD332" i="1"/>
  <c r="AN332" i="1" s="1"/>
  <c r="AD333" i="1"/>
  <c r="AN333" i="1" s="1"/>
  <c r="AD334" i="1"/>
  <c r="AN334" i="1" s="1"/>
  <c r="AD335" i="1"/>
  <c r="AN335" i="1" s="1"/>
  <c r="AD336" i="1"/>
  <c r="AN336" i="1" s="1"/>
  <c r="AD337" i="1"/>
  <c r="AN337" i="1" s="1"/>
  <c r="AD338" i="1"/>
  <c r="AN338" i="1" s="1"/>
  <c r="AD339" i="1"/>
  <c r="AN339" i="1" s="1"/>
  <c r="AD340" i="1"/>
  <c r="AN340" i="1" s="1"/>
  <c r="AD341" i="1"/>
  <c r="AN341" i="1" s="1"/>
  <c r="AD342" i="1"/>
  <c r="AN342" i="1" s="1"/>
  <c r="AD343" i="1"/>
  <c r="AN343" i="1" s="1"/>
  <c r="AD344" i="1"/>
  <c r="AN344" i="1" s="1"/>
  <c r="AD345" i="1"/>
  <c r="AN345" i="1" s="1"/>
  <c r="AD346" i="1"/>
  <c r="AN346" i="1" s="1"/>
  <c r="AD347" i="1"/>
  <c r="AN347" i="1" s="1"/>
  <c r="AD348" i="1"/>
  <c r="AN348" i="1" s="1"/>
  <c r="AD349" i="1"/>
  <c r="AN349" i="1" s="1"/>
  <c r="AD350" i="1"/>
  <c r="AN350" i="1" s="1"/>
  <c r="AD351" i="1"/>
  <c r="AN351" i="1" s="1"/>
  <c r="AD357" i="1"/>
  <c r="AN357" i="1" s="1"/>
  <c r="AD358" i="1"/>
  <c r="AN358" i="1" s="1"/>
  <c r="AD359" i="1"/>
  <c r="AN359" i="1" s="1"/>
  <c r="AD360" i="1"/>
  <c r="AN360" i="1" s="1"/>
  <c r="AD361" i="1"/>
  <c r="AN361" i="1" s="1"/>
  <c r="AD362" i="1"/>
  <c r="AN362" i="1" s="1"/>
  <c r="AD363" i="1"/>
  <c r="AN363" i="1" s="1"/>
  <c r="AD364" i="1"/>
  <c r="AN364" i="1" s="1"/>
  <c r="AD365" i="1"/>
  <c r="AN365" i="1" s="1"/>
  <c r="AD366" i="1"/>
  <c r="AN366" i="1" s="1"/>
  <c r="AD367" i="1"/>
  <c r="AN367" i="1" s="1"/>
  <c r="AD368" i="1"/>
  <c r="AN368" i="1" s="1"/>
  <c r="AD369" i="1"/>
  <c r="AN369" i="1" s="1"/>
  <c r="AD370" i="1"/>
  <c r="AN370" i="1" s="1"/>
  <c r="AD371" i="1"/>
  <c r="AN371" i="1" s="1"/>
  <c r="AD372" i="1"/>
  <c r="AN372" i="1" s="1"/>
  <c r="AD373" i="1"/>
  <c r="AN373" i="1" s="1"/>
  <c r="AD374" i="1"/>
  <c r="AN374" i="1" s="1"/>
  <c r="AD375" i="1"/>
  <c r="AN375" i="1" s="1"/>
  <c r="AD376" i="1"/>
  <c r="AN376" i="1" s="1"/>
  <c r="AD377" i="1"/>
  <c r="AN377" i="1" s="1"/>
  <c r="AD378" i="1"/>
  <c r="AN378" i="1" s="1"/>
  <c r="AD379" i="1"/>
  <c r="AN379" i="1" s="1"/>
  <c r="AD380" i="1"/>
  <c r="AN380" i="1" s="1"/>
  <c r="AD381" i="1"/>
  <c r="AN381" i="1" s="1"/>
  <c r="AD382" i="1"/>
  <c r="AN382" i="1" s="1"/>
  <c r="AD383" i="1"/>
  <c r="AN383" i="1" s="1"/>
  <c r="AD384" i="1"/>
  <c r="AN384" i="1" s="1"/>
  <c r="AD385" i="1"/>
  <c r="AN385" i="1" s="1"/>
  <c r="AD386" i="1"/>
  <c r="AN386" i="1" s="1"/>
  <c r="AD387" i="1"/>
  <c r="AN387" i="1" s="1"/>
  <c r="AD388" i="1"/>
  <c r="AN388" i="1" s="1"/>
  <c r="AD389" i="1"/>
  <c r="AN389" i="1" s="1"/>
  <c r="AD390" i="1"/>
  <c r="AN390" i="1" s="1"/>
  <c r="AD391" i="1"/>
  <c r="AN391" i="1" s="1"/>
  <c r="AD392" i="1"/>
  <c r="AN392" i="1" s="1"/>
  <c r="AD393" i="1"/>
  <c r="AN393" i="1" s="1"/>
  <c r="AD394" i="1"/>
  <c r="AN394" i="1" s="1"/>
  <c r="AD395" i="1"/>
  <c r="AN395" i="1" s="1"/>
  <c r="AD396" i="1"/>
  <c r="AN396" i="1" s="1"/>
  <c r="AD397" i="1"/>
  <c r="AN397" i="1" s="1"/>
  <c r="AD398" i="1"/>
  <c r="AN398" i="1" s="1"/>
  <c r="AD399" i="1"/>
  <c r="AN399" i="1" s="1"/>
  <c r="AD400" i="1"/>
  <c r="AN400" i="1" s="1"/>
  <c r="AD401" i="1"/>
  <c r="AN401" i="1" s="1"/>
  <c r="AD402" i="1"/>
  <c r="AN402" i="1" s="1"/>
  <c r="AD403" i="1"/>
  <c r="AN403" i="1" s="1"/>
  <c r="AD404" i="1"/>
  <c r="AN404" i="1" s="1"/>
  <c r="AD405" i="1"/>
  <c r="AN405" i="1" s="1"/>
  <c r="AD406" i="1"/>
  <c r="AN406" i="1" s="1"/>
  <c r="AD407" i="1"/>
  <c r="AN407" i="1" s="1"/>
  <c r="AD408" i="1"/>
  <c r="AN408" i="1" s="1"/>
  <c r="AD409" i="1"/>
  <c r="AN409" i="1" s="1"/>
  <c r="AD410" i="1"/>
  <c r="AN410" i="1" s="1"/>
  <c r="AD411" i="1"/>
  <c r="AN411" i="1" s="1"/>
  <c r="AD412" i="1"/>
  <c r="AN412" i="1" s="1"/>
  <c r="AD413" i="1"/>
  <c r="AN413" i="1" s="1"/>
  <c r="AD414" i="1"/>
  <c r="AN414" i="1" s="1"/>
  <c r="AD415" i="1"/>
  <c r="AN415" i="1" s="1"/>
  <c r="AD416" i="1"/>
  <c r="AN416" i="1" s="1"/>
  <c r="AD417" i="1"/>
  <c r="AN417" i="1" s="1"/>
  <c r="AD418" i="1"/>
  <c r="AN418" i="1" s="1"/>
  <c r="AD419" i="1"/>
  <c r="AN419" i="1" s="1"/>
  <c r="AD423" i="1"/>
  <c r="AN423" i="1" s="1"/>
  <c r="AD424" i="1"/>
  <c r="AN424" i="1" s="1"/>
  <c r="AD425" i="1"/>
  <c r="AN425" i="1" s="1"/>
  <c r="AD426" i="1"/>
  <c r="AN426" i="1" s="1"/>
  <c r="AD427" i="1"/>
  <c r="AN427" i="1" s="1"/>
  <c r="AD428" i="1"/>
  <c r="AN428" i="1" s="1"/>
  <c r="AD429" i="1"/>
  <c r="AN429" i="1" s="1"/>
  <c r="AD430" i="1"/>
  <c r="AN430" i="1" s="1"/>
  <c r="AD431" i="1"/>
  <c r="AN431" i="1" s="1"/>
  <c r="AD432" i="1"/>
  <c r="AN432" i="1" s="1"/>
  <c r="AD433" i="1"/>
  <c r="AN433" i="1" s="1"/>
  <c r="AD434" i="1"/>
  <c r="AN434" i="1" s="1"/>
  <c r="AD435" i="1"/>
  <c r="AN435" i="1" s="1"/>
  <c r="AD436" i="1"/>
  <c r="AN436" i="1" s="1"/>
  <c r="AD437" i="1"/>
  <c r="AN437" i="1" s="1"/>
  <c r="AD438" i="1"/>
  <c r="AN438" i="1" s="1"/>
  <c r="AD439" i="1"/>
  <c r="AN439" i="1" s="1"/>
  <c r="AD440" i="1"/>
  <c r="AN440" i="1" s="1"/>
  <c r="AD441" i="1"/>
  <c r="AN441" i="1" s="1"/>
  <c r="AD442" i="1"/>
  <c r="AN442" i="1" s="1"/>
  <c r="AD446" i="1"/>
  <c r="AN446" i="1" s="1"/>
  <c r="AD447" i="1"/>
  <c r="AN447" i="1" s="1"/>
  <c r="AD448" i="1"/>
  <c r="AN448" i="1" s="1"/>
  <c r="AD449" i="1"/>
  <c r="AN449" i="1" s="1"/>
  <c r="AD450" i="1"/>
  <c r="AN450" i="1" s="1"/>
  <c r="AD451" i="1"/>
  <c r="AN451" i="1" s="1"/>
  <c r="AD452" i="1"/>
  <c r="AD453" i="1"/>
  <c r="AN453" i="1" s="1"/>
  <c r="AD454" i="1"/>
  <c r="AN454" i="1" s="1"/>
  <c r="AD455" i="1"/>
  <c r="AN455" i="1" s="1"/>
  <c r="AD456" i="1"/>
  <c r="AN456" i="1" s="1"/>
  <c r="AD457" i="1"/>
  <c r="AN457" i="1" s="1"/>
  <c r="AD458" i="1"/>
  <c r="AN458" i="1" s="1"/>
  <c r="AD459" i="1"/>
  <c r="AN459" i="1" s="1"/>
  <c r="AD460" i="1"/>
  <c r="AN460" i="1" s="1"/>
  <c r="AD461" i="1"/>
  <c r="AN461" i="1" s="1"/>
  <c r="AD462" i="1"/>
  <c r="AN462" i="1" s="1"/>
  <c r="AD463" i="1"/>
  <c r="AN463" i="1" s="1"/>
  <c r="AD464" i="1"/>
  <c r="AN464" i="1" s="1"/>
  <c r="AD465" i="1"/>
  <c r="AN465" i="1" s="1"/>
  <c r="AD466" i="1"/>
  <c r="AN466" i="1" s="1"/>
  <c r="AD467" i="1"/>
  <c r="AN467" i="1" s="1"/>
  <c r="AD468" i="1"/>
  <c r="AN468" i="1" s="1"/>
  <c r="AD469" i="1"/>
  <c r="AN469" i="1" s="1"/>
  <c r="AD470" i="1"/>
  <c r="AN470" i="1" s="1"/>
  <c r="AD471" i="1"/>
  <c r="AN471" i="1" s="1"/>
  <c r="AD472" i="1"/>
  <c r="AN472" i="1" s="1"/>
  <c r="AD474" i="1"/>
  <c r="AN474" i="1" s="1"/>
  <c r="AD475" i="1"/>
  <c r="AN475" i="1" s="1"/>
  <c r="AD476" i="1"/>
  <c r="AN476" i="1" s="1"/>
  <c r="AD477" i="1"/>
  <c r="AN477" i="1" s="1"/>
  <c r="AD478" i="1"/>
  <c r="AN478" i="1" s="1"/>
  <c r="AD479" i="1"/>
  <c r="AN479" i="1" s="1"/>
  <c r="AD480" i="1"/>
  <c r="AN480" i="1" s="1"/>
  <c r="AD481" i="1"/>
  <c r="AN481" i="1" s="1"/>
  <c r="AD482" i="1"/>
  <c r="AN482" i="1" s="1"/>
  <c r="AD483" i="1"/>
  <c r="AN483" i="1" s="1"/>
  <c r="AD484" i="1"/>
  <c r="AN484" i="1" s="1"/>
  <c r="AD485" i="1"/>
  <c r="AN485" i="1" s="1"/>
  <c r="AD486" i="1"/>
  <c r="AN486" i="1" s="1"/>
  <c r="AD487" i="1"/>
  <c r="AN487" i="1" s="1"/>
  <c r="AD488" i="1"/>
  <c r="AN488" i="1" s="1"/>
  <c r="AD489" i="1"/>
  <c r="AN489" i="1" s="1"/>
  <c r="AD490" i="1"/>
  <c r="AN490" i="1" s="1"/>
  <c r="AD491" i="1"/>
  <c r="AN491" i="1" s="1"/>
  <c r="AD492" i="1"/>
  <c r="AN492" i="1" s="1"/>
  <c r="AD493" i="1"/>
  <c r="AN493" i="1" s="1"/>
  <c r="AD494" i="1"/>
  <c r="AN494" i="1" s="1"/>
  <c r="AD495" i="1"/>
  <c r="AN495" i="1" s="1"/>
  <c r="AD496" i="1"/>
  <c r="AN496" i="1" s="1"/>
  <c r="AD497" i="1"/>
  <c r="AN497" i="1" s="1"/>
  <c r="AD498" i="1"/>
  <c r="AN498" i="1" s="1"/>
  <c r="AD499" i="1"/>
  <c r="AN499" i="1" s="1"/>
  <c r="AD500" i="1"/>
  <c r="AN500" i="1" s="1"/>
  <c r="AD501" i="1"/>
  <c r="AN501" i="1" s="1"/>
  <c r="AD502" i="1"/>
  <c r="AN502" i="1" s="1"/>
  <c r="AD503" i="1"/>
  <c r="AN503" i="1" s="1"/>
  <c r="AD504" i="1"/>
  <c r="AN504" i="1" s="1"/>
  <c r="AD505" i="1"/>
  <c r="AN505" i="1" s="1"/>
  <c r="AD506" i="1"/>
  <c r="AN506" i="1" s="1"/>
  <c r="AD507" i="1"/>
  <c r="AN507" i="1" s="1"/>
  <c r="AD508" i="1"/>
  <c r="AN508" i="1" s="1"/>
  <c r="AD509" i="1"/>
  <c r="AN509" i="1" s="1"/>
  <c r="AD510" i="1"/>
  <c r="AN510" i="1" s="1"/>
  <c r="AD511" i="1"/>
  <c r="AN511" i="1" s="1"/>
  <c r="AD512" i="1"/>
  <c r="AN512" i="1" s="1"/>
  <c r="AD513" i="1"/>
  <c r="AN513" i="1" s="1"/>
  <c r="AD514" i="1"/>
  <c r="AN514" i="1" s="1"/>
  <c r="AD515" i="1"/>
  <c r="AN515" i="1" s="1"/>
  <c r="AD516" i="1"/>
  <c r="AN516" i="1" s="1"/>
  <c r="AD517" i="1"/>
  <c r="AN517" i="1" s="1"/>
  <c r="AD518" i="1"/>
  <c r="AN518" i="1" s="1"/>
  <c r="AD519" i="1"/>
  <c r="AN519" i="1" s="1"/>
  <c r="AD520" i="1"/>
  <c r="AN520" i="1" s="1"/>
  <c r="AD521" i="1"/>
  <c r="AN521" i="1" s="1"/>
  <c r="AD522" i="1"/>
  <c r="AN522" i="1" s="1"/>
  <c r="AD523" i="1"/>
  <c r="AN523" i="1" s="1"/>
  <c r="AD524" i="1"/>
  <c r="AN524" i="1" s="1"/>
  <c r="AD525" i="1"/>
  <c r="AN525" i="1" s="1"/>
  <c r="AD526" i="1"/>
  <c r="AN526" i="1" s="1"/>
  <c r="AD527" i="1"/>
  <c r="AN527" i="1" s="1"/>
  <c r="AD528" i="1"/>
  <c r="AN528" i="1" s="1"/>
  <c r="AD529" i="1"/>
  <c r="AN529" i="1" s="1"/>
  <c r="AD530" i="1"/>
  <c r="AN530" i="1" s="1"/>
  <c r="AD531" i="1"/>
  <c r="AN531" i="1" s="1"/>
  <c r="AD532" i="1"/>
  <c r="AN532" i="1" s="1"/>
  <c r="AD533" i="1"/>
  <c r="AN533" i="1" s="1"/>
  <c r="AD534" i="1"/>
  <c r="AN534" i="1" s="1"/>
  <c r="AD535" i="1"/>
  <c r="AN535" i="1" s="1"/>
  <c r="AD536" i="1"/>
  <c r="AN536" i="1" s="1"/>
  <c r="AD537" i="1"/>
  <c r="AN537" i="1" s="1"/>
  <c r="AD538" i="1"/>
  <c r="AN538" i="1" s="1"/>
  <c r="AD539" i="1"/>
  <c r="AN539" i="1" s="1"/>
  <c r="AD540" i="1"/>
  <c r="AN540" i="1" s="1"/>
  <c r="AD541" i="1"/>
  <c r="AN541" i="1" s="1"/>
  <c r="AD542" i="1"/>
  <c r="AN542" i="1" s="1"/>
  <c r="AD543" i="1"/>
  <c r="AN543" i="1" s="1"/>
  <c r="AD544" i="1"/>
  <c r="AN544" i="1" s="1"/>
  <c r="AD545" i="1"/>
  <c r="AN545" i="1" s="1"/>
  <c r="AD546" i="1"/>
  <c r="AN546" i="1" s="1"/>
  <c r="AD547" i="1"/>
  <c r="AN547" i="1" s="1"/>
  <c r="AD548" i="1"/>
  <c r="AN548" i="1" s="1"/>
  <c r="AD549" i="1"/>
  <c r="AN549" i="1" s="1"/>
  <c r="AD550" i="1"/>
  <c r="AN550" i="1" s="1"/>
  <c r="AD551" i="1"/>
  <c r="AN551" i="1" s="1"/>
  <c r="AD552" i="1"/>
  <c r="AN552" i="1" s="1"/>
  <c r="AD553" i="1"/>
  <c r="AN553" i="1" s="1"/>
  <c r="AD554" i="1"/>
  <c r="AN554" i="1" s="1"/>
  <c r="AD555" i="1"/>
  <c r="AN555" i="1" s="1"/>
  <c r="AD556" i="1"/>
  <c r="AN556" i="1" s="1"/>
  <c r="AD557" i="1"/>
  <c r="AN557" i="1" s="1"/>
  <c r="AD558" i="1"/>
  <c r="AN558" i="1" s="1"/>
  <c r="AD559" i="1"/>
  <c r="AN559" i="1" s="1"/>
  <c r="AD560" i="1"/>
  <c r="AN560" i="1" s="1"/>
  <c r="AD561" i="1"/>
  <c r="AN561" i="1" s="1"/>
  <c r="AD562" i="1"/>
  <c r="AN562" i="1" s="1"/>
  <c r="AD563" i="1"/>
  <c r="AN563" i="1" s="1"/>
  <c r="AD567" i="1"/>
  <c r="AN567" i="1" s="1"/>
  <c r="AD568" i="1"/>
  <c r="AN568" i="1" s="1"/>
  <c r="AD569" i="1"/>
  <c r="AN569" i="1" s="1"/>
  <c r="AD570" i="1"/>
  <c r="AN570" i="1" s="1"/>
  <c r="AD571" i="1"/>
  <c r="AN571" i="1" s="1"/>
  <c r="AD572" i="1"/>
  <c r="AN572" i="1" s="1"/>
  <c r="AD573" i="1"/>
  <c r="AN573" i="1" s="1"/>
  <c r="AD574" i="1"/>
  <c r="AN574" i="1" s="1"/>
  <c r="AD575" i="1"/>
  <c r="AN575" i="1" s="1"/>
  <c r="AD576" i="1"/>
  <c r="AN576" i="1" s="1"/>
  <c r="AD577" i="1"/>
  <c r="AN577" i="1" s="1"/>
  <c r="AD578" i="1"/>
  <c r="AN578" i="1" s="1"/>
  <c r="AD579" i="1"/>
  <c r="AN579" i="1" s="1"/>
  <c r="AD580" i="1"/>
  <c r="AN580" i="1" s="1"/>
  <c r="AD581" i="1"/>
  <c r="AN581" i="1" s="1"/>
  <c r="AD582" i="1"/>
  <c r="AN582" i="1" s="1"/>
  <c r="AD583" i="1"/>
  <c r="AN583" i="1" s="1"/>
  <c r="AD584" i="1"/>
  <c r="AN584" i="1" s="1"/>
  <c r="AD585" i="1"/>
  <c r="AN585" i="1" s="1"/>
  <c r="AD586" i="1"/>
  <c r="AN586" i="1" s="1"/>
  <c r="AD587" i="1"/>
  <c r="AN587" i="1" s="1"/>
  <c r="AD588" i="1"/>
  <c r="AN588" i="1" s="1"/>
  <c r="AD589" i="1"/>
  <c r="AN589" i="1" s="1"/>
  <c r="AD590" i="1"/>
  <c r="AN590" i="1" s="1"/>
  <c r="AD591" i="1"/>
  <c r="AN591" i="1" s="1"/>
  <c r="AD592" i="1"/>
  <c r="AN592" i="1" s="1"/>
  <c r="AD593" i="1"/>
  <c r="AN593" i="1" s="1"/>
  <c r="AD594" i="1"/>
  <c r="AN594" i="1" s="1"/>
  <c r="AD595" i="1"/>
  <c r="AN595" i="1" s="1"/>
  <c r="AD596" i="1"/>
  <c r="AN596" i="1" s="1"/>
  <c r="AD597" i="1"/>
  <c r="AN597" i="1" s="1"/>
  <c r="AD598" i="1"/>
  <c r="AN598" i="1" s="1"/>
  <c r="AD599" i="1"/>
  <c r="AN599" i="1" s="1"/>
  <c r="AD600" i="1"/>
  <c r="AN600" i="1" s="1"/>
  <c r="AD601" i="1"/>
  <c r="AN601" i="1" s="1"/>
  <c r="AD602" i="1"/>
  <c r="AN602" i="1" s="1"/>
  <c r="AD603" i="1"/>
  <c r="AN603" i="1" s="1"/>
  <c r="AD604" i="1"/>
  <c r="AN604" i="1" s="1"/>
  <c r="AD605" i="1"/>
  <c r="AN605" i="1" s="1"/>
  <c r="AD606" i="1"/>
  <c r="AN606" i="1" s="1"/>
  <c r="AD607" i="1"/>
  <c r="AN607" i="1" s="1"/>
  <c r="AD608" i="1"/>
  <c r="AN608" i="1" s="1"/>
  <c r="AD609" i="1"/>
  <c r="AN609" i="1" s="1"/>
  <c r="AD610" i="1"/>
  <c r="AN610" i="1" s="1"/>
  <c r="AD611" i="1"/>
  <c r="AN611" i="1" s="1"/>
  <c r="AD612" i="1"/>
  <c r="AN612" i="1" s="1"/>
  <c r="AD613" i="1"/>
  <c r="AN613" i="1" s="1"/>
  <c r="AD614" i="1"/>
  <c r="AN614" i="1" s="1"/>
  <c r="AD615" i="1"/>
  <c r="AN615" i="1" s="1"/>
  <c r="AD616" i="1"/>
  <c r="AN616" i="1" s="1"/>
  <c r="AD617" i="1"/>
  <c r="AN617" i="1" s="1"/>
  <c r="AD618" i="1"/>
  <c r="AN618" i="1" s="1"/>
  <c r="AD621" i="1"/>
  <c r="AN621" i="1" s="1"/>
  <c r="AD622" i="1"/>
  <c r="AN622" i="1" s="1"/>
  <c r="AD623" i="1"/>
  <c r="AN623" i="1" s="1"/>
  <c r="AD624" i="1"/>
  <c r="AN624" i="1" s="1"/>
  <c r="AD625" i="1"/>
  <c r="AN625" i="1" s="1"/>
  <c r="AD626" i="1"/>
  <c r="AN626" i="1" s="1"/>
  <c r="AD627" i="1"/>
  <c r="AN627" i="1" s="1"/>
  <c r="AD628" i="1"/>
  <c r="AN628" i="1" s="1"/>
  <c r="AD629" i="1"/>
  <c r="AN629" i="1" s="1"/>
  <c r="AD630" i="1"/>
  <c r="AN630" i="1" s="1"/>
  <c r="AD631" i="1"/>
  <c r="AN631" i="1" s="1"/>
  <c r="AD632" i="1"/>
  <c r="AN632" i="1" s="1"/>
  <c r="AD633" i="1"/>
  <c r="AN633" i="1" s="1"/>
  <c r="AD634" i="1"/>
  <c r="AN634" i="1" s="1"/>
  <c r="AD635" i="1"/>
  <c r="AN635" i="1" s="1"/>
  <c r="AD636" i="1"/>
  <c r="AN636" i="1" s="1"/>
  <c r="AD637" i="1"/>
  <c r="AN637" i="1" s="1"/>
  <c r="AD638" i="1"/>
  <c r="AN638" i="1" s="1"/>
  <c r="AD639" i="1"/>
  <c r="AN639" i="1" s="1"/>
  <c r="AD640" i="1"/>
  <c r="AN640" i="1" s="1"/>
  <c r="AD641" i="1"/>
  <c r="AN641" i="1" s="1"/>
  <c r="AD642" i="1"/>
  <c r="AN642" i="1" s="1"/>
  <c r="AD643" i="1"/>
  <c r="AN643" i="1" s="1"/>
  <c r="AD644" i="1"/>
  <c r="AN644" i="1" s="1"/>
  <c r="AD645" i="1"/>
  <c r="AN645" i="1" s="1"/>
  <c r="AD646" i="1"/>
  <c r="AN646" i="1" s="1"/>
  <c r="AD647" i="1"/>
  <c r="AN647" i="1" s="1"/>
  <c r="AD648" i="1"/>
  <c r="AN648" i="1" s="1"/>
  <c r="AD649" i="1"/>
  <c r="AN649" i="1" s="1"/>
  <c r="AD650" i="1"/>
  <c r="AN650" i="1" s="1"/>
  <c r="AD651" i="1"/>
  <c r="AN651" i="1" s="1"/>
  <c r="AD652" i="1"/>
  <c r="AN652" i="1" s="1"/>
  <c r="AD653" i="1"/>
  <c r="AN653" i="1" s="1"/>
  <c r="AD656" i="1"/>
  <c r="AN656" i="1" s="1"/>
  <c r="AD657" i="1"/>
  <c r="AN657" i="1" s="1"/>
  <c r="AD658" i="1"/>
  <c r="AN658" i="1" s="1"/>
  <c r="AD659" i="1"/>
  <c r="AN659" i="1" s="1"/>
  <c r="AD660" i="1"/>
  <c r="AN660" i="1" s="1"/>
  <c r="AD661" i="1"/>
  <c r="AN661" i="1" s="1"/>
  <c r="AD662" i="1"/>
  <c r="AN662" i="1" s="1"/>
  <c r="AD663" i="1"/>
  <c r="AN663" i="1" s="1"/>
  <c r="AD664" i="1"/>
  <c r="AN664" i="1" s="1"/>
  <c r="AD665" i="1"/>
  <c r="AN665" i="1" s="1"/>
  <c r="AD666" i="1"/>
  <c r="AN666" i="1" s="1"/>
  <c r="AD670" i="1"/>
  <c r="AN670" i="1" s="1"/>
  <c r="AD671" i="1"/>
  <c r="AN671" i="1" s="1"/>
  <c r="AD672" i="1"/>
  <c r="AN672" i="1" s="1"/>
  <c r="AD673" i="1"/>
  <c r="AN673" i="1" s="1"/>
  <c r="AD674" i="1"/>
  <c r="AN674" i="1" s="1"/>
  <c r="AD675" i="1"/>
  <c r="AN675" i="1" s="1"/>
  <c r="AD676" i="1"/>
  <c r="AN676" i="1" s="1"/>
  <c r="AD677" i="1"/>
  <c r="AN677" i="1" s="1"/>
  <c r="AD678" i="1"/>
  <c r="AN678" i="1" s="1"/>
  <c r="AD679" i="1"/>
  <c r="AN679" i="1" s="1"/>
  <c r="AD680" i="1"/>
  <c r="AN680" i="1" s="1"/>
  <c r="AD681" i="1"/>
  <c r="AN681" i="1" s="1"/>
  <c r="AD682" i="1"/>
  <c r="AN682" i="1" s="1"/>
  <c r="AD683" i="1"/>
  <c r="AN683" i="1" s="1"/>
  <c r="AD684" i="1"/>
  <c r="AN684" i="1" s="1"/>
  <c r="AD685" i="1"/>
  <c r="AN685" i="1" s="1"/>
  <c r="AD686" i="1"/>
  <c r="AN686" i="1" s="1"/>
  <c r="AD687" i="1"/>
  <c r="AN687" i="1" s="1"/>
  <c r="AD688" i="1"/>
  <c r="AN688" i="1" s="1"/>
  <c r="AD689" i="1"/>
  <c r="AN689" i="1" s="1"/>
  <c r="AD690" i="1"/>
  <c r="AN690" i="1" s="1"/>
  <c r="AD691" i="1"/>
  <c r="AN691" i="1" s="1"/>
  <c r="AD692" i="1"/>
  <c r="AN692" i="1" s="1"/>
  <c r="AD693" i="1"/>
  <c r="AN693" i="1" s="1"/>
  <c r="AD694" i="1"/>
  <c r="AN694" i="1" s="1"/>
  <c r="AD695" i="1"/>
  <c r="AN695" i="1" s="1"/>
  <c r="AD696" i="1"/>
  <c r="AN696" i="1" s="1"/>
  <c r="AD697" i="1"/>
  <c r="AN697" i="1" s="1"/>
  <c r="AD698" i="1"/>
  <c r="AN698" i="1" s="1"/>
  <c r="AD699" i="1"/>
  <c r="AN699" i="1" s="1"/>
  <c r="AD700" i="1"/>
  <c r="AN700" i="1" s="1"/>
  <c r="AD701" i="1"/>
  <c r="AN701" i="1" s="1"/>
  <c r="AD702" i="1"/>
  <c r="AN702" i="1" s="1"/>
  <c r="AD703" i="1"/>
  <c r="AN703" i="1" s="1"/>
  <c r="AD704" i="1"/>
  <c r="AN704" i="1" s="1"/>
  <c r="AD705" i="1"/>
  <c r="AN705" i="1" s="1"/>
  <c r="AD706" i="1"/>
  <c r="AN706" i="1" s="1"/>
  <c r="AD707" i="1"/>
  <c r="AN707" i="1" s="1"/>
  <c r="AD708" i="1"/>
  <c r="AN708" i="1" s="1"/>
  <c r="AD709" i="1"/>
  <c r="AN709" i="1" s="1"/>
  <c r="AD710" i="1"/>
  <c r="AN710" i="1" s="1"/>
  <c r="AD711" i="1"/>
  <c r="AN711" i="1" s="1"/>
  <c r="AD712" i="1"/>
  <c r="AN712" i="1" s="1"/>
  <c r="AD713" i="1"/>
  <c r="AN713" i="1" s="1"/>
  <c r="AD714" i="1"/>
  <c r="AN714" i="1" s="1"/>
  <c r="AD715" i="1"/>
  <c r="AN715" i="1" s="1"/>
  <c r="AD716" i="1"/>
  <c r="AN716" i="1" s="1"/>
  <c r="AD717" i="1"/>
  <c r="AN717" i="1" s="1"/>
  <c r="AD718" i="1"/>
  <c r="AN718" i="1" s="1"/>
  <c r="AD719" i="1"/>
  <c r="AN719" i="1" s="1"/>
  <c r="AD720" i="1"/>
  <c r="AN720" i="1" s="1"/>
  <c r="AD721" i="1"/>
  <c r="AN721" i="1" s="1"/>
  <c r="AD722" i="1"/>
  <c r="AN722" i="1" s="1"/>
  <c r="AD723" i="1"/>
  <c r="AN723" i="1" s="1"/>
  <c r="AD724" i="1"/>
  <c r="AN724" i="1" s="1"/>
  <c r="AD725" i="1"/>
  <c r="AN725" i="1" s="1"/>
  <c r="AD726" i="1"/>
  <c r="AN726" i="1" s="1"/>
  <c r="AD727" i="1"/>
  <c r="AN727" i="1" s="1"/>
  <c r="AD728" i="1"/>
  <c r="AN728" i="1" s="1"/>
  <c r="AD729" i="1"/>
  <c r="AN729" i="1" s="1"/>
  <c r="AD730" i="1"/>
  <c r="AN730" i="1" s="1"/>
  <c r="AD731" i="1"/>
  <c r="AN731" i="1" s="1"/>
  <c r="AD732" i="1"/>
  <c r="AN732" i="1" s="1"/>
  <c r="AD733" i="1"/>
  <c r="AN733" i="1" s="1"/>
  <c r="AD734" i="1"/>
  <c r="AN734" i="1" s="1"/>
  <c r="AD735" i="1"/>
  <c r="AN735" i="1" s="1"/>
  <c r="AD736" i="1"/>
  <c r="AN736" i="1" s="1"/>
  <c r="AD737" i="1"/>
  <c r="AN737" i="1" s="1"/>
  <c r="AD738" i="1"/>
  <c r="AN738" i="1" s="1"/>
  <c r="AD739" i="1"/>
  <c r="AN739" i="1" s="1"/>
  <c r="AD740" i="1"/>
  <c r="AN740" i="1" s="1"/>
  <c r="AD741" i="1"/>
  <c r="AN741" i="1" s="1"/>
  <c r="AD742" i="1"/>
  <c r="AN742" i="1" s="1"/>
  <c r="AD743" i="1"/>
  <c r="AN743" i="1" s="1"/>
  <c r="AD744" i="1"/>
  <c r="AN744" i="1" s="1"/>
  <c r="AD745" i="1"/>
  <c r="AN745" i="1" s="1"/>
  <c r="AD746" i="1"/>
  <c r="AN746" i="1" s="1"/>
  <c r="AD747" i="1"/>
  <c r="AN747" i="1" s="1"/>
  <c r="AD748" i="1"/>
  <c r="AN748" i="1" s="1"/>
  <c r="AD749" i="1"/>
  <c r="AN749" i="1" s="1"/>
  <c r="AD750" i="1"/>
  <c r="AN750" i="1" s="1"/>
  <c r="AD751" i="1"/>
  <c r="AN751" i="1" s="1"/>
  <c r="AD752" i="1"/>
  <c r="AN752" i="1" s="1"/>
  <c r="AD753" i="1"/>
  <c r="AN753" i="1" s="1"/>
  <c r="AD754" i="1"/>
  <c r="AN754" i="1" s="1"/>
  <c r="AD755" i="1"/>
  <c r="AN755" i="1" s="1"/>
  <c r="AD756" i="1"/>
  <c r="AN756" i="1" s="1"/>
  <c r="AD757" i="1"/>
  <c r="AN757" i="1" s="1"/>
  <c r="AD758" i="1"/>
  <c r="AN758" i="1" s="1"/>
  <c r="AD759" i="1"/>
  <c r="AN759" i="1" s="1"/>
  <c r="AD760" i="1"/>
  <c r="AN760" i="1" s="1"/>
  <c r="AD761" i="1"/>
  <c r="AN761" i="1" s="1"/>
  <c r="AD762" i="1"/>
  <c r="AN762" i="1" s="1"/>
  <c r="AD763" i="1"/>
  <c r="AN763" i="1" s="1"/>
  <c r="AD764" i="1"/>
  <c r="AN764" i="1" s="1"/>
  <c r="AD765" i="1"/>
  <c r="AN765" i="1" s="1"/>
  <c r="AD766" i="1"/>
  <c r="AN766" i="1" s="1"/>
  <c r="AD767" i="1"/>
  <c r="AN767" i="1" s="1"/>
  <c r="AD768" i="1"/>
  <c r="AN768" i="1" s="1"/>
  <c r="AD769" i="1"/>
  <c r="AN769" i="1" s="1"/>
  <c r="AD770" i="1"/>
  <c r="AN770" i="1" s="1"/>
  <c r="AD771" i="1"/>
  <c r="AN771" i="1" s="1"/>
  <c r="AD772" i="1"/>
  <c r="AN772" i="1" s="1"/>
  <c r="AD773" i="1"/>
  <c r="AN773" i="1" s="1"/>
  <c r="AD774" i="1"/>
  <c r="AN774" i="1" s="1"/>
  <c r="AD775" i="1"/>
  <c r="AN775" i="1" s="1"/>
  <c r="AD776" i="1"/>
  <c r="AN776" i="1" s="1"/>
  <c r="AD780" i="1"/>
  <c r="AN780" i="1" s="1"/>
  <c r="AD781" i="1"/>
  <c r="AN781" i="1" s="1"/>
  <c r="AD782" i="1"/>
  <c r="AN782" i="1" s="1"/>
  <c r="AD783" i="1"/>
  <c r="AN783" i="1" s="1"/>
  <c r="AD784" i="1"/>
  <c r="AN784" i="1" s="1"/>
  <c r="AD785" i="1"/>
  <c r="AN785" i="1" s="1"/>
  <c r="AD786" i="1"/>
  <c r="AN786" i="1" s="1"/>
  <c r="AD787" i="1"/>
  <c r="AN787" i="1" s="1"/>
  <c r="AD788" i="1"/>
  <c r="AN788" i="1" s="1"/>
  <c r="AD789" i="1"/>
  <c r="AN789" i="1" s="1"/>
  <c r="AD790" i="1"/>
  <c r="AN790" i="1" s="1"/>
  <c r="AD791" i="1"/>
  <c r="AN791" i="1" s="1"/>
  <c r="AD792" i="1"/>
  <c r="AN792" i="1" s="1"/>
  <c r="AD793" i="1"/>
  <c r="AN793" i="1" s="1"/>
  <c r="AD794" i="1"/>
  <c r="AN794" i="1" s="1"/>
  <c r="AD795" i="1"/>
  <c r="AN795" i="1" s="1"/>
  <c r="AD796" i="1"/>
  <c r="AN796" i="1" s="1"/>
  <c r="AD797" i="1"/>
  <c r="AN797" i="1" s="1"/>
  <c r="AD798" i="1"/>
  <c r="AN798" i="1" s="1"/>
  <c r="AD799" i="1"/>
  <c r="AN799" i="1" s="1"/>
  <c r="AD800" i="1"/>
  <c r="AN800" i="1" s="1"/>
  <c r="AD801" i="1"/>
  <c r="AN801" i="1" s="1"/>
  <c r="AD802" i="1"/>
  <c r="AN802" i="1" s="1"/>
  <c r="AD803" i="1"/>
  <c r="AN803" i="1" s="1"/>
  <c r="AD804" i="1"/>
  <c r="AN804" i="1" s="1"/>
  <c r="AD805" i="1"/>
  <c r="AN805" i="1" s="1"/>
  <c r="AD806" i="1"/>
  <c r="AN806" i="1" s="1"/>
  <c r="AD807" i="1"/>
  <c r="AN807" i="1" s="1"/>
  <c r="AD808" i="1"/>
  <c r="AN808" i="1" s="1"/>
  <c r="AD809" i="1"/>
  <c r="AN809" i="1" s="1"/>
  <c r="AD810" i="1"/>
  <c r="AN810" i="1" s="1"/>
  <c r="AD811" i="1"/>
  <c r="AN811" i="1" s="1"/>
  <c r="AD812" i="1"/>
  <c r="AN812" i="1" s="1"/>
  <c r="AD813" i="1"/>
  <c r="AN813" i="1" s="1"/>
  <c r="AD816" i="1"/>
  <c r="AN816" i="1" s="1"/>
  <c r="AD817" i="1"/>
  <c r="AN817" i="1" s="1"/>
  <c r="AD818" i="1"/>
  <c r="AN818" i="1" s="1"/>
  <c r="AD819" i="1"/>
  <c r="AN819" i="1" s="1"/>
  <c r="AD820" i="1"/>
  <c r="AN820" i="1" s="1"/>
  <c r="AD821" i="1"/>
  <c r="AN821" i="1" s="1"/>
  <c r="AD822" i="1"/>
  <c r="AN822" i="1" s="1"/>
  <c r="AD823" i="1"/>
  <c r="AN823" i="1" s="1"/>
  <c r="AD824" i="1"/>
  <c r="AN824" i="1" s="1"/>
  <c r="AD825" i="1"/>
  <c r="AN825" i="1" s="1"/>
  <c r="AD826" i="1"/>
  <c r="AN826" i="1" s="1"/>
  <c r="AD827" i="1"/>
  <c r="AN827" i="1" s="1"/>
  <c r="AD828" i="1"/>
  <c r="AN828" i="1" s="1"/>
  <c r="AD829" i="1"/>
  <c r="AN829" i="1" s="1"/>
  <c r="AD830" i="1"/>
  <c r="AN830" i="1" s="1"/>
  <c r="AD831" i="1"/>
  <c r="AN831" i="1" s="1"/>
  <c r="AD832" i="1"/>
  <c r="AN832" i="1" s="1"/>
  <c r="AD833" i="1"/>
  <c r="AN833" i="1" s="1"/>
  <c r="AD834" i="1"/>
  <c r="AN834" i="1" s="1"/>
  <c r="AD835" i="1"/>
  <c r="AN835" i="1" s="1"/>
  <c r="AD836" i="1"/>
  <c r="AN836" i="1" s="1"/>
  <c r="AD837" i="1"/>
  <c r="AN837" i="1" s="1"/>
  <c r="AD838" i="1"/>
  <c r="AN838" i="1" s="1"/>
  <c r="AD839" i="1"/>
  <c r="AN839" i="1" s="1"/>
  <c r="AD840" i="1"/>
  <c r="AN840" i="1" s="1"/>
  <c r="AD841" i="1"/>
  <c r="AN841" i="1" s="1"/>
  <c r="AD842" i="1"/>
  <c r="AN842" i="1" s="1"/>
  <c r="AD843" i="1"/>
  <c r="AN843" i="1" s="1"/>
  <c r="AD844" i="1"/>
  <c r="AN844" i="1" s="1"/>
  <c r="AD845" i="1"/>
  <c r="AN845" i="1" s="1"/>
  <c r="AD846" i="1"/>
  <c r="AN846" i="1" s="1"/>
  <c r="AD847" i="1"/>
  <c r="AN847" i="1" s="1"/>
  <c r="AD848" i="1"/>
  <c r="AN848" i="1" s="1"/>
  <c r="AD849" i="1"/>
  <c r="AN849" i="1" s="1"/>
  <c r="AD850" i="1"/>
  <c r="AN850" i="1" s="1"/>
  <c r="AD851" i="1"/>
  <c r="AN851" i="1" s="1"/>
  <c r="AD852" i="1"/>
  <c r="AN852" i="1" s="1"/>
  <c r="AD853" i="1"/>
  <c r="AN853" i="1" s="1"/>
  <c r="AD854" i="1"/>
  <c r="AN854" i="1" s="1"/>
  <c r="AD855" i="1"/>
  <c r="AN855" i="1" s="1"/>
  <c r="AD856" i="1"/>
  <c r="AN856" i="1" s="1"/>
  <c r="AD857" i="1"/>
  <c r="AN857" i="1" s="1"/>
  <c r="AD858" i="1"/>
  <c r="AN858" i="1" s="1"/>
  <c r="AD859" i="1"/>
  <c r="AN859" i="1" s="1"/>
  <c r="AD862" i="1"/>
  <c r="AN862" i="1" s="1"/>
  <c r="AD863" i="1"/>
  <c r="AN863" i="1" s="1"/>
  <c r="AD864" i="1"/>
  <c r="AN864" i="1" s="1"/>
  <c r="AD865" i="1"/>
  <c r="AN865" i="1" s="1"/>
  <c r="AD866" i="1"/>
  <c r="AN866" i="1" s="1"/>
  <c r="AD867" i="1"/>
  <c r="AN867" i="1" s="1"/>
  <c r="AD868" i="1"/>
  <c r="AN868" i="1" s="1"/>
  <c r="AD869" i="1"/>
  <c r="AN869" i="1" s="1"/>
  <c r="AD870" i="1"/>
  <c r="AN870" i="1" s="1"/>
  <c r="AD871" i="1"/>
  <c r="AN871" i="1" s="1"/>
  <c r="AD872" i="1"/>
  <c r="AN872" i="1" s="1"/>
  <c r="AD873" i="1"/>
  <c r="AN873" i="1" s="1"/>
  <c r="AD874" i="1"/>
  <c r="AN874" i="1" s="1"/>
  <c r="AD875" i="1"/>
  <c r="AD876" i="1"/>
  <c r="AN876" i="1" s="1"/>
  <c r="AD877" i="1"/>
  <c r="AN877" i="1" s="1"/>
  <c r="AD878" i="1"/>
  <c r="AN878" i="1" s="1"/>
  <c r="AD879" i="1"/>
  <c r="AN879" i="1" s="1"/>
  <c r="AD880" i="1"/>
  <c r="AN880" i="1" s="1"/>
  <c r="AD885" i="1"/>
  <c r="AN885" i="1" s="1"/>
  <c r="AD886" i="1"/>
  <c r="AN886" i="1" s="1"/>
  <c r="AD887" i="1"/>
  <c r="AN887" i="1" s="1"/>
  <c r="AD888" i="1"/>
  <c r="AN888" i="1" s="1"/>
  <c r="AD889" i="1"/>
  <c r="AN889" i="1" s="1"/>
  <c r="AD890" i="1"/>
  <c r="AN890" i="1" s="1"/>
  <c r="AD891" i="1"/>
  <c r="AN891" i="1" s="1"/>
  <c r="AD894" i="1"/>
  <c r="AN894" i="1" s="1"/>
  <c r="AD895" i="1"/>
  <c r="AN895" i="1" s="1"/>
  <c r="AD896" i="1"/>
  <c r="AN896" i="1" s="1"/>
  <c r="AD897" i="1"/>
  <c r="AN897" i="1" s="1"/>
  <c r="AD898" i="1"/>
  <c r="AN898" i="1" s="1"/>
  <c r="AD899" i="1"/>
  <c r="AN899" i="1" s="1"/>
  <c r="AD900" i="1"/>
  <c r="AN900" i="1" s="1"/>
  <c r="AD904" i="1"/>
  <c r="AN904" i="1" s="1"/>
  <c r="AD905" i="1"/>
  <c r="AN905" i="1" s="1"/>
  <c r="AD906" i="1"/>
  <c r="AN906" i="1" s="1"/>
  <c r="AD907" i="1"/>
  <c r="AN907" i="1" s="1"/>
  <c r="AD908" i="1"/>
  <c r="AN908" i="1" s="1"/>
  <c r="AD909" i="1"/>
  <c r="AN909" i="1" s="1"/>
  <c r="AD910" i="1"/>
  <c r="AN910" i="1" s="1"/>
  <c r="AD911" i="1"/>
  <c r="AN911" i="1" s="1"/>
  <c r="AD912" i="1"/>
  <c r="AN912" i="1" s="1"/>
  <c r="AD913" i="1"/>
  <c r="AN913" i="1" s="1"/>
  <c r="AD914" i="1"/>
  <c r="AN914" i="1" s="1"/>
  <c r="AD915" i="1"/>
  <c r="AN915" i="1" s="1"/>
  <c r="AD916" i="1"/>
  <c r="AN916" i="1" s="1"/>
  <c r="AD917" i="1"/>
  <c r="AN917" i="1" s="1"/>
  <c r="AD918" i="1"/>
  <c r="AN918" i="1" s="1"/>
  <c r="AD919" i="1"/>
  <c r="AN919" i="1" s="1"/>
  <c r="AD920" i="1"/>
  <c r="AN920" i="1" s="1"/>
  <c r="AD921" i="1"/>
  <c r="AN921" i="1" s="1"/>
  <c r="AD922" i="1"/>
  <c r="AN922" i="1" s="1"/>
  <c r="AD923" i="1"/>
  <c r="AN923" i="1" s="1"/>
  <c r="AD924" i="1"/>
  <c r="AN924" i="1" s="1"/>
  <c r="AD925" i="1"/>
  <c r="AN925" i="1" s="1"/>
  <c r="AD926" i="1"/>
  <c r="AN926" i="1" s="1"/>
  <c r="AD927" i="1"/>
  <c r="AN927" i="1" s="1"/>
  <c r="AD928" i="1"/>
  <c r="AN928" i="1" s="1"/>
  <c r="AD929" i="1"/>
  <c r="AN929" i="1" s="1"/>
  <c r="AD930" i="1"/>
  <c r="AN930" i="1" s="1"/>
  <c r="AD931" i="1"/>
  <c r="AN931" i="1" s="1"/>
  <c r="AD932" i="1"/>
  <c r="AN932" i="1" s="1"/>
  <c r="AD933" i="1"/>
  <c r="AN933" i="1" s="1"/>
  <c r="AD934" i="1"/>
  <c r="AN934" i="1" s="1"/>
  <c r="AD935" i="1"/>
  <c r="AN935" i="1" s="1"/>
  <c r="AD936" i="1"/>
  <c r="AN936" i="1" s="1"/>
  <c r="AD937" i="1"/>
  <c r="AN937" i="1" s="1"/>
  <c r="AD938" i="1"/>
  <c r="AN938" i="1" s="1"/>
  <c r="AD939" i="1"/>
  <c r="AN939" i="1" s="1"/>
  <c r="AD940" i="1"/>
  <c r="AN940" i="1" s="1"/>
  <c r="AD941" i="1"/>
  <c r="AN941" i="1" s="1"/>
  <c r="AD942" i="1"/>
  <c r="AN942" i="1" s="1"/>
  <c r="AD943" i="1"/>
  <c r="AN943" i="1" s="1"/>
  <c r="AD944" i="1"/>
  <c r="AN944" i="1" s="1"/>
  <c r="AD945" i="1"/>
  <c r="AN945" i="1" s="1"/>
  <c r="AD946" i="1"/>
  <c r="AN946" i="1" s="1"/>
  <c r="AD947" i="1"/>
  <c r="AN947" i="1" s="1"/>
  <c r="AD948" i="1"/>
  <c r="AN948" i="1" s="1"/>
  <c r="AD949" i="1"/>
  <c r="AN949" i="1" s="1"/>
  <c r="AD950" i="1"/>
  <c r="AN950" i="1" s="1"/>
  <c r="AD951" i="1"/>
  <c r="AN951" i="1" s="1"/>
  <c r="AD952" i="1"/>
  <c r="AN952" i="1" s="1"/>
  <c r="AD953" i="1"/>
  <c r="AN953" i="1" s="1"/>
  <c r="AD954" i="1"/>
  <c r="AN954" i="1" s="1"/>
  <c r="AD955" i="1"/>
  <c r="AN955" i="1" s="1"/>
  <c r="AD956" i="1"/>
  <c r="AN956" i="1" s="1"/>
  <c r="AD957" i="1"/>
  <c r="AN957" i="1" s="1"/>
  <c r="AD958" i="1"/>
  <c r="AN958" i="1" s="1"/>
  <c r="AD959" i="1"/>
  <c r="AN959" i="1" s="1"/>
  <c r="AD960" i="1"/>
  <c r="AN960" i="1" s="1"/>
  <c r="AD961" i="1"/>
  <c r="AN961" i="1" s="1"/>
  <c r="AD962" i="1"/>
  <c r="AN962" i="1" s="1"/>
  <c r="AD963" i="1"/>
  <c r="AN963" i="1" s="1"/>
  <c r="AD964" i="1"/>
  <c r="AN964" i="1" s="1"/>
  <c r="AD965" i="1"/>
  <c r="AN965" i="1" s="1"/>
  <c r="AD966" i="1"/>
  <c r="AN966" i="1" s="1"/>
  <c r="AD967" i="1"/>
  <c r="AN967" i="1" s="1"/>
  <c r="AD968" i="1"/>
  <c r="AN968" i="1" s="1"/>
  <c r="AD969" i="1"/>
  <c r="AN969" i="1" s="1"/>
  <c r="AD970" i="1"/>
  <c r="AN970" i="1" s="1"/>
  <c r="AD971" i="1"/>
  <c r="AN971" i="1" s="1"/>
  <c r="AD972" i="1"/>
  <c r="AN972" i="1" s="1"/>
  <c r="AD973" i="1"/>
  <c r="AN973" i="1" s="1"/>
  <c r="AD974" i="1"/>
  <c r="AN974" i="1" s="1"/>
  <c r="AD975" i="1"/>
  <c r="AN975" i="1" s="1"/>
  <c r="AD976" i="1"/>
  <c r="AN976" i="1" s="1"/>
  <c r="AD977" i="1"/>
  <c r="AN977" i="1" s="1"/>
  <c r="AD978" i="1"/>
  <c r="AN978" i="1" s="1"/>
  <c r="AD979" i="1"/>
  <c r="AN979" i="1" s="1"/>
  <c r="AD980" i="1"/>
  <c r="AN980" i="1" s="1"/>
  <c r="AD981" i="1"/>
  <c r="AN981" i="1" s="1"/>
  <c r="AD982" i="1"/>
  <c r="AN982" i="1" s="1"/>
  <c r="AD983" i="1"/>
  <c r="AN983" i="1" s="1"/>
  <c r="AD984" i="1"/>
  <c r="AN984" i="1" s="1"/>
  <c r="AD985" i="1"/>
  <c r="AN985" i="1" s="1"/>
  <c r="AD986" i="1"/>
  <c r="AN986" i="1" s="1"/>
  <c r="AD987" i="1"/>
  <c r="AN987" i="1" s="1"/>
  <c r="AD988" i="1"/>
  <c r="AN988" i="1" s="1"/>
  <c r="AD989" i="1"/>
  <c r="AN989" i="1" s="1"/>
  <c r="AD990" i="1"/>
  <c r="AN990" i="1" s="1"/>
  <c r="AD991" i="1"/>
  <c r="AN991" i="1" s="1"/>
  <c r="AD992" i="1"/>
  <c r="AN992" i="1" s="1"/>
  <c r="AD993" i="1"/>
  <c r="AN993" i="1" s="1"/>
  <c r="AD994" i="1"/>
  <c r="AN994" i="1" s="1"/>
  <c r="AD995" i="1"/>
  <c r="AN995" i="1" s="1"/>
  <c r="AD996" i="1"/>
  <c r="AN996" i="1" s="1"/>
  <c r="AD997" i="1"/>
  <c r="AN997" i="1" s="1"/>
  <c r="AD998" i="1"/>
  <c r="AN998" i="1" s="1"/>
  <c r="AD999" i="1"/>
  <c r="AN999" i="1" s="1"/>
  <c r="AD1000" i="1"/>
  <c r="AN1000" i="1" s="1"/>
  <c r="AD1001" i="1"/>
  <c r="AN1001" i="1" s="1"/>
  <c r="AD1002" i="1"/>
  <c r="AN1002" i="1" s="1"/>
  <c r="AD1003" i="1"/>
  <c r="AN1003" i="1" s="1"/>
  <c r="AD1004" i="1"/>
  <c r="AN1004" i="1" s="1"/>
  <c r="AD1005" i="1"/>
  <c r="AN1005" i="1" s="1"/>
  <c r="AD1006" i="1"/>
  <c r="AN1006" i="1" s="1"/>
  <c r="AD1007" i="1"/>
  <c r="AN1007" i="1" s="1"/>
  <c r="AD1008" i="1"/>
  <c r="AN1008" i="1" s="1"/>
  <c r="AD1009" i="1"/>
  <c r="AN1009" i="1" s="1"/>
  <c r="AD1010" i="1"/>
  <c r="AN1010" i="1" s="1"/>
  <c r="AD1011" i="1"/>
  <c r="AN1011" i="1" s="1"/>
  <c r="AD1012" i="1"/>
  <c r="AN1012" i="1" s="1"/>
  <c r="AD1013" i="1"/>
  <c r="AN1013" i="1" s="1"/>
  <c r="AD1014" i="1"/>
  <c r="AN1014" i="1" s="1"/>
  <c r="AD1015" i="1"/>
  <c r="AN1015" i="1" s="1"/>
  <c r="AD1016" i="1"/>
  <c r="AN1016" i="1" s="1"/>
  <c r="AD1017" i="1"/>
  <c r="AN1017" i="1" s="1"/>
  <c r="AD1018" i="1"/>
  <c r="AN1018" i="1" s="1"/>
  <c r="AD1019" i="1"/>
  <c r="AN1019" i="1" s="1"/>
  <c r="AD1020" i="1"/>
  <c r="AN1020" i="1" s="1"/>
  <c r="AD1021" i="1"/>
  <c r="AN1021" i="1" s="1"/>
  <c r="AD1022" i="1"/>
  <c r="AN1022" i="1" s="1"/>
  <c r="AD1023" i="1"/>
  <c r="AN1023" i="1" s="1"/>
  <c r="AD1024" i="1"/>
  <c r="AN1024" i="1" s="1"/>
  <c r="AD1031" i="1"/>
  <c r="AN1031" i="1" s="1"/>
  <c r="AD1032" i="1"/>
  <c r="AN1032" i="1" s="1"/>
  <c r="AD1033" i="1"/>
  <c r="AN1033" i="1" s="1"/>
  <c r="AD1034" i="1"/>
  <c r="AN1034" i="1" s="1"/>
  <c r="AD1035" i="1"/>
  <c r="AN1035" i="1" s="1"/>
  <c r="AD1036" i="1"/>
  <c r="AN1036" i="1" s="1"/>
  <c r="AD1037" i="1"/>
  <c r="AN1037" i="1" s="1"/>
  <c r="AD1038" i="1"/>
  <c r="AN1038" i="1" s="1"/>
  <c r="AD1039" i="1"/>
  <c r="AN1039" i="1" s="1"/>
  <c r="AD1040" i="1"/>
  <c r="AN1040" i="1" s="1"/>
  <c r="AD1041" i="1"/>
  <c r="AN1041" i="1" s="1"/>
  <c r="AD1042" i="1"/>
  <c r="AN1042" i="1" s="1"/>
  <c r="AD1043" i="1"/>
  <c r="AN1043" i="1" s="1"/>
  <c r="AD2" i="1"/>
  <c r="AQ4" i="1"/>
  <c r="AQ5" i="1"/>
  <c r="AQ2" i="1"/>
  <c r="Z6" i="1" l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AA6" i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E1664" i="1"/>
  <c r="AN452" i="1"/>
  <c r="AN875" i="1"/>
  <c r="AN42" i="1"/>
  <c r="AQ3" i="1"/>
  <c r="Z4" i="1" s="1"/>
  <c r="Z5" i="1" s="1"/>
  <c r="AN1251" i="1"/>
  <c r="AE1252" i="1"/>
  <c r="AE1665" i="1" l="1"/>
  <c r="AA3" i="1"/>
  <c r="AA4" i="1" s="1"/>
  <c r="AA5" i="1" s="1"/>
  <c r="AB3" i="1"/>
  <c r="AB4" i="1" s="1"/>
  <c r="AB5" i="1" s="1"/>
  <c r="AC3" i="1"/>
  <c r="AC4" i="1" s="1"/>
  <c r="AC5" i="1" s="1"/>
  <c r="AN1252" i="1"/>
  <c r="AE1253" i="1"/>
  <c r="Y3" i="1"/>
  <c r="X2" i="1"/>
  <c r="C4" i="8"/>
  <c r="D4" i="8"/>
  <c r="C3" i="8"/>
  <c r="D3" i="8"/>
  <c r="A5" i="8"/>
  <c r="C5" i="8"/>
  <c r="D5" i="8"/>
  <c r="A6" i="8"/>
  <c r="A7" i="8" s="1"/>
  <c r="A8" i="8" s="1"/>
  <c r="A9" i="8" s="1"/>
  <c r="C6" i="8"/>
  <c r="D6" i="8"/>
  <c r="M6" i="8" s="1"/>
  <c r="C7" i="8"/>
  <c r="D7" i="8"/>
  <c r="C8" i="8"/>
  <c r="D8" i="8"/>
  <c r="M8" i="8" s="1"/>
  <c r="C9" i="8"/>
  <c r="D9" i="8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A42" i="8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C42" i="8"/>
  <c r="D42" i="8"/>
  <c r="C44" i="8"/>
  <c r="D44" i="8"/>
  <c r="C45" i="8"/>
  <c r="D45" i="8"/>
  <c r="C46" i="8"/>
  <c r="D46" i="8"/>
  <c r="C47" i="8"/>
  <c r="D47" i="8"/>
  <c r="C48" i="8"/>
  <c r="D48" i="8"/>
  <c r="K48" i="8" s="1"/>
  <c r="C49" i="8"/>
  <c r="D49" i="8"/>
  <c r="C50" i="8"/>
  <c r="D50" i="8"/>
  <c r="C51" i="8"/>
  <c r="D51" i="8"/>
  <c r="I51" i="8" s="1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A131" i="8"/>
  <c r="A132" i="8" s="1"/>
  <c r="A133" i="8" s="1"/>
  <c r="C131" i="8"/>
  <c r="D131" i="8"/>
  <c r="C132" i="8"/>
  <c r="D132" i="8"/>
  <c r="C133" i="8"/>
  <c r="D133" i="8"/>
  <c r="A134" i="8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A164" i="8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187" i="8"/>
  <c r="D187" i="8"/>
  <c r="C188" i="8"/>
  <c r="D188" i="8"/>
  <c r="C189" i="8"/>
  <c r="D189" i="8"/>
  <c r="C190" i="8"/>
  <c r="D190" i="8"/>
  <c r="C191" i="8"/>
  <c r="D191" i="8"/>
  <c r="C192" i="8"/>
  <c r="D192" i="8"/>
  <c r="C193" i="8"/>
  <c r="D193" i="8"/>
  <c r="C194" i="8"/>
  <c r="D194" i="8"/>
  <c r="C195" i="8"/>
  <c r="D195" i="8"/>
  <c r="C196" i="8"/>
  <c r="D196" i="8"/>
  <c r="C197" i="8"/>
  <c r="D197" i="8"/>
  <c r="C198" i="8"/>
  <c r="D198" i="8"/>
  <c r="C199" i="8"/>
  <c r="D199" i="8"/>
  <c r="X3" i="1" l="1"/>
  <c r="AL3" i="1" s="1"/>
  <c r="AM3" i="1"/>
  <c r="AE1666" i="1"/>
  <c r="AN1253" i="1"/>
  <c r="AE1254" i="1"/>
  <c r="I118" i="8"/>
  <c r="J118" i="8"/>
  <c r="K118" i="8"/>
  <c r="L118" i="8"/>
  <c r="M118" i="8"/>
  <c r="I195" i="8"/>
  <c r="J195" i="8"/>
  <c r="K195" i="8"/>
  <c r="L195" i="8"/>
  <c r="M195" i="8"/>
  <c r="I139" i="8"/>
  <c r="J139" i="8"/>
  <c r="K139" i="8"/>
  <c r="L139" i="8"/>
  <c r="M139" i="8"/>
  <c r="I170" i="8"/>
  <c r="J170" i="8"/>
  <c r="K170" i="8"/>
  <c r="L170" i="8"/>
  <c r="M170" i="8"/>
  <c r="M162" i="8"/>
  <c r="I162" i="8"/>
  <c r="J162" i="8"/>
  <c r="K162" i="8"/>
  <c r="L162" i="8"/>
  <c r="I154" i="8"/>
  <c r="J154" i="8"/>
  <c r="K154" i="8"/>
  <c r="L154" i="8"/>
  <c r="M154" i="8"/>
  <c r="M146" i="8"/>
  <c r="I146" i="8"/>
  <c r="J146" i="8"/>
  <c r="K146" i="8"/>
  <c r="L146" i="8"/>
  <c r="I138" i="8"/>
  <c r="M138" i="8"/>
  <c r="J138" i="8"/>
  <c r="K138" i="8"/>
  <c r="L138" i="8"/>
  <c r="M123" i="8"/>
  <c r="J123" i="8"/>
  <c r="K123" i="8"/>
  <c r="L123" i="8"/>
  <c r="I123" i="8"/>
  <c r="I115" i="8"/>
  <c r="J115" i="8"/>
  <c r="K115" i="8"/>
  <c r="L115" i="8"/>
  <c r="M115" i="8"/>
  <c r="K193" i="8"/>
  <c r="L193" i="8"/>
  <c r="M193" i="8"/>
  <c r="I193" i="8"/>
  <c r="J193" i="8"/>
  <c r="J185" i="8"/>
  <c r="K185" i="8"/>
  <c r="L185" i="8"/>
  <c r="I185" i="8"/>
  <c r="M185" i="8"/>
  <c r="I177" i="8"/>
  <c r="J177" i="8"/>
  <c r="K177" i="8"/>
  <c r="L177" i="8"/>
  <c r="M177" i="8"/>
  <c r="J169" i="8"/>
  <c r="K169" i="8"/>
  <c r="L169" i="8"/>
  <c r="I169" i="8"/>
  <c r="M169" i="8"/>
  <c r="I161" i="8"/>
  <c r="J161" i="8"/>
  <c r="K161" i="8"/>
  <c r="L161" i="8"/>
  <c r="M161" i="8"/>
  <c r="J153" i="8"/>
  <c r="K153" i="8"/>
  <c r="L153" i="8"/>
  <c r="I153" i="8"/>
  <c r="M153" i="8"/>
  <c r="I145" i="8"/>
  <c r="J145" i="8"/>
  <c r="K145" i="8"/>
  <c r="L145" i="8"/>
  <c r="M145" i="8"/>
  <c r="J137" i="8"/>
  <c r="K137" i="8"/>
  <c r="L137" i="8"/>
  <c r="I137" i="8"/>
  <c r="M137" i="8"/>
  <c r="M130" i="8"/>
  <c r="I130" i="8"/>
  <c r="J130" i="8"/>
  <c r="K130" i="8"/>
  <c r="L130" i="8"/>
  <c r="I122" i="8"/>
  <c r="J122" i="8"/>
  <c r="K122" i="8"/>
  <c r="L122" i="8"/>
  <c r="M122" i="8"/>
  <c r="M114" i="8"/>
  <c r="I114" i="8"/>
  <c r="J114" i="8"/>
  <c r="K114" i="8"/>
  <c r="L114" i="8"/>
  <c r="K82" i="8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L82" i="8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M82" i="8"/>
  <c r="M83" i="8" s="1"/>
  <c r="M84" i="8" s="1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M97" i="8" s="1"/>
  <c r="M98" i="8" s="1"/>
  <c r="M99" i="8" s="1"/>
  <c r="M100" i="8" s="1"/>
  <c r="M101" i="8" s="1"/>
  <c r="M102" i="8" s="1"/>
  <c r="M103" i="8" s="1"/>
  <c r="M104" i="8" s="1"/>
  <c r="M105" i="8" s="1"/>
  <c r="M106" i="8" s="1"/>
  <c r="M107" i="8" s="1"/>
  <c r="M108" i="8" s="1"/>
  <c r="K188" i="8"/>
  <c r="L188" i="8"/>
  <c r="M188" i="8"/>
  <c r="I188" i="8"/>
  <c r="J188" i="8"/>
  <c r="K187" i="8"/>
  <c r="L187" i="8"/>
  <c r="M187" i="8"/>
  <c r="I187" i="8"/>
  <c r="J187" i="8"/>
  <c r="I196" i="8"/>
  <c r="J196" i="8"/>
  <c r="K196" i="8"/>
  <c r="L196" i="8"/>
  <c r="M196" i="8"/>
  <c r="J148" i="8"/>
  <c r="K148" i="8"/>
  <c r="L148" i="8"/>
  <c r="M148" i="8"/>
  <c r="I148" i="8"/>
  <c r="L116" i="8"/>
  <c r="M116" i="8"/>
  <c r="K116" i="8"/>
  <c r="I116" i="8"/>
  <c r="J116" i="8"/>
  <c r="I157" i="8"/>
  <c r="J157" i="8"/>
  <c r="K157" i="8"/>
  <c r="L157" i="8"/>
  <c r="M157" i="8"/>
  <c r="K156" i="8"/>
  <c r="L156" i="8"/>
  <c r="M156" i="8"/>
  <c r="I156" i="8"/>
  <c r="J156" i="8"/>
  <c r="I176" i="8"/>
  <c r="J176" i="8"/>
  <c r="K176" i="8"/>
  <c r="L176" i="8"/>
  <c r="M176" i="8"/>
  <c r="I149" i="8"/>
  <c r="J149" i="8"/>
  <c r="K149" i="8"/>
  <c r="M149" i="8"/>
  <c r="L149" i="8"/>
  <c r="K172" i="8"/>
  <c r="L172" i="8"/>
  <c r="M172" i="8"/>
  <c r="I172" i="8"/>
  <c r="J172" i="8"/>
  <c r="K140" i="8"/>
  <c r="L140" i="8"/>
  <c r="M140" i="8"/>
  <c r="I140" i="8"/>
  <c r="J140" i="8"/>
  <c r="I179" i="8"/>
  <c r="J179" i="8"/>
  <c r="M179" i="8"/>
  <c r="K179" i="8"/>
  <c r="L179" i="8"/>
  <c r="M155" i="8"/>
  <c r="I155" i="8"/>
  <c r="J155" i="8"/>
  <c r="K155" i="8"/>
  <c r="L155" i="8"/>
  <c r="K124" i="8"/>
  <c r="L124" i="8"/>
  <c r="M124" i="8"/>
  <c r="J124" i="8"/>
  <c r="I124" i="8"/>
  <c r="M194" i="8"/>
  <c r="I194" i="8"/>
  <c r="J194" i="8"/>
  <c r="K194" i="8"/>
  <c r="L194" i="8"/>
  <c r="I184" i="8"/>
  <c r="J184" i="8"/>
  <c r="K184" i="8"/>
  <c r="L184" i="8"/>
  <c r="M184" i="8"/>
  <c r="I160" i="8"/>
  <c r="J160" i="8"/>
  <c r="K160" i="8"/>
  <c r="L160" i="8"/>
  <c r="M160" i="8"/>
  <c r="I144" i="8"/>
  <c r="K144" i="8"/>
  <c r="L144" i="8"/>
  <c r="M144" i="8"/>
  <c r="J144" i="8"/>
  <c r="I129" i="8"/>
  <c r="J129" i="8"/>
  <c r="K129" i="8"/>
  <c r="L129" i="8"/>
  <c r="M129" i="8"/>
  <c r="I113" i="8"/>
  <c r="J113" i="8"/>
  <c r="K113" i="8"/>
  <c r="L113" i="8"/>
  <c r="M113" i="8"/>
  <c r="I199" i="8"/>
  <c r="J199" i="8"/>
  <c r="K199" i="8"/>
  <c r="L199" i="8"/>
  <c r="M199" i="8"/>
  <c r="L175" i="8"/>
  <c r="M175" i="8"/>
  <c r="K175" i="8"/>
  <c r="I175" i="8"/>
  <c r="J175" i="8"/>
  <c r="M151" i="8"/>
  <c r="I151" i="8"/>
  <c r="J151" i="8"/>
  <c r="K151" i="8"/>
  <c r="L151" i="8"/>
  <c r="I128" i="8"/>
  <c r="L128" i="8"/>
  <c r="M128" i="8"/>
  <c r="J128" i="8"/>
  <c r="K128" i="8"/>
  <c r="I190" i="8"/>
  <c r="J190" i="8"/>
  <c r="M190" i="8"/>
  <c r="K190" i="8"/>
  <c r="L190" i="8"/>
  <c r="I182" i="8"/>
  <c r="J182" i="8"/>
  <c r="K182" i="8"/>
  <c r="L182" i="8"/>
  <c r="M182" i="8"/>
  <c r="I174" i="8"/>
  <c r="J174" i="8"/>
  <c r="K174" i="8"/>
  <c r="L174" i="8"/>
  <c r="M174" i="8"/>
  <c r="I166" i="8"/>
  <c r="J166" i="8"/>
  <c r="K166" i="8"/>
  <c r="M166" i="8"/>
  <c r="L166" i="8"/>
  <c r="I126" i="8"/>
  <c r="J126" i="8"/>
  <c r="K126" i="8"/>
  <c r="L126" i="8"/>
  <c r="M126" i="8"/>
  <c r="I164" i="8"/>
  <c r="J164" i="8"/>
  <c r="K164" i="8"/>
  <c r="L164" i="8"/>
  <c r="M164" i="8"/>
  <c r="I125" i="8"/>
  <c r="J125" i="8"/>
  <c r="K125" i="8"/>
  <c r="L125" i="8"/>
  <c r="M125" i="8"/>
  <c r="I109" i="8"/>
  <c r="J109" i="8"/>
  <c r="K109" i="8"/>
  <c r="L109" i="8"/>
  <c r="M109" i="8"/>
  <c r="I163" i="8"/>
  <c r="J163" i="8"/>
  <c r="K163" i="8"/>
  <c r="L163" i="8"/>
  <c r="M163" i="8"/>
  <c r="I186" i="8"/>
  <c r="J186" i="8"/>
  <c r="K186" i="8"/>
  <c r="L186" i="8"/>
  <c r="M186" i="8"/>
  <c r="I131" i="8"/>
  <c r="J131" i="8"/>
  <c r="L131" i="8"/>
  <c r="M131" i="8"/>
  <c r="K131" i="8"/>
  <c r="I192" i="8"/>
  <c r="J192" i="8"/>
  <c r="K192" i="8"/>
  <c r="L192" i="8"/>
  <c r="M192" i="8"/>
  <c r="I168" i="8"/>
  <c r="J168" i="8"/>
  <c r="K168" i="8"/>
  <c r="L168" i="8"/>
  <c r="M168" i="8"/>
  <c r="J136" i="8"/>
  <c r="K136" i="8"/>
  <c r="L136" i="8"/>
  <c r="M136" i="8"/>
  <c r="I136" i="8"/>
  <c r="M81" i="8"/>
  <c r="L81" i="8"/>
  <c r="K81" i="8"/>
  <c r="J81" i="8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I81" i="8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L183" i="8"/>
  <c r="M183" i="8"/>
  <c r="J183" i="8"/>
  <c r="K183" i="8"/>
  <c r="I183" i="8"/>
  <c r="L143" i="8"/>
  <c r="M143" i="8"/>
  <c r="I143" i="8"/>
  <c r="J143" i="8"/>
  <c r="K143" i="8"/>
  <c r="K120" i="8"/>
  <c r="L120" i="8"/>
  <c r="M120" i="8"/>
  <c r="I120" i="8"/>
  <c r="J120" i="8"/>
  <c r="I198" i="8"/>
  <c r="J198" i="8"/>
  <c r="M198" i="8"/>
  <c r="K198" i="8"/>
  <c r="L198" i="8"/>
  <c r="M158" i="8"/>
  <c r="I158" i="8"/>
  <c r="J158" i="8"/>
  <c r="K158" i="8"/>
  <c r="L158" i="8"/>
  <c r="I150" i="8"/>
  <c r="J150" i="8"/>
  <c r="K150" i="8"/>
  <c r="L150" i="8"/>
  <c r="M150" i="8"/>
  <c r="I142" i="8"/>
  <c r="J142" i="8"/>
  <c r="K142" i="8"/>
  <c r="L142" i="8"/>
  <c r="M142" i="8"/>
  <c r="I134" i="8"/>
  <c r="J134" i="8"/>
  <c r="K134" i="8"/>
  <c r="L134" i="8"/>
  <c r="M134" i="8"/>
  <c r="L127" i="8"/>
  <c r="M127" i="8"/>
  <c r="I127" i="8"/>
  <c r="J127" i="8"/>
  <c r="K127" i="8"/>
  <c r="I119" i="8"/>
  <c r="J119" i="8"/>
  <c r="K119" i="8"/>
  <c r="L119" i="8"/>
  <c r="M119" i="8"/>
  <c r="L111" i="8"/>
  <c r="M111" i="8"/>
  <c r="I111" i="8"/>
  <c r="J111" i="8"/>
  <c r="K111" i="8"/>
  <c r="I141" i="8"/>
  <c r="J141" i="8"/>
  <c r="K141" i="8"/>
  <c r="L141" i="8"/>
  <c r="M141" i="8"/>
  <c r="I110" i="8"/>
  <c r="J110" i="8"/>
  <c r="K110" i="8"/>
  <c r="L110" i="8"/>
  <c r="M110" i="8"/>
  <c r="I180" i="8"/>
  <c r="J180" i="8"/>
  <c r="K180" i="8"/>
  <c r="L180" i="8"/>
  <c r="M180" i="8"/>
  <c r="I133" i="8"/>
  <c r="J133" i="8"/>
  <c r="K133" i="8"/>
  <c r="L133" i="8"/>
  <c r="M133" i="8"/>
  <c r="I117" i="8"/>
  <c r="J117" i="8"/>
  <c r="K117" i="8"/>
  <c r="L117" i="8"/>
  <c r="M117" i="8"/>
  <c r="L171" i="8"/>
  <c r="M171" i="8"/>
  <c r="I171" i="8"/>
  <c r="J171" i="8"/>
  <c r="K171" i="8"/>
  <c r="K132" i="8"/>
  <c r="L132" i="8"/>
  <c r="M132" i="8"/>
  <c r="I132" i="8"/>
  <c r="J132" i="8"/>
  <c r="I147" i="8"/>
  <c r="J147" i="8"/>
  <c r="K147" i="8"/>
  <c r="L147" i="8"/>
  <c r="M147" i="8"/>
  <c r="M178" i="8"/>
  <c r="I178" i="8"/>
  <c r="J178" i="8"/>
  <c r="K178" i="8"/>
  <c r="L178" i="8"/>
  <c r="I152" i="8"/>
  <c r="J152" i="8"/>
  <c r="K152" i="8"/>
  <c r="L152" i="8"/>
  <c r="M152" i="8"/>
  <c r="J121" i="8"/>
  <c r="K121" i="8"/>
  <c r="L121" i="8"/>
  <c r="I121" i="8"/>
  <c r="M121" i="8"/>
  <c r="L191" i="8"/>
  <c r="M191" i="8"/>
  <c r="J191" i="8"/>
  <c r="K191" i="8"/>
  <c r="I191" i="8"/>
  <c r="M167" i="8"/>
  <c r="I167" i="8"/>
  <c r="J167" i="8"/>
  <c r="K167" i="8"/>
  <c r="L167" i="8"/>
  <c r="L159" i="8"/>
  <c r="M159" i="8"/>
  <c r="I159" i="8"/>
  <c r="J159" i="8"/>
  <c r="K159" i="8"/>
  <c r="M135" i="8"/>
  <c r="I135" i="8"/>
  <c r="J135" i="8"/>
  <c r="K135" i="8"/>
  <c r="L135" i="8"/>
  <c r="I112" i="8"/>
  <c r="M112" i="8"/>
  <c r="J112" i="8"/>
  <c r="K112" i="8"/>
  <c r="L112" i="8"/>
  <c r="I197" i="8"/>
  <c r="J197" i="8"/>
  <c r="K197" i="8"/>
  <c r="L197" i="8"/>
  <c r="M197" i="8"/>
  <c r="I189" i="8"/>
  <c r="J189" i="8"/>
  <c r="K189" i="8"/>
  <c r="L189" i="8"/>
  <c r="M189" i="8"/>
  <c r="I181" i="8"/>
  <c r="J181" i="8"/>
  <c r="K181" i="8"/>
  <c r="L181" i="8"/>
  <c r="M181" i="8"/>
  <c r="I173" i="8"/>
  <c r="J173" i="8"/>
  <c r="K173" i="8"/>
  <c r="L173" i="8"/>
  <c r="M173" i="8"/>
  <c r="I165" i="8"/>
  <c r="J165" i="8"/>
  <c r="K165" i="8"/>
  <c r="L165" i="8"/>
  <c r="M165" i="8"/>
  <c r="I5" i="8"/>
  <c r="I6" i="8" s="1"/>
  <c r="K5" i="8"/>
  <c r="K6" i="8" s="1"/>
  <c r="K7" i="8" s="1"/>
  <c r="K8" i="8" s="1"/>
  <c r="L5" i="8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M5" i="8"/>
  <c r="I44" i="8"/>
  <c r="I45" i="8" s="1"/>
  <c r="I46" i="8" s="1"/>
  <c r="I47" i="8" s="1"/>
  <c r="I48" i="8" s="1"/>
  <c r="I49" i="8" s="1"/>
  <c r="I50" i="8" s="1"/>
  <c r="J44" i="8"/>
  <c r="K44" i="8"/>
  <c r="L44" i="8"/>
  <c r="L45" i="8" s="1"/>
  <c r="L46" i="8" s="1"/>
  <c r="M44" i="8"/>
  <c r="M45" i="8" s="1"/>
  <c r="M46" i="8" s="1"/>
  <c r="I52" i="8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J9" i="8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I9" i="8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K9" i="8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M9" i="8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I7" i="8"/>
  <c r="I8" i="8" s="1"/>
  <c r="J45" i="8"/>
  <c r="J46" i="8" s="1"/>
  <c r="K45" i="8"/>
  <c r="K46" i="8" s="1"/>
  <c r="I4" i="8"/>
  <c r="J4" i="8"/>
  <c r="J5" i="8" s="1"/>
  <c r="J6" i="8" s="1"/>
  <c r="J7" i="8" s="1"/>
  <c r="J8" i="8" s="1"/>
  <c r="K4" i="8"/>
  <c r="L4" i="8"/>
  <c r="M4" i="8"/>
  <c r="K49" i="8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M7" i="8"/>
  <c r="L47" i="8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M47" i="8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K47" i="8"/>
  <c r="J47" i="8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I3" i="8"/>
  <c r="J3" i="8"/>
  <c r="M3" i="8"/>
  <c r="L3" i="8"/>
  <c r="K3" i="8"/>
  <c r="Y4" i="1"/>
  <c r="X4" i="1" s="1"/>
  <c r="V3" i="1"/>
  <c r="AJ3" i="1" s="1"/>
  <c r="W3" i="1"/>
  <c r="AK3" i="1" s="1"/>
  <c r="V2" i="1"/>
  <c r="X200" i="8"/>
  <c r="Z200" i="8"/>
  <c r="AB200" i="8"/>
  <c r="X201" i="8"/>
  <c r="Z201" i="8"/>
  <c r="AB201" i="8"/>
  <c r="X202" i="8"/>
  <c r="Z202" i="8"/>
  <c r="AB202" i="8"/>
  <c r="AB3" i="8"/>
  <c r="Z3" i="8"/>
  <c r="X3" i="8"/>
  <c r="AE1667" i="1" l="1"/>
  <c r="AE1255" i="1"/>
  <c r="AN1254" i="1"/>
  <c r="B44" i="8"/>
  <c r="AE1668" i="1" l="1"/>
  <c r="AN1255" i="1"/>
  <c r="AE1256" i="1"/>
  <c r="B45" i="8"/>
  <c r="AE1669" i="1" l="1"/>
  <c r="AN1256" i="1"/>
  <c r="AE1257" i="1"/>
  <c r="B46" i="8"/>
  <c r="AE1670" i="1" l="1"/>
  <c r="AN1257" i="1"/>
  <c r="AE1258" i="1"/>
  <c r="B47" i="8"/>
  <c r="AE1671" i="1" l="1"/>
  <c r="AN1258" i="1"/>
  <c r="AE1259" i="1"/>
  <c r="B48" i="8"/>
  <c r="AE1672" i="1" l="1"/>
  <c r="AN1259" i="1"/>
  <c r="AE1260" i="1"/>
  <c r="B49" i="8"/>
  <c r="AE1673" i="1" l="1"/>
  <c r="AN1260" i="1"/>
  <c r="AE1261" i="1"/>
  <c r="B50" i="8"/>
  <c r="AE1674" i="1" l="1"/>
  <c r="AN1261" i="1"/>
  <c r="AE1262" i="1"/>
  <c r="B51" i="8"/>
  <c r="AE1675" i="1" l="1"/>
  <c r="AN1262" i="1"/>
  <c r="AE1263" i="1"/>
  <c r="B52" i="8"/>
  <c r="AE1676" i="1" l="1"/>
  <c r="AE1264" i="1"/>
  <c r="AN1263" i="1"/>
  <c r="B53" i="8"/>
  <c r="AE1677" i="1" l="1"/>
  <c r="AN1264" i="1"/>
  <c r="AE1265" i="1"/>
  <c r="B54" i="8"/>
  <c r="AE1678" i="1" l="1"/>
  <c r="AE1266" i="1"/>
  <c r="AN1265" i="1"/>
  <c r="B55" i="8"/>
  <c r="AE1679" i="1" l="1"/>
  <c r="AN1266" i="1"/>
  <c r="AE1267" i="1"/>
  <c r="B56" i="8"/>
  <c r="AE1680" i="1" l="1"/>
  <c r="AE1268" i="1"/>
  <c r="AN1267" i="1"/>
  <c r="B57" i="8"/>
  <c r="AE1681" i="1" l="1"/>
  <c r="AN1268" i="1"/>
  <c r="AE1269" i="1"/>
  <c r="B58" i="8"/>
  <c r="AE1682" i="1" l="1"/>
  <c r="AN1269" i="1"/>
  <c r="AE1270" i="1"/>
  <c r="B59" i="8"/>
  <c r="AE1683" i="1" l="1"/>
  <c r="AN1270" i="1"/>
  <c r="AE1271" i="1"/>
  <c r="B60" i="8"/>
  <c r="AE1684" i="1" l="1"/>
  <c r="AN1271" i="1"/>
  <c r="AE1272" i="1"/>
  <c r="B61" i="8"/>
  <c r="AE1685" i="1" l="1"/>
  <c r="AN1272" i="1"/>
  <c r="AE1273" i="1"/>
  <c r="B62" i="8"/>
  <c r="AE1686" i="1" l="1"/>
  <c r="AN1273" i="1"/>
  <c r="AE1274" i="1"/>
  <c r="B63" i="8"/>
  <c r="AE1687" i="1" l="1"/>
  <c r="AN1274" i="1"/>
  <c r="AE1275" i="1"/>
  <c r="B64" i="8"/>
  <c r="AE1688" i="1" l="1"/>
  <c r="AN1275" i="1"/>
  <c r="AE1276" i="1"/>
  <c r="B65" i="8"/>
  <c r="AE1689" i="1" l="1"/>
  <c r="AN1276" i="1"/>
  <c r="AE1277" i="1"/>
  <c r="B66" i="8"/>
  <c r="AE1690" i="1" l="1"/>
  <c r="AE1278" i="1"/>
  <c r="AN1277" i="1"/>
  <c r="B67" i="8"/>
  <c r="AE1691" i="1" l="1"/>
  <c r="AN1278" i="1"/>
  <c r="AE1279" i="1"/>
  <c r="B68" i="8"/>
  <c r="AE1692" i="1" l="1"/>
  <c r="AE1280" i="1"/>
  <c r="AN1279" i="1"/>
  <c r="B69" i="8"/>
  <c r="AE1693" i="1" l="1"/>
  <c r="AN1280" i="1"/>
  <c r="AE1281" i="1"/>
  <c r="B70" i="8"/>
  <c r="AE1694" i="1" l="1"/>
  <c r="AN1281" i="1"/>
  <c r="AE1282" i="1"/>
  <c r="B71" i="8"/>
  <c r="AE1695" i="1" l="1"/>
  <c r="AN1282" i="1"/>
  <c r="AE1283" i="1"/>
  <c r="B72" i="8"/>
  <c r="AE1696" i="1" l="1"/>
  <c r="AE1284" i="1"/>
  <c r="AN1283" i="1"/>
  <c r="B73" i="8"/>
  <c r="AE1697" i="1" l="1"/>
  <c r="AN1284" i="1"/>
  <c r="AE1285" i="1"/>
  <c r="B74" i="8"/>
  <c r="AE1698" i="1" l="1"/>
  <c r="AE1286" i="1"/>
  <c r="AN1285" i="1"/>
  <c r="B75" i="8"/>
  <c r="AE1699" i="1" l="1"/>
  <c r="AE1287" i="1"/>
  <c r="AN1286" i="1"/>
  <c r="B76" i="8"/>
  <c r="AE1700" i="1" l="1"/>
  <c r="AN1287" i="1"/>
  <c r="AE1288" i="1"/>
  <c r="B77" i="8"/>
  <c r="AE1701" i="1" l="1"/>
  <c r="AN1288" i="1"/>
  <c r="AE1289" i="1"/>
  <c r="B78" i="8"/>
  <c r="AE1702" i="1" l="1"/>
  <c r="AN1289" i="1"/>
  <c r="AE1290" i="1"/>
  <c r="B80" i="8"/>
  <c r="AE1703" i="1" l="1"/>
  <c r="AE1291" i="1"/>
  <c r="AN1290" i="1"/>
  <c r="B81" i="8"/>
  <c r="AE1704" i="1" l="1"/>
  <c r="AN1291" i="1"/>
  <c r="AE1292" i="1"/>
  <c r="B82" i="8"/>
  <c r="AE1705" i="1" l="1"/>
  <c r="AN1292" i="1"/>
  <c r="AE1293" i="1"/>
  <c r="B83" i="8"/>
  <c r="AE1706" i="1" l="1"/>
  <c r="AN1293" i="1"/>
  <c r="AE1294" i="1"/>
  <c r="B84" i="8"/>
  <c r="AE1707" i="1" l="1"/>
  <c r="AE1295" i="1"/>
  <c r="AN1294" i="1"/>
  <c r="B85" i="8"/>
  <c r="AE1708" i="1" l="1"/>
  <c r="AE1296" i="1"/>
  <c r="AN1295" i="1"/>
  <c r="B86" i="8"/>
  <c r="AE1709" i="1" l="1"/>
  <c r="AN1296" i="1"/>
  <c r="AE1297" i="1"/>
  <c r="B87" i="8"/>
  <c r="AE1710" i="1" l="1"/>
  <c r="AE1298" i="1"/>
  <c r="AN1297" i="1"/>
  <c r="B88" i="8"/>
  <c r="AE1711" i="1" l="1"/>
  <c r="AN1298" i="1"/>
  <c r="AE1299" i="1"/>
  <c r="B89" i="8"/>
  <c r="AE1712" i="1" l="1"/>
  <c r="AN1299" i="1"/>
  <c r="AE1300" i="1"/>
  <c r="B90" i="8"/>
  <c r="AE1713" i="1" l="1"/>
  <c r="AN1300" i="1"/>
  <c r="AE1301" i="1"/>
  <c r="B91" i="8"/>
  <c r="AE1714" i="1" l="1"/>
  <c r="AN1301" i="1"/>
  <c r="AE1302" i="1"/>
  <c r="B92" i="8"/>
  <c r="AE1715" i="1" l="1"/>
  <c r="AN1302" i="1"/>
  <c r="AE1303" i="1"/>
  <c r="B93" i="8"/>
  <c r="AE1716" i="1" l="1"/>
  <c r="AN1303" i="1"/>
  <c r="AE1304" i="1"/>
  <c r="B94" i="8"/>
  <c r="AE1717" i="1" l="1"/>
  <c r="AN1304" i="1"/>
  <c r="AE1305" i="1"/>
  <c r="B95" i="8"/>
  <c r="AE1718" i="1" l="1"/>
  <c r="AN1305" i="1"/>
  <c r="AE1306" i="1"/>
  <c r="B96" i="8"/>
  <c r="AE1719" i="1" l="1"/>
  <c r="AN1306" i="1"/>
  <c r="AE1307" i="1"/>
  <c r="B97" i="8"/>
  <c r="AE1720" i="1" l="1"/>
  <c r="AN1307" i="1"/>
  <c r="AE1308" i="1"/>
  <c r="B98" i="8"/>
  <c r="AE1721" i="1" l="1"/>
  <c r="AN1308" i="1"/>
  <c r="AE1309" i="1"/>
  <c r="B99" i="8"/>
  <c r="AE1722" i="1" l="1"/>
  <c r="AN1309" i="1"/>
  <c r="AE1310" i="1"/>
  <c r="B100" i="8"/>
  <c r="AE1723" i="1" l="1"/>
  <c r="AN1310" i="1"/>
  <c r="AE1311" i="1"/>
  <c r="B101" i="8"/>
  <c r="AE1724" i="1" l="1"/>
  <c r="AN1311" i="1"/>
  <c r="AE1312" i="1"/>
  <c r="B102" i="8"/>
  <c r="AE1725" i="1" l="1"/>
  <c r="AN1312" i="1"/>
  <c r="AE1313" i="1"/>
  <c r="B103" i="8"/>
  <c r="AE1726" i="1" l="1"/>
  <c r="AE1314" i="1"/>
  <c r="AN1313" i="1"/>
  <c r="B104" i="8"/>
  <c r="AE1727" i="1" l="1"/>
  <c r="AN1314" i="1"/>
  <c r="AE1315" i="1"/>
  <c r="B105" i="8"/>
  <c r="AE1728" i="1" l="1"/>
  <c r="AN1315" i="1"/>
  <c r="AE1316" i="1"/>
  <c r="B106" i="8"/>
  <c r="AE1729" i="1" l="1"/>
  <c r="AN1316" i="1"/>
  <c r="AE1317" i="1"/>
  <c r="B107" i="8"/>
  <c r="AE1730" i="1" l="1"/>
  <c r="AN1317" i="1"/>
  <c r="AE1318" i="1"/>
  <c r="B108" i="8"/>
  <c r="AE1731" i="1" l="1"/>
  <c r="AN1318" i="1"/>
  <c r="AE1319" i="1"/>
  <c r="B109" i="8"/>
  <c r="AE1732" i="1" l="1"/>
  <c r="AN1319" i="1"/>
  <c r="AE1320" i="1"/>
  <c r="B110" i="8"/>
  <c r="AE1733" i="1" l="1"/>
  <c r="AN1320" i="1"/>
  <c r="AE1321" i="1"/>
  <c r="B111" i="8"/>
  <c r="AE1734" i="1" l="1"/>
  <c r="AE1322" i="1"/>
  <c r="AN1321" i="1"/>
  <c r="B112" i="8"/>
  <c r="AE1735" i="1" l="1"/>
  <c r="AN1322" i="1"/>
  <c r="AE1323" i="1"/>
  <c r="B113" i="8"/>
  <c r="AE1736" i="1" l="1"/>
  <c r="AN1323" i="1"/>
  <c r="AE1324" i="1"/>
  <c r="B114" i="8"/>
  <c r="AE1737" i="1" l="1"/>
  <c r="AN1324" i="1"/>
  <c r="AE1325" i="1"/>
  <c r="B115" i="8"/>
  <c r="AE1738" i="1" l="1"/>
  <c r="AN1325" i="1"/>
  <c r="AE1326" i="1"/>
  <c r="B116" i="8"/>
  <c r="AE1739" i="1" l="1"/>
  <c r="AN1326" i="1"/>
  <c r="AE1327" i="1"/>
  <c r="B117" i="8"/>
  <c r="AE1740" i="1" l="1"/>
  <c r="AN1327" i="1"/>
  <c r="AE1328" i="1"/>
  <c r="B118" i="8"/>
  <c r="AE1741" i="1" l="1"/>
  <c r="AN1328" i="1"/>
  <c r="AE1329" i="1"/>
  <c r="B119" i="8"/>
  <c r="AE1742" i="1" l="1"/>
  <c r="AN1329" i="1"/>
  <c r="AE1330" i="1"/>
  <c r="B120" i="8"/>
  <c r="AE1743" i="1" l="1"/>
  <c r="AE1331" i="1"/>
  <c r="AN1330" i="1"/>
  <c r="B121" i="8"/>
  <c r="AE1744" i="1" l="1"/>
  <c r="AN1331" i="1"/>
  <c r="AE1332" i="1"/>
  <c r="B122" i="8"/>
  <c r="AE1745" i="1" l="1"/>
  <c r="AN1332" i="1"/>
  <c r="AE1333" i="1"/>
  <c r="B123" i="8"/>
  <c r="AE1746" i="1" l="1"/>
  <c r="AN1333" i="1"/>
  <c r="AE1334" i="1"/>
  <c r="B124" i="8"/>
  <c r="AE1747" i="1" l="1"/>
  <c r="AN1334" i="1"/>
  <c r="AE1335" i="1"/>
  <c r="B125" i="8"/>
  <c r="AE1748" i="1" l="1"/>
  <c r="AN1335" i="1"/>
  <c r="AE1336" i="1"/>
  <c r="B126" i="8"/>
  <c r="AE1749" i="1" l="1"/>
  <c r="AN1336" i="1"/>
  <c r="AE1337" i="1"/>
  <c r="B127" i="8"/>
  <c r="AE1750" i="1" l="1"/>
  <c r="AE1338" i="1"/>
  <c r="AN1337" i="1"/>
  <c r="B128" i="8"/>
  <c r="AE1751" i="1" l="1"/>
  <c r="AN1338" i="1"/>
  <c r="AE1339" i="1"/>
  <c r="B129" i="8"/>
  <c r="AE1752" i="1" l="1"/>
  <c r="AN1339" i="1"/>
  <c r="AE1340" i="1"/>
  <c r="B130" i="8"/>
  <c r="AE1753" i="1" l="1"/>
  <c r="AN1340" i="1"/>
  <c r="AE1341" i="1"/>
  <c r="B131" i="8"/>
  <c r="AE1754" i="1" l="1"/>
  <c r="AN1341" i="1"/>
  <c r="AE1342" i="1"/>
  <c r="B132" i="8"/>
  <c r="AE1755" i="1" l="1"/>
  <c r="AN1342" i="1"/>
  <c r="AE1343" i="1"/>
  <c r="B133" i="8"/>
  <c r="AE1756" i="1" l="1"/>
  <c r="AE1344" i="1"/>
  <c r="AN1343" i="1"/>
  <c r="B134" i="8"/>
  <c r="AE1757" i="1" l="1"/>
  <c r="AN1344" i="1"/>
  <c r="AE1345" i="1"/>
  <c r="B135" i="8"/>
  <c r="AE1758" i="1" l="1"/>
  <c r="AN1345" i="1"/>
  <c r="AE1346" i="1"/>
  <c r="B136" i="8"/>
  <c r="AE1759" i="1" l="1"/>
  <c r="AN1346" i="1"/>
  <c r="AE1347" i="1"/>
  <c r="B137" i="8"/>
  <c r="AE1760" i="1" l="1"/>
  <c r="AN1347" i="1"/>
  <c r="AE1348" i="1"/>
  <c r="B138" i="8"/>
  <c r="AE1761" i="1" l="1"/>
  <c r="AN1348" i="1"/>
  <c r="AE1349" i="1"/>
  <c r="B139" i="8"/>
  <c r="AE1762" i="1" l="1"/>
  <c r="AN1349" i="1"/>
  <c r="AE1350" i="1"/>
  <c r="B140" i="8"/>
  <c r="AE1763" i="1" l="1"/>
  <c r="AN1350" i="1"/>
  <c r="AE1351" i="1"/>
  <c r="B141" i="8"/>
  <c r="AE1764" i="1" l="1"/>
  <c r="AN1351" i="1"/>
  <c r="AE1352" i="1"/>
  <c r="B142" i="8"/>
  <c r="AE1765" i="1" l="1"/>
  <c r="AN1352" i="1"/>
  <c r="AE1353" i="1"/>
  <c r="B143" i="8"/>
  <c r="AE1766" i="1" l="1"/>
  <c r="AE1354" i="1"/>
  <c r="AN1353" i="1"/>
  <c r="B144" i="8"/>
  <c r="AE1767" i="1" l="1"/>
  <c r="AN1354" i="1"/>
  <c r="AE1355" i="1"/>
  <c r="B145" i="8"/>
  <c r="AE1768" i="1" l="1"/>
  <c r="AN1355" i="1"/>
  <c r="AE1356" i="1"/>
  <c r="B146" i="8"/>
  <c r="AE1769" i="1" l="1"/>
  <c r="AN1356" i="1"/>
  <c r="AE1357" i="1"/>
  <c r="B147" i="8"/>
  <c r="AE1770" i="1" l="1"/>
  <c r="AN1357" i="1"/>
  <c r="AE1358" i="1"/>
  <c r="B148" i="8"/>
  <c r="AE1771" i="1" l="1"/>
  <c r="AN1358" i="1"/>
  <c r="AE1359" i="1"/>
  <c r="B149" i="8"/>
  <c r="AE1772" i="1" l="1"/>
  <c r="AN1359" i="1"/>
  <c r="AE1360" i="1"/>
  <c r="B150" i="8"/>
  <c r="AE1773" i="1" l="1"/>
  <c r="AN1360" i="1"/>
  <c r="AE1361" i="1"/>
  <c r="B151" i="8"/>
  <c r="AE1774" i="1" l="1"/>
  <c r="AN1361" i="1"/>
  <c r="AE1362" i="1"/>
  <c r="B152" i="8"/>
  <c r="AE1775" i="1" l="1"/>
  <c r="AE1363" i="1"/>
  <c r="AN1362" i="1"/>
  <c r="B153" i="8"/>
  <c r="AE1776" i="1" l="1"/>
  <c r="AN1363" i="1"/>
  <c r="AE1364" i="1"/>
  <c r="B154" i="8"/>
  <c r="AE1777" i="1" l="1"/>
  <c r="AN1364" i="1"/>
  <c r="AE1365" i="1"/>
  <c r="B155" i="8"/>
  <c r="AE1778" i="1" l="1"/>
  <c r="AN1365" i="1"/>
  <c r="AE1366" i="1"/>
  <c r="B156" i="8"/>
  <c r="AE1779" i="1" l="1"/>
  <c r="AN1366" i="1"/>
  <c r="AE1367" i="1"/>
  <c r="B157" i="8"/>
  <c r="AE1780" i="1" l="1"/>
  <c r="AN1367" i="1"/>
  <c r="AE1368" i="1"/>
  <c r="B158" i="8"/>
  <c r="AE1781" i="1" l="1"/>
  <c r="AN1368" i="1"/>
  <c r="AE1369" i="1"/>
  <c r="B159" i="8"/>
  <c r="AE1782" i="1" l="1"/>
  <c r="AN1369" i="1"/>
  <c r="AE1370" i="1"/>
  <c r="B160" i="8"/>
  <c r="AE1783" i="1" l="1"/>
  <c r="AN1370" i="1"/>
  <c r="AE1371" i="1"/>
  <c r="B161" i="8"/>
  <c r="AE1784" i="1" l="1"/>
  <c r="AE1372" i="1"/>
  <c r="AN1371" i="1"/>
  <c r="B162" i="8"/>
  <c r="AE1785" i="1" l="1"/>
  <c r="AN1372" i="1"/>
  <c r="AE1373" i="1"/>
  <c r="B163" i="8"/>
  <c r="AE1786" i="1" l="1"/>
  <c r="AE1374" i="1"/>
  <c r="AN1373" i="1"/>
  <c r="B164" i="8"/>
  <c r="AE1787" i="1" l="1"/>
  <c r="AN1374" i="1"/>
  <c r="AE1375" i="1"/>
  <c r="B165" i="8"/>
  <c r="AE1788" i="1" l="1"/>
  <c r="AN1375" i="1"/>
  <c r="AE1376" i="1"/>
  <c r="B166" i="8"/>
  <c r="AE1789" i="1" l="1"/>
  <c r="AN1376" i="1"/>
  <c r="AE1377" i="1"/>
  <c r="B167" i="8"/>
  <c r="AE1790" i="1" l="1"/>
  <c r="AN1377" i="1"/>
  <c r="AE1378" i="1"/>
  <c r="B168" i="8"/>
  <c r="AE1791" i="1" l="1"/>
  <c r="AN1378" i="1"/>
  <c r="AE1379" i="1"/>
  <c r="B169" i="8"/>
  <c r="AE1792" i="1" l="1"/>
  <c r="AN1379" i="1"/>
  <c r="AE1380" i="1"/>
  <c r="B170" i="8"/>
  <c r="AE1793" i="1" l="1"/>
  <c r="AN1380" i="1"/>
  <c r="AE1381" i="1"/>
  <c r="B171" i="8"/>
  <c r="AE1794" i="1" l="1"/>
  <c r="AN1381" i="1"/>
  <c r="AE1382" i="1"/>
  <c r="B172" i="8"/>
  <c r="AE1795" i="1" l="1"/>
  <c r="AE1383" i="1"/>
  <c r="AN1382" i="1"/>
  <c r="B173" i="8"/>
  <c r="AE1796" i="1" l="1"/>
  <c r="AN1383" i="1"/>
  <c r="AE1384" i="1"/>
  <c r="B174" i="8"/>
  <c r="AE1797" i="1" l="1"/>
  <c r="AN1384" i="1"/>
  <c r="AE1385" i="1"/>
  <c r="B175" i="8"/>
  <c r="AE1798" i="1" l="1"/>
  <c r="AN1385" i="1"/>
  <c r="AE1386" i="1"/>
  <c r="B176" i="8"/>
  <c r="AE1799" i="1" l="1"/>
  <c r="AN1386" i="1"/>
  <c r="AE1387" i="1"/>
  <c r="B177" i="8"/>
  <c r="AE1800" i="1" l="1"/>
  <c r="AN1387" i="1"/>
  <c r="AE1388" i="1"/>
  <c r="B178" i="8"/>
  <c r="AE1801" i="1" l="1"/>
  <c r="AN1388" i="1"/>
  <c r="AE1389" i="1"/>
  <c r="B179" i="8"/>
  <c r="AE1802" i="1" l="1"/>
  <c r="AN1389" i="1"/>
  <c r="AE1390" i="1"/>
  <c r="B180" i="8"/>
  <c r="AE1803" i="1" l="1"/>
  <c r="AE1391" i="1"/>
  <c r="AN1390" i="1"/>
  <c r="B181" i="8"/>
  <c r="AE1804" i="1" l="1"/>
  <c r="AN1391" i="1"/>
  <c r="AE1392" i="1"/>
  <c r="B182" i="8"/>
  <c r="AE1805" i="1" l="1"/>
  <c r="AN1392" i="1"/>
  <c r="AE1393" i="1"/>
  <c r="B183" i="8"/>
  <c r="AE1806" i="1" l="1"/>
  <c r="AN1393" i="1"/>
  <c r="AE1394" i="1"/>
  <c r="B184" i="8"/>
  <c r="AE1807" i="1" l="1"/>
  <c r="AN1394" i="1"/>
  <c r="AE1395" i="1"/>
  <c r="B185" i="8"/>
  <c r="AE1808" i="1" l="1"/>
  <c r="AN1395" i="1"/>
  <c r="AE1396" i="1"/>
  <c r="B186" i="8"/>
  <c r="AE1809" i="1" l="1"/>
  <c r="AN1396" i="1"/>
  <c r="AE1397" i="1"/>
  <c r="B187" i="8"/>
  <c r="AE1810" i="1" l="1"/>
  <c r="AN1397" i="1"/>
  <c r="AE1398" i="1"/>
  <c r="B188" i="8"/>
  <c r="AE1811" i="1" l="1"/>
  <c r="AE1399" i="1"/>
  <c r="AN1398" i="1"/>
  <c r="B189" i="8"/>
  <c r="AE1812" i="1" l="1"/>
  <c r="AN1399" i="1"/>
  <c r="AE1400" i="1"/>
  <c r="B190" i="8"/>
  <c r="AE1813" i="1" l="1"/>
  <c r="AN1400" i="1"/>
  <c r="AE1401" i="1"/>
  <c r="B191" i="8"/>
  <c r="AE1814" i="1" l="1"/>
  <c r="AE1402" i="1"/>
  <c r="AN1401" i="1"/>
  <c r="B192" i="8"/>
  <c r="AE1815" i="1" l="1"/>
  <c r="AN1402" i="1"/>
  <c r="AE1403" i="1"/>
  <c r="B193" i="8"/>
  <c r="AE1816" i="1" l="1"/>
  <c r="AN1403" i="1"/>
  <c r="AE1404" i="1"/>
  <c r="B194" i="8"/>
  <c r="AE1817" i="1" l="1"/>
  <c r="AN1404" i="1"/>
  <c r="AE1405" i="1"/>
  <c r="B195" i="8"/>
  <c r="AE1818" i="1" l="1"/>
  <c r="AN1405" i="1"/>
  <c r="AE1406" i="1"/>
  <c r="B196" i="8"/>
  <c r="AE1819" i="1" l="1"/>
  <c r="AE1407" i="1"/>
  <c r="AN1406" i="1"/>
  <c r="B197" i="8"/>
  <c r="AE1820" i="1" l="1"/>
  <c r="AN1407" i="1"/>
  <c r="AE1408" i="1"/>
  <c r="B198" i="8"/>
  <c r="AE1821" i="1" l="1"/>
  <c r="AN1408" i="1"/>
  <c r="AE1409" i="1"/>
  <c r="B199" i="8"/>
  <c r="AE1822" i="1" l="1"/>
  <c r="AE1410" i="1"/>
  <c r="AN1409" i="1"/>
  <c r="V3" i="8"/>
  <c r="V4" i="8" s="1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BA4" i="1"/>
  <c r="AZ4" i="1" s="1"/>
  <c r="BB4" i="1"/>
  <c r="BB5" i="1"/>
  <c r="AB2" i="1"/>
  <c r="AC2" i="1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AF3" i="1"/>
  <c r="AF4" i="1" s="1"/>
  <c r="AF5" i="1" s="1"/>
  <c r="AG3" i="1"/>
  <c r="AG4" i="1" s="1"/>
  <c r="AG5" i="1" s="1"/>
  <c r="AE2" i="1"/>
  <c r="AU3" i="8"/>
  <c r="AT3" i="8"/>
  <c r="BE2" i="1"/>
  <c r="BF2" i="1" s="1"/>
  <c r="BB3" i="1"/>
  <c r="BA3" i="1"/>
  <c r="AZ3" i="1" s="1"/>
  <c r="AG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AE1823" i="1" l="1"/>
  <c r="AN1410" i="1"/>
  <c r="AE1411" i="1"/>
  <c r="U60" i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U1003" i="1" s="1"/>
  <c r="U1004" i="1" s="1"/>
  <c r="U1005" i="1" s="1"/>
  <c r="U1006" i="1" s="1"/>
  <c r="U1007" i="1" s="1"/>
  <c r="U1008" i="1" s="1"/>
  <c r="U1009" i="1" s="1"/>
  <c r="U1010" i="1" s="1"/>
  <c r="U1011" i="1" s="1"/>
  <c r="U1012" i="1" s="1"/>
  <c r="U1013" i="1" s="1"/>
  <c r="U1014" i="1" s="1"/>
  <c r="U1015" i="1" s="1"/>
  <c r="U1016" i="1" s="1"/>
  <c r="U1017" i="1" s="1"/>
  <c r="U1018" i="1" s="1"/>
  <c r="U1019" i="1" s="1"/>
  <c r="U1020" i="1" s="1"/>
  <c r="U1021" i="1" s="1"/>
  <c r="U1022" i="1" s="1"/>
  <c r="U1023" i="1" s="1"/>
  <c r="U1024" i="1" s="1"/>
  <c r="U1025" i="1" s="1"/>
  <c r="U1026" i="1" s="1"/>
  <c r="U1027" i="1" s="1"/>
  <c r="U1028" i="1" s="1"/>
  <c r="U1029" i="1" s="1"/>
  <c r="U1030" i="1" s="1"/>
  <c r="U1031" i="1" s="1"/>
  <c r="U1032" i="1" s="1"/>
  <c r="U1033" i="1" s="1"/>
  <c r="U1034" i="1" s="1"/>
  <c r="U1035" i="1" s="1"/>
  <c r="U1036" i="1" s="1"/>
  <c r="U1037" i="1" s="1"/>
  <c r="U1038" i="1" s="1"/>
  <c r="U1039" i="1" s="1"/>
  <c r="U1040" i="1" s="1"/>
  <c r="U1041" i="1" s="1"/>
  <c r="U1042" i="1" s="1"/>
  <c r="U1043" i="1" s="1"/>
  <c r="U1044" i="1" s="1"/>
  <c r="U1045" i="1" s="1"/>
  <c r="U1046" i="1" s="1"/>
  <c r="U1047" i="1" s="1"/>
  <c r="U1048" i="1" s="1"/>
  <c r="U1049" i="1" s="1"/>
  <c r="U1050" i="1" s="1"/>
  <c r="U1051" i="1" s="1"/>
  <c r="U1052" i="1" s="1"/>
  <c r="U1053" i="1" s="1"/>
  <c r="U1054" i="1" s="1"/>
  <c r="U1055" i="1" s="1"/>
  <c r="U1056" i="1" s="1"/>
  <c r="U1057" i="1" s="1"/>
  <c r="U1058" i="1" s="1"/>
  <c r="U1059" i="1" s="1"/>
  <c r="U1060" i="1" s="1"/>
  <c r="U1061" i="1" s="1"/>
  <c r="U1062" i="1" s="1"/>
  <c r="U1063" i="1" s="1"/>
  <c r="U1064" i="1" s="1"/>
  <c r="U1065" i="1" s="1"/>
  <c r="U1066" i="1" s="1"/>
  <c r="U1067" i="1" s="1"/>
  <c r="U1068" i="1" s="1"/>
  <c r="U1069" i="1" s="1"/>
  <c r="U1070" i="1" s="1"/>
  <c r="U1071" i="1" s="1"/>
  <c r="U1072" i="1" s="1"/>
  <c r="U1073" i="1" s="1"/>
  <c r="U1074" i="1" s="1"/>
  <c r="U1075" i="1" s="1"/>
  <c r="U1076" i="1" s="1"/>
  <c r="U1077" i="1" s="1"/>
  <c r="U1078" i="1" s="1"/>
  <c r="U1079" i="1" s="1"/>
  <c r="U1080" i="1" s="1"/>
  <c r="U1081" i="1" s="1"/>
  <c r="U1082" i="1" s="1"/>
  <c r="U1083" i="1" s="1"/>
  <c r="U1084" i="1" s="1"/>
  <c r="U1085" i="1" s="1"/>
  <c r="U1086" i="1" s="1"/>
  <c r="U1087" i="1" s="1"/>
  <c r="U1088" i="1" s="1"/>
  <c r="U1089" i="1" s="1"/>
  <c r="U1090" i="1" s="1"/>
  <c r="U1091" i="1" s="1"/>
  <c r="U1092" i="1" s="1"/>
  <c r="U1093" i="1" s="1"/>
  <c r="U1094" i="1" s="1"/>
  <c r="U1095" i="1" s="1"/>
  <c r="U1096" i="1" s="1"/>
  <c r="U1097" i="1" s="1"/>
  <c r="U1098" i="1" s="1"/>
  <c r="U1099" i="1" s="1"/>
  <c r="U1100" i="1" s="1"/>
  <c r="U1101" i="1" s="1"/>
  <c r="U1102" i="1" s="1"/>
  <c r="U1103" i="1" s="1"/>
  <c r="U1104" i="1" s="1"/>
  <c r="U1105" i="1" s="1"/>
  <c r="U1106" i="1" s="1"/>
  <c r="U1107" i="1" s="1"/>
  <c r="U1108" i="1" s="1"/>
  <c r="U1109" i="1" s="1"/>
  <c r="U1110" i="1" s="1"/>
  <c r="U1111" i="1" s="1"/>
  <c r="U1112" i="1" s="1"/>
  <c r="U1113" i="1" s="1"/>
  <c r="U1114" i="1" s="1"/>
  <c r="U1115" i="1" s="1"/>
  <c r="U1116" i="1" s="1"/>
  <c r="U1117" i="1" s="1"/>
  <c r="U1118" i="1" s="1"/>
  <c r="U1119" i="1" s="1"/>
  <c r="U1120" i="1" s="1"/>
  <c r="U1121" i="1" s="1"/>
  <c r="U1122" i="1" s="1"/>
  <c r="U1123" i="1" s="1"/>
  <c r="U1124" i="1" s="1"/>
  <c r="U1125" i="1" s="1"/>
  <c r="U1126" i="1" s="1"/>
  <c r="U1127" i="1" s="1"/>
  <c r="U1128" i="1" s="1"/>
  <c r="U1129" i="1" s="1"/>
  <c r="U1130" i="1" s="1"/>
  <c r="U1131" i="1" s="1"/>
  <c r="U1132" i="1" s="1"/>
  <c r="U1133" i="1" s="1"/>
  <c r="U1134" i="1" s="1"/>
  <c r="U1135" i="1" s="1"/>
  <c r="U1136" i="1" s="1"/>
  <c r="U1137" i="1" s="1"/>
  <c r="U1138" i="1" s="1"/>
  <c r="U1139" i="1" s="1"/>
  <c r="U1140" i="1" s="1"/>
  <c r="U1141" i="1" s="1"/>
  <c r="U1142" i="1" s="1"/>
  <c r="U1143" i="1" s="1"/>
  <c r="U1144" i="1" s="1"/>
  <c r="U1145" i="1" s="1"/>
  <c r="U1146" i="1" s="1"/>
  <c r="U1147" i="1" s="1"/>
  <c r="U1148" i="1" s="1"/>
  <c r="U1149" i="1" s="1"/>
  <c r="U1150" i="1" s="1"/>
  <c r="U1151" i="1" s="1"/>
  <c r="U1152" i="1" s="1"/>
  <c r="U1153" i="1" s="1"/>
  <c r="U1154" i="1" s="1"/>
  <c r="U1155" i="1" s="1"/>
  <c r="U1156" i="1" s="1"/>
  <c r="U1157" i="1" s="1"/>
  <c r="U1158" i="1" s="1"/>
  <c r="U1159" i="1" s="1"/>
  <c r="U1160" i="1" s="1"/>
  <c r="U1161" i="1" s="1"/>
  <c r="U1162" i="1" s="1"/>
  <c r="U1163" i="1" s="1"/>
  <c r="U1164" i="1" s="1"/>
  <c r="U1165" i="1" s="1"/>
  <c r="U1166" i="1" s="1"/>
  <c r="U1167" i="1" s="1"/>
  <c r="U1168" i="1" s="1"/>
  <c r="U1169" i="1" s="1"/>
  <c r="U1170" i="1" s="1"/>
  <c r="U1171" i="1" s="1"/>
  <c r="U1172" i="1" s="1"/>
  <c r="U1173" i="1" s="1"/>
  <c r="U1174" i="1" s="1"/>
  <c r="U1175" i="1" s="1"/>
  <c r="U1176" i="1" s="1"/>
  <c r="U1177" i="1" s="1"/>
  <c r="U1178" i="1" s="1"/>
  <c r="U1179" i="1" s="1"/>
  <c r="U1180" i="1" s="1"/>
  <c r="U1181" i="1" s="1"/>
  <c r="U1182" i="1" s="1"/>
  <c r="U1183" i="1" s="1"/>
  <c r="U1184" i="1" s="1"/>
  <c r="U1185" i="1" s="1"/>
  <c r="U1186" i="1" s="1"/>
  <c r="U1187" i="1" s="1"/>
  <c r="U1188" i="1" s="1"/>
  <c r="U1189" i="1" s="1"/>
  <c r="U1190" i="1" s="1"/>
  <c r="U1191" i="1" s="1"/>
  <c r="U1192" i="1" s="1"/>
  <c r="U1193" i="1" s="1"/>
  <c r="U1194" i="1" s="1"/>
  <c r="U1195" i="1" s="1"/>
  <c r="U1196" i="1" s="1"/>
  <c r="U1197" i="1" s="1"/>
  <c r="U1198" i="1" s="1"/>
  <c r="U1199" i="1" s="1"/>
  <c r="U1200" i="1" s="1"/>
  <c r="U1201" i="1" s="1"/>
  <c r="U1202" i="1" s="1"/>
  <c r="U1203" i="1" s="1"/>
  <c r="U1204" i="1" s="1"/>
  <c r="U1205" i="1" s="1"/>
  <c r="U1206" i="1" s="1"/>
  <c r="U1207" i="1" s="1"/>
  <c r="U1208" i="1" s="1"/>
  <c r="U1209" i="1" s="1"/>
  <c r="U1210" i="1" s="1"/>
  <c r="U1211" i="1" s="1"/>
  <c r="U1212" i="1" s="1"/>
  <c r="U1213" i="1" s="1"/>
  <c r="U1214" i="1" s="1"/>
  <c r="U1215" i="1" s="1"/>
  <c r="U1216" i="1" s="1"/>
  <c r="U1217" i="1" s="1"/>
  <c r="U1218" i="1" s="1"/>
  <c r="U1219" i="1" s="1"/>
  <c r="U1220" i="1" s="1"/>
  <c r="U1221" i="1" s="1"/>
  <c r="U1222" i="1" s="1"/>
  <c r="U1223" i="1" s="1"/>
  <c r="U1224" i="1" s="1"/>
  <c r="U1225" i="1" s="1"/>
  <c r="U1226" i="1" s="1"/>
  <c r="U1227" i="1" s="1"/>
  <c r="U1228" i="1" s="1"/>
  <c r="U1229" i="1" s="1"/>
  <c r="U1230" i="1" s="1"/>
  <c r="U1231" i="1" s="1"/>
  <c r="U1232" i="1" s="1"/>
  <c r="U1233" i="1" s="1"/>
  <c r="U1234" i="1" s="1"/>
  <c r="U1235" i="1" s="1"/>
  <c r="U1236" i="1" s="1"/>
  <c r="U1237" i="1" s="1"/>
  <c r="U1238" i="1" s="1"/>
  <c r="U1239" i="1" s="1"/>
  <c r="U1240" i="1" s="1"/>
  <c r="U1241" i="1" s="1"/>
  <c r="U1242" i="1" s="1"/>
  <c r="U1243" i="1" s="1"/>
  <c r="U1244" i="1" s="1"/>
  <c r="U1245" i="1" s="1"/>
  <c r="U1246" i="1" s="1"/>
  <c r="U1247" i="1" s="1"/>
  <c r="U1248" i="1" s="1"/>
  <c r="U1249" i="1" s="1"/>
  <c r="U1250" i="1" s="1"/>
  <c r="U1251" i="1" s="1"/>
  <c r="U1252" i="1" s="1"/>
  <c r="U1253" i="1" s="1"/>
  <c r="U1254" i="1" s="1"/>
  <c r="U1255" i="1" s="1"/>
  <c r="U1256" i="1" s="1"/>
  <c r="U1257" i="1" s="1"/>
  <c r="U1258" i="1" s="1"/>
  <c r="U1259" i="1" s="1"/>
  <c r="U1260" i="1" s="1"/>
  <c r="U1261" i="1" s="1"/>
  <c r="U1262" i="1" s="1"/>
  <c r="U1263" i="1" s="1"/>
  <c r="U1264" i="1" s="1"/>
  <c r="U1265" i="1" s="1"/>
  <c r="U1266" i="1" s="1"/>
  <c r="U1267" i="1" s="1"/>
  <c r="U1268" i="1" s="1"/>
  <c r="U1269" i="1" s="1"/>
  <c r="U1270" i="1" s="1"/>
  <c r="U1271" i="1" s="1"/>
  <c r="U1272" i="1" s="1"/>
  <c r="U1273" i="1" s="1"/>
  <c r="U1274" i="1" s="1"/>
  <c r="U1275" i="1" s="1"/>
  <c r="U1276" i="1" s="1"/>
  <c r="U1277" i="1" s="1"/>
  <c r="U1278" i="1" s="1"/>
  <c r="U1279" i="1" s="1"/>
  <c r="U1280" i="1" s="1"/>
  <c r="U1281" i="1" s="1"/>
  <c r="U1282" i="1" s="1"/>
  <c r="U1283" i="1" s="1"/>
  <c r="U1284" i="1" s="1"/>
  <c r="U1285" i="1" s="1"/>
  <c r="U1286" i="1" s="1"/>
  <c r="U1287" i="1" s="1"/>
  <c r="U1288" i="1" s="1"/>
  <c r="U1289" i="1" s="1"/>
  <c r="U1290" i="1" s="1"/>
  <c r="U1291" i="1" s="1"/>
  <c r="U1292" i="1" s="1"/>
  <c r="U1293" i="1" s="1"/>
  <c r="U1294" i="1" s="1"/>
  <c r="U1295" i="1" s="1"/>
  <c r="U1296" i="1" s="1"/>
  <c r="U1297" i="1" s="1"/>
  <c r="U1298" i="1" s="1"/>
  <c r="U1299" i="1" s="1"/>
  <c r="U1300" i="1" s="1"/>
  <c r="U1301" i="1" s="1"/>
  <c r="U1302" i="1" s="1"/>
  <c r="U1303" i="1" s="1"/>
  <c r="U1304" i="1" s="1"/>
  <c r="U1305" i="1" s="1"/>
  <c r="U1306" i="1" s="1"/>
  <c r="U1307" i="1" s="1"/>
  <c r="U1308" i="1" s="1"/>
  <c r="U1309" i="1" s="1"/>
  <c r="U1310" i="1" s="1"/>
  <c r="U1311" i="1" s="1"/>
  <c r="U1312" i="1" s="1"/>
  <c r="U1313" i="1" s="1"/>
  <c r="U1314" i="1" s="1"/>
  <c r="U1315" i="1" s="1"/>
  <c r="U1316" i="1" s="1"/>
  <c r="U1317" i="1" s="1"/>
  <c r="U1318" i="1" s="1"/>
  <c r="U1319" i="1" s="1"/>
  <c r="U1320" i="1" s="1"/>
  <c r="U1321" i="1" s="1"/>
  <c r="U1322" i="1" s="1"/>
  <c r="U1323" i="1" s="1"/>
  <c r="U1324" i="1" s="1"/>
  <c r="U1325" i="1" s="1"/>
  <c r="U1326" i="1" s="1"/>
  <c r="U1327" i="1" s="1"/>
  <c r="U1328" i="1" s="1"/>
  <c r="U1329" i="1" s="1"/>
  <c r="U1330" i="1" s="1"/>
  <c r="U1331" i="1" s="1"/>
  <c r="U1332" i="1" s="1"/>
  <c r="U1333" i="1" s="1"/>
  <c r="U1334" i="1" s="1"/>
  <c r="U1335" i="1" s="1"/>
  <c r="U1336" i="1" s="1"/>
  <c r="U1337" i="1" s="1"/>
  <c r="U1338" i="1" s="1"/>
  <c r="U1339" i="1" s="1"/>
  <c r="U1340" i="1" s="1"/>
  <c r="U1341" i="1" s="1"/>
  <c r="U1342" i="1" s="1"/>
  <c r="U1343" i="1" s="1"/>
  <c r="U1344" i="1" s="1"/>
  <c r="U1345" i="1" s="1"/>
  <c r="U1346" i="1" s="1"/>
  <c r="U1347" i="1" s="1"/>
  <c r="U1348" i="1" s="1"/>
  <c r="U1349" i="1" s="1"/>
  <c r="U1350" i="1" s="1"/>
  <c r="U1351" i="1" s="1"/>
  <c r="U1352" i="1" s="1"/>
  <c r="U1353" i="1" s="1"/>
  <c r="U1354" i="1" s="1"/>
  <c r="U1355" i="1" s="1"/>
  <c r="U1356" i="1" s="1"/>
  <c r="U1357" i="1" s="1"/>
  <c r="U1358" i="1" s="1"/>
  <c r="U1359" i="1" s="1"/>
  <c r="U1360" i="1" s="1"/>
  <c r="U1361" i="1" s="1"/>
  <c r="U1362" i="1" s="1"/>
  <c r="U1363" i="1" s="1"/>
  <c r="U1364" i="1" s="1"/>
  <c r="U1365" i="1" s="1"/>
  <c r="U1366" i="1" s="1"/>
  <c r="U1367" i="1" s="1"/>
  <c r="U1368" i="1" s="1"/>
  <c r="U1369" i="1" s="1"/>
  <c r="U1370" i="1" s="1"/>
  <c r="U1371" i="1" s="1"/>
  <c r="U1372" i="1" s="1"/>
  <c r="U1373" i="1" s="1"/>
  <c r="U1374" i="1" s="1"/>
  <c r="U1375" i="1" s="1"/>
  <c r="U1376" i="1" s="1"/>
  <c r="U1377" i="1" s="1"/>
  <c r="U1378" i="1" s="1"/>
  <c r="U1379" i="1" s="1"/>
  <c r="U1380" i="1" s="1"/>
  <c r="U1381" i="1" s="1"/>
  <c r="U1382" i="1" s="1"/>
  <c r="U1383" i="1" s="1"/>
  <c r="U1384" i="1" s="1"/>
  <c r="U1385" i="1" s="1"/>
  <c r="U1386" i="1" s="1"/>
  <c r="U1387" i="1" s="1"/>
  <c r="U1388" i="1" s="1"/>
  <c r="U1389" i="1" s="1"/>
  <c r="U1390" i="1" s="1"/>
  <c r="U1391" i="1" s="1"/>
  <c r="U1392" i="1" s="1"/>
  <c r="U1393" i="1" s="1"/>
  <c r="U1394" i="1" s="1"/>
  <c r="U1395" i="1" s="1"/>
  <c r="U1396" i="1" s="1"/>
  <c r="U1397" i="1" s="1"/>
  <c r="U1398" i="1" s="1"/>
  <c r="U1399" i="1" s="1"/>
  <c r="U1400" i="1" s="1"/>
  <c r="U1401" i="1" s="1"/>
  <c r="U1402" i="1" s="1"/>
  <c r="U1403" i="1" s="1"/>
  <c r="U1404" i="1" s="1"/>
  <c r="U1405" i="1" s="1"/>
  <c r="U1406" i="1" s="1"/>
  <c r="U1407" i="1" s="1"/>
  <c r="U1408" i="1" s="1"/>
  <c r="U1409" i="1" s="1"/>
  <c r="U1410" i="1" s="1"/>
  <c r="U1411" i="1" s="1"/>
  <c r="U1412" i="1" s="1"/>
  <c r="U1413" i="1" s="1"/>
  <c r="U1414" i="1" s="1"/>
  <c r="U1415" i="1" s="1"/>
  <c r="U1416" i="1" s="1"/>
  <c r="U1417" i="1" s="1"/>
  <c r="U1418" i="1" s="1"/>
  <c r="U1419" i="1" s="1"/>
  <c r="U1420" i="1" s="1"/>
  <c r="U1421" i="1" s="1"/>
  <c r="U1422" i="1" s="1"/>
  <c r="U1423" i="1" s="1"/>
  <c r="U1424" i="1" s="1"/>
  <c r="U1425" i="1" s="1"/>
  <c r="U1426" i="1" s="1"/>
  <c r="U1427" i="1" s="1"/>
  <c r="U1428" i="1" s="1"/>
  <c r="U1429" i="1" s="1"/>
  <c r="U1430" i="1" s="1"/>
  <c r="U1431" i="1" s="1"/>
  <c r="U1432" i="1" s="1"/>
  <c r="U1433" i="1" s="1"/>
  <c r="U1434" i="1" s="1"/>
  <c r="U1435" i="1" s="1"/>
  <c r="U1436" i="1" s="1"/>
  <c r="U1437" i="1" s="1"/>
  <c r="U1438" i="1" s="1"/>
  <c r="U1439" i="1" s="1"/>
  <c r="U1440" i="1" s="1"/>
  <c r="U1441" i="1" s="1"/>
  <c r="U1442" i="1" s="1"/>
  <c r="U1443" i="1" s="1"/>
  <c r="U1444" i="1" s="1"/>
  <c r="U1445" i="1" s="1"/>
  <c r="U1446" i="1" s="1"/>
  <c r="U1447" i="1" s="1"/>
  <c r="U1448" i="1" s="1"/>
  <c r="U1449" i="1" s="1"/>
  <c r="U1450" i="1" s="1"/>
  <c r="U1451" i="1" s="1"/>
  <c r="U1452" i="1" s="1"/>
  <c r="U1453" i="1" s="1"/>
  <c r="U1454" i="1" s="1"/>
  <c r="U1455" i="1" s="1"/>
  <c r="U1456" i="1" s="1"/>
  <c r="U1457" i="1" s="1"/>
  <c r="U1458" i="1" s="1"/>
  <c r="U1459" i="1" s="1"/>
  <c r="U1460" i="1" s="1"/>
  <c r="U1461" i="1" s="1"/>
  <c r="U1462" i="1" s="1"/>
  <c r="U1463" i="1" s="1"/>
  <c r="U1464" i="1" s="1"/>
  <c r="U1465" i="1" s="1"/>
  <c r="U1466" i="1" s="1"/>
  <c r="U1467" i="1" s="1"/>
  <c r="U1468" i="1" s="1"/>
  <c r="U1469" i="1" s="1"/>
  <c r="U1470" i="1" s="1"/>
  <c r="U1471" i="1" s="1"/>
  <c r="U1472" i="1" s="1"/>
  <c r="U1473" i="1" s="1"/>
  <c r="U1474" i="1" s="1"/>
  <c r="U1475" i="1" s="1"/>
  <c r="U1476" i="1" s="1"/>
  <c r="U1477" i="1" s="1"/>
  <c r="U1478" i="1" s="1"/>
  <c r="U1479" i="1" s="1"/>
  <c r="U1480" i="1" s="1"/>
  <c r="U1481" i="1" s="1"/>
  <c r="U1482" i="1" s="1"/>
  <c r="U1483" i="1" s="1"/>
  <c r="U1484" i="1" s="1"/>
  <c r="U1485" i="1" s="1"/>
  <c r="U1486" i="1" s="1"/>
  <c r="U1487" i="1" s="1"/>
  <c r="U1488" i="1" s="1"/>
  <c r="U1489" i="1" s="1"/>
  <c r="U1490" i="1" s="1"/>
  <c r="U1491" i="1" s="1"/>
  <c r="U1492" i="1" s="1"/>
  <c r="U1493" i="1" s="1"/>
  <c r="U1494" i="1" s="1"/>
  <c r="U1495" i="1" s="1"/>
  <c r="U1496" i="1" s="1"/>
  <c r="U1497" i="1" s="1"/>
  <c r="U1498" i="1" s="1"/>
  <c r="U1499" i="1" s="1"/>
  <c r="U1500" i="1" s="1"/>
  <c r="U1501" i="1" s="1"/>
  <c r="U1502" i="1" s="1"/>
  <c r="U1503" i="1" s="1"/>
  <c r="U1504" i="1" s="1"/>
  <c r="U1505" i="1" s="1"/>
  <c r="U1506" i="1" s="1"/>
  <c r="U1507" i="1" s="1"/>
  <c r="U1508" i="1" s="1"/>
  <c r="U1509" i="1" s="1"/>
  <c r="U1510" i="1" s="1"/>
  <c r="U1511" i="1" s="1"/>
  <c r="U1512" i="1" s="1"/>
  <c r="U1513" i="1" s="1"/>
  <c r="U1514" i="1" s="1"/>
  <c r="U1515" i="1" s="1"/>
  <c r="U1516" i="1" s="1"/>
  <c r="U1517" i="1" s="1"/>
  <c r="U1518" i="1" s="1"/>
  <c r="U1519" i="1" s="1"/>
  <c r="U1520" i="1" s="1"/>
  <c r="U1521" i="1" s="1"/>
  <c r="U1522" i="1" s="1"/>
  <c r="U1523" i="1" s="1"/>
  <c r="U1524" i="1" s="1"/>
  <c r="U1525" i="1" s="1"/>
  <c r="U1526" i="1" s="1"/>
  <c r="U1527" i="1" s="1"/>
  <c r="U1528" i="1" s="1"/>
  <c r="U1529" i="1" s="1"/>
  <c r="U1530" i="1" s="1"/>
  <c r="U1531" i="1" s="1"/>
  <c r="U1532" i="1" s="1"/>
  <c r="U1533" i="1" s="1"/>
  <c r="U1534" i="1" s="1"/>
  <c r="U1535" i="1" s="1"/>
  <c r="U1536" i="1" s="1"/>
  <c r="U1537" i="1" s="1"/>
  <c r="U1538" i="1" s="1"/>
  <c r="U1539" i="1" s="1"/>
  <c r="U1540" i="1" s="1"/>
  <c r="U1541" i="1" s="1"/>
  <c r="U1542" i="1" s="1"/>
  <c r="U1543" i="1" s="1"/>
  <c r="U1544" i="1" s="1"/>
  <c r="U1545" i="1" s="1"/>
  <c r="U1546" i="1" s="1"/>
  <c r="U1547" i="1" s="1"/>
  <c r="U1548" i="1" s="1"/>
  <c r="U1549" i="1" s="1"/>
  <c r="U1550" i="1" s="1"/>
  <c r="U1551" i="1" s="1"/>
  <c r="U1552" i="1" s="1"/>
  <c r="U1553" i="1" s="1"/>
  <c r="U1554" i="1" s="1"/>
  <c r="U1555" i="1" s="1"/>
  <c r="U1556" i="1" s="1"/>
  <c r="U1557" i="1" s="1"/>
  <c r="U1558" i="1" s="1"/>
  <c r="U1559" i="1" s="1"/>
  <c r="U1560" i="1" s="1"/>
  <c r="U1561" i="1" s="1"/>
  <c r="U1562" i="1" s="1"/>
  <c r="U1563" i="1" s="1"/>
  <c r="U1564" i="1" s="1"/>
  <c r="U1565" i="1" s="1"/>
  <c r="U1566" i="1" s="1"/>
  <c r="U1567" i="1" s="1"/>
  <c r="U1568" i="1" s="1"/>
  <c r="U1569" i="1" s="1"/>
  <c r="U1570" i="1" s="1"/>
  <c r="U1571" i="1" s="1"/>
  <c r="U1572" i="1" s="1"/>
  <c r="U1573" i="1" s="1"/>
  <c r="U1574" i="1" s="1"/>
  <c r="U1575" i="1" s="1"/>
  <c r="U1576" i="1" s="1"/>
  <c r="U1577" i="1" s="1"/>
  <c r="U1578" i="1" s="1"/>
  <c r="U1579" i="1" s="1"/>
  <c r="U1580" i="1" s="1"/>
  <c r="U1581" i="1" s="1"/>
  <c r="U1582" i="1" s="1"/>
  <c r="U1583" i="1" s="1"/>
  <c r="U1584" i="1" s="1"/>
  <c r="U1585" i="1" s="1"/>
  <c r="U1586" i="1" s="1"/>
  <c r="U1587" i="1" s="1"/>
  <c r="U1588" i="1" s="1"/>
  <c r="U1589" i="1" s="1"/>
  <c r="U1590" i="1" s="1"/>
  <c r="U1591" i="1" s="1"/>
  <c r="U1592" i="1" s="1"/>
  <c r="U1593" i="1" s="1"/>
  <c r="U1594" i="1" s="1"/>
  <c r="U1595" i="1" s="1"/>
  <c r="U1596" i="1" s="1"/>
  <c r="U1597" i="1" s="1"/>
  <c r="U1598" i="1" s="1"/>
  <c r="U1599" i="1" s="1"/>
  <c r="U1600" i="1" s="1"/>
  <c r="U1601" i="1" s="1"/>
  <c r="U1602" i="1" s="1"/>
  <c r="U1603" i="1" s="1"/>
  <c r="U1604" i="1" s="1"/>
  <c r="U1605" i="1" s="1"/>
  <c r="U1606" i="1" s="1"/>
  <c r="U1607" i="1" s="1"/>
  <c r="U1608" i="1" s="1"/>
  <c r="U1609" i="1" s="1"/>
  <c r="U1610" i="1" s="1"/>
  <c r="U1611" i="1" s="1"/>
  <c r="U1612" i="1" s="1"/>
  <c r="U1613" i="1" s="1"/>
  <c r="U1614" i="1" s="1"/>
  <c r="U1615" i="1" s="1"/>
  <c r="U1616" i="1" s="1"/>
  <c r="U1617" i="1" s="1"/>
  <c r="U1618" i="1" s="1"/>
  <c r="U1619" i="1" s="1"/>
  <c r="U1620" i="1" s="1"/>
  <c r="U1621" i="1" s="1"/>
  <c r="U1622" i="1" s="1"/>
  <c r="U1623" i="1" s="1"/>
  <c r="U1624" i="1" s="1"/>
  <c r="U1625" i="1" s="1"/>
  <c r="U1626" i="1" s="1"/>
  <c r="U1627" i="1" s="1"/>
  <c r="U1628" i="1" s="1"/>
  <c r="U1629" i="1" s="1"/>
  <c r="U1630" i="1" s="1"/>
  <c r="U1631" i="1" s="1"/>
  <c r="U1632" i="1" s="1"/>
  <c r="U1633" i="1" s="1"/>
  <c r="U1634" i="1" s="1"/>
  <c r="U1635" i="1" s="1"/>
  <c r="U1636" i="1" s="1"/>
  <c r="U1637" i="1" s="1"/>
  <c r="U1638" i="1" s="1"/>
  <c r="U1639" i="1" s="1"/>
  <c r="U1640" i="1" s="1"/>
  <c r="U1641" i="1" s="1"/>
  <c r="U1642" i="1" s="1"/>
  <c r="U1643" i="1" s="1"/>
  <c r="U1644" i="1" s="1"/>
  <c r="U1645" i="1" s="1"/>
  <c r="U1646" i="1" s="1"/>
  <c r="U1647" i="1" s="1"/>
  <c r="U1648" i="1" s="1"/>
  <c r="U1649" i="1" s="1"/>
  <c r="U1650" i="1" s="1"/>
  <c r="U1651" i="1" s="1"/>
  <c r="U1652" i="1" s="1"/>
  <c r="U1653" i="1" s="1"/>
  <c r="U1654" i="1" s="1"/>
  <c r="U1655" i="1" s="1"/>
  <c r="U1656" i="1" s="1"/>
  <c r="U1657" i="1" s="1"/>
  <c r="U1658" i="1" s="1"/>
  <c r="U1659" i="1" s="1"/>
  <c r="U1660" i="1" s="1"/>
  <c r="U1661" i="1" s="1"/>
  <c r="U1662" i="1" s="1"/>
  <c r="U1663" i="1" s="1"/>
  <c r="U1664" i="1" s="1"/>
  <c r="U1665" i="1" s="1"/>
  <c r="U1666" i="1" s="1"/>
  <c r="U1667" i="1" s="1"/>
  <c r="U1668" i="1" s="1"/>
  <c r="U1669" i="1" s="1"/>
  <c r="U1670" i="1" s="1"/>
  <c r="U1671" i="1" s="1"/>
  <c r="U1672" i="1" s="1"/>
  <c r="U1673" i="1" s="1"/>
  <c r="U1674" i="1" s="1"/>
  <c r="U1675" i="1" s="1"/>
  <c r="U1676" i="1" s="1"/>
  <c r="U1677" i="1" s="1"/>
  <c r="U1678" i="1" s="1"/>
  <c r="U1679" i="1" s="1"/>
  <c r="U1680" i="1" s="1"/>
  <c r="U1681" i="1" s="1"/>
  <c r="U1682" i="1" s="1"/>
  <c r="U1683" i="1" s="1"/>
  <c r="U1684" i="1" s="1"/>
  <c r="U1685" i="1" s="1"/>
  <c r="U1686" i="1" s="1"/>
  <c r="U1687" i="1" s="1"/>
  <c r="U1688" i="1" s="1"/>
  <c r="U1689" i="1" s="1"/>
  <c r="U1690" i="1" s="1"/>
  <c r="U1691" i="1" s="1"/>
  <c r="U1692" i="1" s="1"/>
  <c r="U1693" i="1" s="1"/>
  <c r="U1694" i="1" s="1"/>
  <c r="U1695" i="1" s="1"/>
  <c r="U1696" i="1" s="1"/>
  <c r="U1697" i="1" s="1"/>
  <c r="U1698" i="1" s="1"/>
  <c r="U1699" i="1" s="1"/>
  <c r="U1700" i="1" s="1"/>
  <c r="U1701" i="1" s="1"/>
  <c r="U1702" i="1" s="1"/>
  <c r="U1703" i="1" s="1"/>
  <c r="U1704" i="1" s="1"/>
  <c r="U1705" i="1" s="1"/>
  <c r="U1706" i="1" s="1"/>
  <c r="U1707" i="1" s="1"/>
  <c r="U1708" i="1" s="1"/>
  <c r="U1709" i="1" s="1"/>
  <c r="U1710" i="1" s="1"/>
  <c r="U1711" i="1" s="1"/>
  <c r="U1712" i="1" s="1"/>
  <c r="U1713" i="1" s="1"/>
  <c r="U1714" i="1" s="1"/>
  <c r="U1715" i="1" s="1"/>
  <c r="U1716" i="1" s="1"/>
  <c r="U1717" i="1" s="1"/>
  <c r="U1718" i="1" s="1"/>
  <c r="U1719" i="1" s="1"/>
  <c r="U1720" i="1" s="1"/>
  <c r="U1721" i="1" s="1"/>
  <c r="U1722" i="1" s="1"/>
  <c r="U1723" i="1" s="1"/>
  <c r="U1724" i="1" s="1"/>
  <c r="U1725" i="1" s="1"/>
  <c r="U1726" i="1" s="1"/>
  <c r="U1727" i="1" s="1"/>
  <c r="U1728" i="1" s="1"/>
  <c r="U1729" i="1" s="1"/>
  <c r="U1730" i="1" s="1"/>
  <c r="U1731" i="1" s="1"/>
  <c r="U1732" i="1" s="1"/>
  <c r="U1733" i="1" s="1"/>
  <c r="U1734" i="1" s="1"/>
  <c r="U1735" i="1" s="1"/>
  <c r="U1736" i="1" s="1"/>
  <c r="U1737" i="1" s="1"/>
  <c r="U1738" i="1" s="1"/>
  <c r="U1739" i="1" s="1"/>
  <c r="U1740" i="1" s="1"/>
  <c r="U1741" i="1" s="1"/>
  <c r="U1742" i="1" s="1"/>
  <c r="U1743" i="1" s="1"/>
  <c r="U1744" i="1" s="1"/>
  <c r="U1745" i="1" s="1"/>
  <c r="U1746" i="1" s="1"/>
  <c r="U1747" i="1" s="1"/>
  <c r="U1748" i="1" s="1"/>
  <c r="U1749" i="1" s="1"/>
  <c r="U1750" i="1" s="1"/>
  <c r="U1751" i="1" s="1"/>
  <c r="U1752" i="1" s="1"/>
  <c r="U1753" i="1" s="1"/>
  <c r="U1754" i="1" s="1"/>
  <c r="U1755" i="1" s="1"/>
  <c r="U1756" i="1" s="1"/>
  <c r="U1757" i="1" s="1"/>
  <c r="U1758" i="1" s="1"/>
  <c r="U1759" i="1" s="1"/>
  <c r="U1760" i="1" s="1"/>
  <c r="U1761" i="1" s="1"/>
  <c r="U1762" i="1" s="1"/>
  <c r="U1763" i="1" s="1"/>
  <c r="U1764" i="1" s="1"/>
  <c r="U1765" i="1" s="1"/>
  <c r="U1766" i="1" s="1"/>
  <c r="U1767" i="1" s="1"/>
  <c r="U1768" i="1" s="1"/>
  <c r="U1769" i="1" s="1"/>
  <c r="U1770" i="1" s="1"/>
  <c r="U1771" i="1" s="1"/>
  <c r="U1772" i="1" s="1"/>
  <c r="U1773" i="1" s="1"/>
  <c r="U1774" i="1" s="1"/>
  <c r="U1775" i="1" s="1"/>
  <c r="U1776" i="1" s="1"/>
  <c r="U1777" i="1" s="1"/>
  <c r="U1778" i="1" s="1"/>
  <c r="U1779" i="1" s="1"/>
  <c r="U1780" i="1" s="1"/>
  <c r="U1781" i="1" s="1"/>
  <c r="U1782" i="1" s="1"/>
  <c r="U1783" i="1" s="1"/>
  <c r="U1784" i="1" s="1"/>
  <c r="U1785" i="1" s="1"/>
  <c r="U1786" i="1" s="1"/>
  <c r="U1787" i="1" s="1"/>
  <c r="U1788" i="1" s="1"/>
  <c r="U1789" i="1" s="1"/>
  <c r="U1790" i="1" s="1"/>
  <c r="U1791" i="1" s="1"/>
  <c r="U1792" i="1" s="1"/>
  <c r="U1793" i="1" s="1"/>
  <c r="U1794" i="1" s="1"/>
  <c r="U1795" i="1" s="1"/>
  <c r="U1796" i="1" s="1"/>
  <c r="U1797" i="1" s="1"/>
  <c r="U1798" i="1" s="1"/>
  <c r="U1799" i="1" s="1"/>
  <c r="U1800" i="1" s="1"/>
  <c r="U1801" i="1" s="1"/>
  <c r="U1802" i="1" s="1"/>
  <c r="U1803" i="1" s="1"/>
  <c r="U1804" i="1" s="1"/>
  <c r="U1805" i="1" s="1"/>
  <c r="U1806" i="1" s="1"/>
  <c r="U1807" i="1" s="1"/>
  <c r="U1808" i="1" s="1"/>
  <c r="U1809" i="1" s="1"/>
  <c r="U1810" i="1" s="1"/>
  <c r="U1811" i="1" s="1"/>
  <c r="U1812" i="1" s="1"/>
  <c r="U1813" i="1" s="1"/>
  <c r="U1814" i="1" s="1"/>
  <c r="U1815" i="1" s="1"/>
  <c r="U1816" i="1" s="1"/>
  <c r="U1817" i="1" s="1"/>
  <c r="U1818" i="1" s="1"/>
  <c r="U1819" i="1" s="1"/>
  <c r="U1820" i="1" s="1"/>
  <c r="U1821" i="1" s="1"/>
  <c r="U1822" i="1" s="1"/>
  <c r="U1823" i="1" s="1"/>
  <c r="U1824" i="1" s="1"/>
  <c r="U1825" i="1" s="1"/>
  <c r="U1826" i="1" s="1"/>
  <c r="U1827" i="1" s="1"/>
  <c r="U1828" i="1" s="1"/>
  <c r="U1829" i="1" s="1"/>
  <c r="U1830" i="1" s="1"/>
  <c r="U1831" i="1" s="1"/>
  <c r="U1832" i="1" s="1"/>
  <c r="U1833" i="1" s="1"/>
  <c r="U1834" i="1" s="1"/>
  <c r="U1835" i="1" s="1"/>
  <c r="U1836" i="1" s="1"/>
  <c r="U1837" i="1" s="1"/>
  <c r="U1838" i="1" s="1"/>
  <c r="U1839" i="1" s="1"/>
  <c r="U1840" i="1" s="1"/>
  <c r="U1841" i="1" s="1"/>
  <c r="U1842" i="1" s="1"/>
  <c r="U1843" i="1" s="1"/>
  <c r="U1844" i="1" s="1"/>
  <c r="U1845" i="1" s="1"/>
  <c r="U1846" i="1" s="1"/>
  <c r="U1847" i="1" s="1"/>
  <c r="U1848" i="1" s="1"/>
  <c r="U1849" i="1" s="1"/>
  <c r="U1850" i="1" s="1"/>
  <c r="U1851" i="1" s="1"/>
  <c r="U1852" i="1" s="1"/>
  <c r="U1853" i="1" s="1"/>
  <c r="U1854" i="1" s="1"/>
  <c r="U1855" i="1" s="1"/>
  <c r="U1856" i="1" s="1"/>
  <c r="U1857" i="1" s="1"/>
  <c r="U1858" i="1" s="1"/>
  <c r="U1859" i="1" s="1"/>
  <c r="U1860" i="1" s="1"/>
  <c r="U1861" i="1" s="1"/>
  <c r="U1862" i="1" s="1"/>
  <c r="U1863" i="1" s="1"/>
  <c r="U1864" i="1" s="1"/>
  <c r="U1865" i="1" s="1"/>
  <c r="U1866" i="1" s="1"/>
  <c r="U1867" i="1" s="1"/>
  <c r="U1868" i="1" s="1"/>
  <c r="U1869" i="1" s="1"/>
  <c r="U1870" i="1" s="1"/>
  <c r="U1871" i="1" s="1"/>
  <c r="U1872" i="1" s="1"/>
  <c r="U1873" i="1" s="1"/>
  <c r="U1874" i="1" s="1"/>
  <c r="U1875" i="1" s="1"/>
  <c r="U1876" i="1" s="1"/>
  <c r="U1877" i="1" s="1"/>
  <c r="U1878" i="1" s="1"/>
  <c r="U1879" i="1" s="1"/>
  <c r="U1880" i="1" s="1"/>
  <c r="U1881" i="1" s="1"/>
  <c r="U1882" i="1" s="1"/>
  <c r="U1883" i="1" s="1"/>
  <c r="U1884" i="1" s="1"/>
  <c r="U1885" i="1" s="1"/>
  <c r="U1886" i="1" s="1"/>
  <c r="U1887" i="1" s="1"/>
  <c r="U1888" i="1" s="1"/>
  <c r="U1889" i="1" s="1"/>
  <c r="U1890" i="1" s="1"/>
  <c r="U1891" i="1" s="1"/>
  <c r="U1892" i="1" s="1"/>
  <c r="U1893" i="1" s="1"/>
  <c r="U1894" i="1" s="1"/>
  <c r="U1895" i="1" s="1"/>
  <c r="U1896" i="1" s="1"/>
  <c r="U1897" i="1" s="1"/>
  <c r="U1898" i="1" s="1"/>
  <c r="U1899" i="1" s="1"/>
  <c r="U1900" i="1" s="1"/>
  <c r="U1901" i="1" s="1"/>
  <c r="U1902" i="1" s="1"/>
  <c r="U1903" i="1" s="1"/>
  <c r="U1904" i="1" s="1"/>
  <c r="U1905" i="1" s="1"/>
  <c r="U1906" i="1" s="1"/>
  <c r="U1907" i="1" s="1"/>
  <c r="U1908" i="1" s="1"/>
  <c r="U1909" i="1" s="1"/>
  <c r="U1910" i="1" s="1"/>
  <c r="U1911" i="1" s="1"/>
  <c r="U1912" i="1" s="1"/>
  <c r="U1913" i="1" s="1"/>
  <c r="U1914" i="1" s="1"/>
  <c r="U1915" i="1" s="1"/>
  <c r="U1916" i="1" s="1"/>
  <c r="U1917" i="1" s="1"/>
  <c r="U1918" i="1" s="1"/>
  <c r="U1919" i="1" s="1"/>
  <c r="U1920" i="1" s="1"/>
  <c r="U1921" i="1" s="1"/>
  <c r="U1922" i="1" s="1"/>
  <c r="U1923" i="1" s="1"/>
  <c r="U1924" i="1" s="1"/>
  <c r="U1925" i="1" s="1"/>
  <c r="U1926" i="1" s="1"/>
  <c r="U1927" i="1" s="1"/>
  <c r="U1928" i="1" s="1"/>
  <c r="U1929" i="1" s="1"/>
  <c r="U1930" i="1" s="1"/>
  <c r="U1931" i="1" s="1"/>
  <c r="U1932" i="1" s="1"/>
  <c r="U1933" i="1" s="1"/>
  <c r="U1934" i="1" s="1"/>
  <c r="U1935" i="1" s="1"/>
  <c r="U1936" i="1" s="1"/>
  <c r="U1937" i="1" s="1"/>
  <c r="U1938" i="1" s="1"/>
  <c r="U1939" i="1" s="1"/>
  <c r="U1940" i="1" s="1"/>
  <c r="U1941" i="1" s="1"/>
  <c r="U1942" i="1" s="1"/>
  <c r="U1943" i="1" s="1"/>
  <c r="U1944" i="1" s="1"/>
  <c r="U1945" i="1" s="1"/>
  <c r="U1946" i="1" s="1"/>
  <c r="U1947" i="1" s="1"/>
  <c r="U1948" i="1" s="1"/>
  <c r="U1949" i="1" s="1"/>
  <c r="U1950" i="1" s="1"/>
  <c r="U1951" i="1" s="1"/>
  <c r="U1952" i="1" s="1"/>
  <c r="U1953" i="1" s="1"/>
  <c r="U1954" i="1" s="1"/>
  <c r="U1955" i="1" s="1"/>
  <c r="U1956" i="1" s="1"/>
  <c r="U1957" i="1" s="1"/>
  <c r="U1958" i="1" s="1"/>
  <c r="U1959" i="1" s="1"/>
  <c r="U1960" i="1" s="1"/>
  <c r="U1961" i="1" s="1"/>
  <c r="U1962" i="1" s="1"/>
  <c r="U1963" i="1" s="1"/>
  <c r="U1964" i="1" s="1"/>
  <c r="U1965" i="1" s="1"/>
  <c r="U1966" i="1" s="1"/>
  <c r="U1967" i="1" s="1"/>
  <c r="U1968" i="1" s="1"/>
  <c r="U1969" i="1" s="1"/>
  <c r="U1970" i="1" s="1"/>
  <c r="U1971" i="1" s="1"/>
  <c r="U1972" i="1" s="1"/>
  <c r="U1973" i="1" s="1"/>
  <c r="U1974" i="1" s="1"/>
  <c r="U1975" i="1" s="1"/>
  <c r="U1976" i="1" s="1"/>
  <c r="U1977" i="1" s="1"/>
  <c r="U1978" i="1" s="1"/>
  <c r="U1979" i="1" s="1"/>
  <c r="U1980" i="1" s="1"/>
  <c r="U1981" i="1" s="1"/>
  <c r="U1982" i="1" s="1"/>
  <c r="U1983" i="1" s="1"/>
  <c r="U1984" i="1" s="1"/>
  <c r="U1985" i="1" s="1"/>
  <c r="U1986" i="1" s="1"/>
  <c r="U1987" i="1" s="1"/>
  <c r="U1988" i="1" s="1"/>
  <c r="U1989" i="1" s="1"/>
  <c r="U1990" i="1" s="1"/>
  <c r="U1991" i="1" s="1"/>
  <c r="U1992" i="1" s="1"/>
  <c r="U1993" i="1" s="1"/>
  <c r="U1994" i="1" s="1"/>
  <c r="U1995" i="1" s="1"/>
  <c r="U1996" i="1" s="1"/>
  <c r="U1997" i="1" s="1"/>
  <c r="U1998" i="1" s="1"/>
  <c r="U1999" i="1" s="1"/>
  <c r="U2000" i="1" s="1"/>
  <c r="U2001" i="1" s="1"/>
  <c r="U2002" i="1" s="1"/>
  <c r="U2003" i="1" s="1"/>
  <c r="U2004" i="1" s="1"/>
  <c r="U2005" i="1" s="1"/>
  <c r="U2006" i="1" s="1"/>
  <c r="U2007" i="1" s="1"/>
  <c r="U2008" i="1" s="1"/>
  <c r="U2009" i="1" s="1"/>
  <c r="U2010" i="1" s="1"/>
  <c r="U2011" i="1" s="1"/>
  <c r="U2012" i="1" s="1"/>
  <c r="U2013" i="1" s="1"/>
  <c r="U2014" i="1" s="1"/>
  <c r="U2015" i="1" s="1"/>
  <c r="U2016" i="1" s="1"/>
  <c r="U2017" i="1" s="1"/>
  <c r="U2018" i="1" s="1"/>
  <c r="U2019" i="1" s="1"/>
  <c r="U2020" i="1" s="1"/>
  <c r="U2021" i="1" s="1"/>
  <c r="U2022" i="1" s="1"/>
  <c r="U2023" i="1" s="1"/>
  <c r="U2024" i="1" s="1"/>
  <c r="U2025" i="1" s="1"/>
  <c r="U2026" i="1" s="1"/>
  <c r="U2027" i="1" s="1"/>
  <c r="U2028" i="1" s="1"/>
  <c r="U2029" i="1" s="1"/>
  <c r="U2030" i="1" s="1"/>
  <c r="U2031" i="1" s="1"/>
  <c r="U2032" i="1" s="1"/>
  <c r="U2033" i="1" s="1"/>
  <c r="U2034" i="1" s="1"/>
  <c r="U2035" i="1" s="1"/>
  <c r="U2036" i="1" s="1"/>
  <c r="U2037" i="1" s="1"/>
  <c r="U2038" i="1" s="1"/>
  <c r="U2039" i="1" s="1"/>
  <c r="U2040" i="1" s="1"/>
  <c r="U2041" i="1" s="1"/>
  <c r="U2042" i="1" s="1"/>
  <c r="U2043" i="1" s="1"/>
  <c r="U2044" i="1" s="1"/>
  <c r="U2045" i="1" s="1"/>
  <c r="U2046" i="1" s="1"/>
  <c r="U2047" i="1" s="1"/>
  <c r="U2048" i="1" s="1"/>
  <c r="U2049" i="1" s="1"/>
  <c r="U2050" i="1" s="1"/>
  <c r="U2051" i="1" s="1"/>
  <c r="U2052" i="1" s="1"/>
  <c r="U2053" i="1" s="1"/>
  <c r="U2054" i="1" s="1"/>
  <c r="U2055" i="1" s="1"/>
  <c r="U2056" i="1" s="1"/>
  <c r="U2057" i="1" s="1"/>
  <c r="U2058" i="1" s="1"/>
  <c r="U2059" i="1" s="1"/>
  <c r="U2060" i="1" s="1"/>
  <c r="U2061" i="1" s="1"/>
  <c r="U2062" i="1" s="1"/>
  <c r="U2063" i="1" s="1"/>
  <c r="U2064" i="1" s="1"/>
  <c r="U2065" i="1" s="1"/>
  <c r="U2066" i="1" s="1"/>
  <c r="U2067" i="1" s="1"/>
  <c r="U2068" i="1" s="1"/>
  <c r="U2069" i="1" s="1"/>
  <c r="U2070" i="1" s="1"/>
  <c r="U2071" i="1" s="1"/>
  <c r="U2072" i="1" s="1"/>
  <c r="U2073" i="1" s="1"/>
  <c r="U2074" i="1" s="1"/>
  <c r="U2075" i="1" s="1"/>
  <c r="U2076" i="1" s="1"/>
  <c r="U2077" i="1" s="1"/>
  <c r="U2078" i="1" s="1"/>
  <c r="U2079" i="1" s="1"/>
  <c r="U2080" i="1" s="1"/>
  <c r="U2081" i="1" s="1"/>
  <c r="U2082" i="1" s="1"/>
  <c r="U2083" i="1" s="1"/>
  <c r="U2084" i="1" s="1"/>
  <c r="U2085" i="1" s="1"/>
  <c r="U2086" i="1" s="1"/>
  <c r="U2087" i="1" s="1"/>
  <c r="U2088" i="1" s="1"/>
  <c r="U2089" i="1" s="1"/>
  <c r="U2090" i="1" s="1"/>
  <c r="U2091" i="1" s="1"/>
  <c r="U2092" i="1" s="1"/>
  <c r="U2093" i="1" s="1"/>
  <c r="U2094" i="1" s="1"/>
  <c r="U2095" i="1" s="1"/>
  <c r="U2096" i="1" s="1"/>
  <c r="U2097" i="1" s="1"/>
  <c r="U2098" i="1" s="1"/>
  <c r="U2099" i="1" s="1"/>
  <c r="U2100" i="1" s="1"/>
  <c r="U2101" i="1" s="1"/>
  <c r="U2102" i="1" s="1"/>
  <c r="U2103" i="1" s="1"/>
  <c r="U2104" i="1" s="1"/>
  <c r="U2105" i="1" s="1"/>
  <c r="U2106" i="1" s="1"/>
  <c r="U2107" i="1" s="1"/>
  <c r="U2108" i="1" s="1"/>
  <c r="U2109" i="1" s="1"/>
  <c r="U2110" i="1" s="1"/>
  <c r="U2111" i="1" s="1"/>
  <c r="U2112" i="1" s="1"/>
  <c r="U2113" i="1" s="1"/>
  <c r="U2114" i="1" s="1"/>
  <c r="U2115" i="1" s="1"/>
  <c r="U2116" i="1" s="1"/>
  <c r="U2117" i="1" s="1"/>
  <c r="U2118" i="1" s="1"/>
  <c r="U2119" i="1" s="1"/>
  <c r="U2120" i="1" s="1"/>
  <c r="U2121" i="1" s="1"/>
  <c r="U2122" i="1" s="1"/>
  <c r="U2123" i="1" s="1"/>
  <c r="U2124" i="1" s="1"/>
  <c r="U2125" i="1" s="1"/>
  <c r="U2126" i="1" s="1"/>
  <c r="U2127" i="1" s="1"/>
  <c r="U2128" i="1" s="1"/>
  <c r="U2129" i="1" s="1"/>
  <c r="U2130" i="1" s="1"/>
  <c r="U2131" i="1" s="1"/>
  <c r="U2132" i="1" s="1"/>
  <c r="U2133" i="1" s="1"/>
  <c r="U2134" i="1" s="1"/>
  <c r="U2135" i="1" s="1"/>
  <c r="U2136" i="1" s="1"/>
  <c r="U2137" i="1" s="1"/>
  <c r="U2138" i="1" s="1"/>
  <c r="U2139" i="1" s="1"/>
  <c r="U2140" i="1" s="1"/>
  <c r="U2141" i="1" s="1"/>
  <c r="U2142" i="1" s="1"/>
  <c r="U2143" i="1" s="1"/>
  <c r="U2144" i="1" s="1"/>
  <c r="U2145" i="1" s="1"/>
  <c r="U2146" i="1" s="1"/>
  <c r="U2147" i="1" s="1"/>
  <c r="U2148" i="1" s="1"/>
  <c r="U2149" i="1" s="1"/>
  <c r="U2150" i="1" s="1"/>
  <c r="U2151" i="1" s="1"/>
  <c r="U2152" i="1" s="1"/>
  <c r="U2153" i="1" s="1"/>
  <c r="U2154" i="1" s="1"/>
  <c r="U2155" i="1" s="1"/>
  <c r="U2156" i="1" s="1"/>
  <c r="U2157" i="1" s="1"/>
  <c r="U2158" i="1" s="1"/>
  <c r="U2159" i="1" s="1"/>
  <c r="U2160" i="1" s="1"/>
  <c r="U2161" i="1" s="1"/>
  <c r="U2162" i="1" s="1"/>
  <c r="U2163" i="1" s="1"/>
  <c r="U2164" i="1" s="1"/>
  <c r="U2165" i="1" s="1"/>
  <c r="U2166" i="1" s="1"/>
  <c r="U2167" i="1" s="1"/>
  <c r="U2168" i="1" s="1"/>
  <c r="U2169" i="1" s="1"/>
  <c r="U2170" i="1" s="1"/>
  <c r="U2171" i="1" s="1"/>
  <c r="U2172" i="1" s="1"/>
  <c r="U2173" i="1" s="1"/>
  <c r="U2174" i="1" s="1"/>
  <c r="U2175" i="1" s="1"/>
  <c r="U2176" i="1" s="1"/>
  <c r="U2177" i="1" s="1"/>
  <c r="U2178" i="1" s="1"/>
  <c r="U2179" i="1" s="1"/>
  <c r="U2180" i="1" s="1"/>
  <c r="U2181" i="1" s="1"/>
  <c r="U2182" i="1" s="1"/>
  <c r="U2183" i="1" s="1"/>
  <c r="U2184" i="1" s="1"/>
  <c r="U2185" i="1" s="1"/>
  <c r="U2186" i="1" s="1"/>
  <c r="U2187" i="1" s="1"/>
  <c r="U2188" i="1" s="1"/>
  <c r="U2189" i="1" s="1"/>
  <c r="U2190" i="1" s="1"/>
  <c r="U2191" i="1" s="1"/>
  <c r="U2192" i="1" s="1"/>
  <c r="U2193" i="1" s="1"/>
  <c r="U2194" i="1" s="1"/>
  <c r="U2195" i="1" s="1"/>
  <c r="U2196" i="1" s="1"/>
  <c r="U2197" i="1" s="1"/>
  <c r="U2198" i="1" s="1"/>
  <c r="U2199" i="1" s="1"/>
  <c r="U2200" i="1" s="1"/>
  <c r="U2201" i="1" s="1"/>
  <c r="U2202" i="1" s="1"/>
  <c r="U2203" i="1" s="1"/>
  <c r="U2204" i="1" s="1"/>
  <c r="U2205" i="1" s="1"/>
  <c r="U2206" i="1" s="1"/>
  <c r="U2207" i="1" s="1"/>
  <c r="U2208" i="1" s="1"/>
  <c r="U2209" i="1" s="1"/>
  <c r="U2210" i="1" s="1"/>
  <c r="U2211" i="1" s="1"/>
  <c r="U2212" i="1" s="1"/>
  <c r="U2213" i="1" s="1"/>
  <c r="U2214" i="1" s="1"/>
  <c r="U2215" i="1" s="1"/>
  <c r="U2216" i="1" s="1"/>
  <c r="U2217" i="1" s="1"/>
  <c r="U2218" i="1" s="1"/>
  <c r="U2219" i="1" s="1"/>
  <c r="U2220" i="1" s="1"/>
  <c r="U2221" i="1" s="1"/>
  <c r="U2222" i="1" s="1"/>
  <c r="U2223" i="1" s="1"/>
  <c r="U2224" i="1" s="1"/>
  <c r="U2225" i="1" s="1"/>
  <c r="U2226" i="1" s="1"/>
  <c r="U2227" i="1" s="1"/>
  <c r="U2228" i="1" s="1"/>
  <c r="U2229" i="1" s="1"/>
  <c r="U2230" i="1" s="1"/>
  <c r="U2231" i="1" s="1"/>
  <c r="U2232" i="1" s="1"/>
  <c r="U2233" i="1" s="1"/>
  <c r="U2234" i="1" s="1"/>
  <c r="U2235" i="1" s="1"/>
  <c r="U2236" i="1" s="1"/>
  <c r="U2237" i="1" s="1"/>
  <c r="U2238" i="1" s="1"/>
  <c r="U2239" i="1" s="1"/>
  <c r="U2240" i="1" s="1"/>
  <c r="U2241" i="1" s="1"/>
  <c r="U2242" i="1" s="1"/>
  <c r="U2243" i="1" s="1"/>
  <c r="U2244" i="1" s="1"/>
  <c r="U2245" i="1" s="1"/>
  <c r="U2246" i="1" s="1"/>
  <c r="U2247" i="1" s="1"/>
  <c r="U2248" i="1" s="1"/>
  <c r="U2249" i="1" s="1"/>
  <c r="U2250" i="1" s="1"/>
  <c r="U2251" i="1" s="1"/>
  <c r="U2252" i="1" s="1"/>
  <c r="U2253" i="1" s="1"/>
  <c r="U2254" i="1" s="1"/>
  <c r="U2255" i="1" s="1"/>
  <c r="U2256" i="1" s="1"/>
  <c r="U2257" i="1" s="1"/>
  <c r="U2258" i="1" s="1"/>
  <c r="U2259" i="1" s="1"/>
  <c r="U2260" i="1" s="1"/>
  <c r="U2261" i="1" s="1"/>
  <c r="U2262" i="1" s="1"/>
  <c r="U2263" i="1" s="1"/>
  <c r="U2264" i="1" s="1"/>
  <c r="U2265" i="1" s="1"/>
  <c r="U2266" i="1" s="1"/>
  <c r="U2267" i="1" s="1"/>
  <c r="U2268" i="1" s="1"/>
  <c r="U2269" i="1" s="1"/>
  <c r="U2270" i="1" s="1"/>
  <c r="U2271" i="1" s="1"/>
  <c r="U2272" i="1" s="1"/>
  <c r="U2273" i="1" s="1"/>
  <c r="U2274" i="1" s="1"/>
  <c r="U2275" i="1" s="1"/>
  <c r="U2276" i="1" s="1"/>
  <c r="U2277" i="1" s="1"/>
  <c r="U2278" i="1" s="1"/>
  <c r="U2279" i="1" s="1"/>
  <c r="U2280" i="1" s="1"/>
  <c r="U2281" i="1" s="1"/>
  <c r="U2282" i="1" s="1"/>
  <c r="U2283" i="1" s="1"/>
  <c r="U2284" i="1" s="1"/>
  <c r="U2285" i="1" s="1"/>
  <c r="U2286" i="1" s="1"/>
  <c r="U2287" i="1" s="1"/>
  <c r="U2288" i="1" s="1"/>
  <c r="U2289" i="1" s="1"/>
  <c r="U2290" i="1" s="1"/>
  <c r="U2291" i="1" s="1"/>
  <c r="U2292" i="1" s="1"/>
  <c r="U2293" i="1" s="1"/>
  <c r="U2294" i="1" s="1"/>
  <c r="U2295" i="1" s="1"/>
  <c r="U2296" i="1" s="1"/>
  <c r="U2297" i="1" s="1"/>
  <c r="U2298" i="1" s="1"/>
  <c r="U2299" i="1" s="1"/>
  <c r="U2300" i="1" s="1"/>
  <c r="U2301" i="1" s="1"/>
  <c r="U2302" i="1" s="1"/>
  <c r="U2303" i="1" s="1"/>
  <c r="U2304" i="1" s="1"/>
  <c r="U2305" i="1" s="1"/>
  <c r="U2306" i="1" s="1"/>
  <c r="U2307" i="1" s="1"/>
  <c r="U2308" i="1" s="1"/>
  <c r="U2309" i="1" s="1"/>
  <c r="U2310" i="1" s="1"/>
  <c r="U2311" i="1" s="1"/>
  <c r="U2312" i="1" s="1"/>
  <c r="U2313" i="1" s="1"/>
  <c r="U2314" i="1" s="1"/>
  <c r="U2315" i="1" s="1"/>
  <c r="U2316" i="1" s="1"/>
  <c r="U2317" i="1" s="1"/>
  <c r="U2318" i="1" s="1"/>
  <c r="U2319" i="1" s="1"/>
  <c r="U2320" i="1" s="1"/>
  <c r="U2321" i="1" s="1"/>
  <c r="U2322" i="1" s="1"/>
  <c r="U2323" i="1" s="1"/>
  <c r="U2324" i="1" s="1"/>
  <c r="U2325" i="1" s="1"/>
  <c r="U2326" i="1" s="1"/>
  <c r="U2327" i="1" s="1"/>
  <c r="U2328" i="1" s="1"/>
  <c r="U2329" i="1" s="1"/>
  <c r="U2330" i="1" s="1"/>
  <c r="U2331" i="1" s="1"/>
  <c r="U2332" i="1" s="1"/>
  <c r="U2333" i="1" s="1"/>
  <c r="U2334" i="1" s="1"/>
  <c r="U2335" i="1" s="1"/>
  <c r="U2336" i="1" s="1"/>
  <c r="U2337" i="1" s="1"/>
  <c r="U2338" i="1" s="1"/>
  <c r="U2339" i="1" s="1"/>
  <c r="U2340" i="1" s="1"/>
  <c r="U2341" i="1" s="1"/>
  <c r="U2342" i="1" s="1"/>
  <c r="U2343" i="1" s="1"/>
  <c r="U2344" i="1" s="1"/>
  <c r="U2345" i="1" s="1"/>
  <c r="U2346" i="1" s="1"/>
  <c r="U2347" i="1" s="1"/>
  <c r="U2348" i="1" s="1"/>
  <c r="U2349" i="1" s="1"/>
  <c r="U2350" i="1" s="1"/>
  <c r="U2351" i="1" s="1"/>
  <c r="U2352" i="1" s="1"/>
  <c r="U2353" i="1" s="1"/>
  <c r="U2354" i="1" s="1"/>
  <c r="U2355" i="1" s="1"/>
  <c r="U2356" i="1" s="1"/>
  <c r="U2357" i="1" s="1"/>
  <c r="U2358" i="1" s="1"/>
  <c r="U2359" i="1" s="1"/>
  <c r="U2360" i="1" s="1"/>
  <c r="U2361" i="1" s="1"/>
  <c r="U2362" i="1" s="1"/>
  <c r="U2363" i="1" s="1"/>
  <c r="U2364" i="1" s="1"/>
  <c r="U2365" i="1" s="1"/>
  <c r="U2366" i="1" s="1"/>
  <c r="U2367" i="1" s="1"/>
  <c r="U2368" i="1" s="1"/>
  <c r="U2369" i="1" s="1"/>
  <c r="U2370" i="1" s="1"/>
  <c r="U2371" i="1" s="1"/>
  <c r="U2372" i="1" s="1"/>
  <c r="U2373" i="1" s="1"/>
  <c r="U2374" i="1" s="1"/>
  <c r="U2375" i="1" s="1"/>
  <c r="U2376" i="1" s="1"/>
  <c r="U2377" i="1" s="1"/>
  <c r="U2378" i="1" s="1"/>
  <c r="U2379" i="1" s="1"/>
  <c r="U2380" i="1" s="1"/>
  <c r="U2381" i="1" s="1"/>
  <c r="U2382" i="1" s="1"/>
  <c r="U2383" i="1" s="1"/>
  <c r="U2384" i="1" s="1"/>
  <c r="U2385" i="1" s="1"/>
  <c r="U2386" i="1" s="1"/>
  <c r="U2387" i="1" s="1"/>
  <c r="U2388" i="1" s="1"/>
  <c r="U2389" i="1" s="1"/>
  <c r="U2390" i="1" s="1"/>
  <c r="U2391" i="1" s="1"/>
  <c r="U2392" i="1" s="1"/>
  <c r="U2393" i="1" s="1"/>
  <c r="U2394" i="1" s="1"/>
  <c r="U2395" i="1" s="1"/>
  <c r="U2396" i="1" s="1"/>
  <c r="U2397" i="1" s="1"/>
  <c r="U2398" i="1" s="1"/>
  <c r="U2399" i="1" s="1"/>
  <c r="U2400" i="1" s="1"/>
  <c r="U2401" i="1" s="1"/>
  <c r="U2402" i="1" s="1"/>
  <c r="U2403" i="1" s="1"/>
  <c r="U2404" i="1" s="1"/>
  <c r="U2405" i="1" s="1"/>
  <c r="U2406" i="1" s="1"/>
  <c r="U2407" i="1" s="1"/>
  <c r="U2408" i="1" s="1"/>
  <c r="U2409" i="1" s="1"/>
  <c r="U2410" i="1" s="1"/>
  <c r="U2411" i="1" s="1"/>
  <c r="U2412" i="1" s="1"/>
  <c r="U2413" i="1" s="1"/>
  <c r="U2414" i="1" s="1"/>
  <c r="U2415" i="1" s="1"/>
  <c r="U2416" i="1" s="1"/>
  <c r="U2417" i="1" s="1"/>
  <c r="U2418" i="1" s="1"/>
  <c r="U2419" i="1" s="1"/>
  <c r="U2420" i="1" s="1"/>
  <c r="U2421" i="1" s="1"/>
  <c r="U2422" i="1" s="1"/>
  <c r="U2423" i="1" s="1"/>
  <c r="U2424" i="1" s="1"/>
  <c r="U2425" i="1" s="1"/>
  <c r="U2426" i="1" s="1"/>
  <c r="U2427" i="1" s="1"/>
  <c r="U2428" i="1" s="1"/>
  <c r="U2429" i="1" s="1"/>
  <c r="U2430" i="1" s="1"/>
  <c r="U2431" i="1" s="1"/>
  <c r="U2432" i="1" s="1"/>
  <c r="U2433" i="1" s="1"/>
  <c r="U2434" i="1" s="1"/>
  <c r="U2435" i="1" s="1"/>
  <c r="U2436" i="1" s="1"/>
  <c r="U2437" i="1" s="1"/>
  <c r="U2438" i="1" s="1"/>
  <c r="U2439" i="1" s="1"/>
  <c r="U2440" i="1" s="1"/>
  <c r="U2441" i="1" s="1"/>
  <c r="U2442" i="1" s="1"/>
  <c r="U2443" i="1" s="1"/>
  <c r="U2444" i="1" s="1"/>
  <c r="U2445" i="1" s="1"/>
  <c r="U2446" i="1" s="1"/>
  <c r="U2447" i="1" s="1"/>
  <c r="U2448" i="1" s="1"/>
  <c r="U2449" i="1" s="1"/>
  <c r="U2450" i="1" s="1"/>
  <c r="U2451" i="1" s="1"/>
  <c r="U2452" i="1" s="1"/>
  <c r="U2453" i="1" s="1"/>
  <c r="U2454" i="1" s="1"/>
  <c r="U2455" i="1" s="1"/>
  <c r="U2456" i="1" s="1"/>
  <c r="U2457" i="1" s="1"/>
  <c r="U2458" i="1" s="1"/>
  <c r="U2459" i="1" s="1"/>
  <c r="U2460" i="1" s="1"/>
  <c r="U2461" i="1" s="1"/>
  <c r="U2462" i="1" s="1"/>
  <c r="U2463" i="1" s="1"/>
  <c r="U2464" i="1" s="1"/>
  <c r="U2465" i="1" s="1"/>
  <c r="U2466" i="1" s="1"/>
  <c r="U2467" i="1" s="1"/>
  <c r="U2468" i="1" s="1"/>
  <c r="U2469" i="1" s="1"/>
  <c r="U2470" i="1" s="1"/>
  <c r="U2471" i="1" s="1"/>
  <c r="U2472" i="1" s="1"/>
  <c r="U2473" i="1" s="1"/>
  <c r="U2474" i="1" s="1"/>
  <c r="U2475" i="1" s="1"/>
  <c r="U2476" i="1" s="1"/>
  <c r="U2477" i="1" s="1"/>
  <c r="U2478" i="1" s="1"/>
  <c r="U2479" i="1" s="1"/>
  <c r="U2480" i="1" s="1"/>
  <c r="U2481" i="1" s="1"/>
  <c r="U2482" i="1" s="1"/>
  <c r="U2483" i="1" s="1"/>
  <c r="U2484" i="1" s="1"/>
  <c r="U2485" i="1" s="1"/>
  <c r="U2486" i="1" s="1"/>
  <c r="U2487" i="1" s="1"/>
  <c r="U2488" i="1" s="1"/>
  <c r="U2489" i="1" s="1"/>
  <c r="U2490" i="1" s="1"/>
  <c r="U2491" i="1" s="1"/>
  <c r="U2492" i="1" s="1"/>
  <c r="U2493" i="1" s="1"/>
  <c r="U2494" i="1" s="1"/>
  <c r="U2495" i="1" s="1"/>
  <c r="U2496" i="1" s="1"/>
  <c r="U2497" i="1" s="1"/>
  <c r="U2498" i="1" s="1"/>
  <c r="U2499" i="1" s="1"/>
  <c r="U2500" i="1" s="1"/>
  <c r="U2501" i="1" s="1"/>
  <c r="U2502" i="1" s="1"/>
  <c r="U2503" i="1" s="1"/>
  <c r="U2504" i="1" s="1"/>
  <c r="U2505" i="1" s="1"/>
  <c r="U2506" i="1" s="1"/>
  <c r="U2507" i="1" s="1"/>
  <c r="U2508" i="1" s="1"/>
  <c r="U2509" i="1" s="1"/>
  <c r="U2510" i="1" s="1"/>
  <c r="U2511" i="1" s="1"/>
  <c r="U2512" i="1" s="1"/>
  <c r="U2513" i="1" s="1"/>
  <c r="U2514" i="1" s="1"/>
  <c r="U2515" i="1" s="1"/>
  <c r="U2516" i="1" s="1"/>
  <c r="U2517" i="1" s="1"/>
  <c r="U2518" i="1" s="1"/>
  <c r="U2519" i="1" s="1"/>
  <c r="U2520" i="1" s="1"/>
  <c r="U2521" i="1" s="1"/>
  <c r="U2522" i="1" s="1"/>
  <c r="U2523" i="1" s="1"/>
  <c r="U2524" i="1" s="1"/>
  <c r="U2525" i="1" s="1"/>
  <c r="U2526" i="1" s="1"/>
  <c r="U2527" i="1" s="1"/>
  <c r="U2528" i="1" s="1"/>
  <c r="U2529" i="1" s="1"/>
  <c r="U2530" i="1" s="1"/>
  <c r="U2531" i="1" s="1"/>
  <c r="U2532" i="1" s="1"/>
  <c r="U2533" i="1" s="1"/>
  <c r="U2534" i="1" s="1"/>
  <c r="U2535" i="1" s="1"/>
  <c r="U2536" i="1" s="1"/>
  <c r="U2537" i="1" s="1"/>
  <c r="U2538" i="1" s="1"/>
  <c r="U2539" i="1" s="1"/>
  <c r="U2540" i="1" s="1"/>
  <c r="U2541" i="1" s="1"/>
  <c r="U2542" i="1" s="1"/>
  <c r="U2543" i="1" s="1"/>
  <c r="U2544" i="1" s="1"/>
  <c r="U2545" i="1" s="1"/>
  <c r="U2546" i="1" s="1"/>
  <c r="U2547" i="1" s="1"/>
  <c r="U2548" i="1" s="1"/>
  <c r="U2549" i="1" s="1"/>
  <c r="U2550" i="1" s="1"/>
  <c r="U2551" i="1" s="1"/>
  <c r="U2552" i="1" s="1"/>
  <c r="U2553" i="1" s="1"/>
  <c r="U2554" i="1" s="1"/>
  <c r="U2555" i="1" s="1"/>
  <c r="U2556" i="1" s="1"/>
  <c r="U2557" i="1" s="1"/>
  <c r="U2558" i="1" s="1"/>
  <c r="U2559" i="1" s="1"/>
  <c r="U2560" i="1" s="1"/>
  <c r="U2561" i="1" s="1"/>
  <c r="U2562" i="1" s="1"/>
  <c r="U2563" i="1" s="1"/>
  <c r="U2564" i="1" s="1"/>
  <c r="U2565" i="1" s="1"/>
  <c r="U2566" i="1" s="1"/>
  <c r="U2567" i="1" s="1"/>
  <c r="U2568" i="1" s="1"/>
  <c r="U2569" i="1" s="1"/>
  <c r="U2570" i="1" s="1"/>
  <c r="U2571" i="1" s="1"/>
  <c r="U2572" i="1" s="1"/>
  <c r="U2573" i="1" s="1"/>
  <c r="U2574" i="1" s="1"/>
  <c r="U2575" i="1" s="1"/>
  <c r="U2576" i="1" s="1"/>
  <c r="U2577" i="1" s="1"/>
  <c r="U2578" i="1" s="1"/>
  <c r="U2579" i="1" s="1"/>
  <c r="U2580" i="1" s="1"/>
  <c r="U2581" i="1" s="1"/>
  <c r="U2582" i="1" s="1"/>
  <c r="U2583" i="1" s="1"/>
  <c r="U2584" i="1" s="1"/>
  <c r="U2585" i="1" s="1"/>
  <c r="U2586" i="1" s="1"/>
  <c r="U2587" i="1" s="1"/>
  <c r="U2588" i="1" s="1"/>
  <c r="U2589" i="1" s="1"/>
  <c r="U2590" i="1" s="1"/>
  <c r="U2591" i="1" s="1"/>
  <c r="U2592" i="1" s="1"/>
  <c r="U2593" i="1" s="1"/>
  <c r="U2594" i="1" s="1"/>
  <c r="U2595" i="1" s="1"/>
  <c r="U2596" i="1" s="1"/>
  <c r="U2597" i="1" s="1"/>
  <c r="U2598" i="1" s="1"/>
  <c r="U2599" i="1" s="1"/>
  <c r="U2600" i="1" s="1"/>
  <c r="U2601" i="1" s="1"/>
  <c r="U2602" i="1" s="1"/>
  <c r="U2603" i="1" s="1"/>
  <c r="U2604" i="1" s="1"/>
  <c r="U2605" i="1" s="1"/>
  <c r="U2606" i="1" s="1"/>
  <c r="U2607" i="1" s="1"/>
  <c r="U2608" i="1" s="1"/>
  <c r="U2609" i="1" s="1"/>
  <c r="U2610" i="1" s="1"/>
  <c r="U2611" i="1" s="1"/>
  <c r="U2612" i="1" s="1"/>
  <c r="U2613" i="1" s="1"/>
  <c r="U2614" i="1" s="1"/>
  <c r="U2615" i="1" s="1"/>
  <c r="U2616" i="1" s="1"/>
  <c r="U2617" i="1" s="1"/>
  <c r="U2618" i="1" s="1"/>
  <c r="U2619" i="1" s="1"/>
  <c r="U2620" i="1" s="1"/>
  <c r="U2621" i="1" s="1"/>
  <c r="U2622" i="1" s="1"/>
  <c r="U2623" i="1" s="1"/>
  <c r="U2624" i="1" s="1"/>
  <c r="U2625" i="1" s="1"/>
  <c r="U2626" i="1" s="1"/>
  <c r="U2627" i="1" s="1"/>
  <c r="U2628" i="1" s="1"/>
  <c r="U2629" i="1" s="1"/>
  <c r="U2630" i="1" s="1"/>
  <c r="U2631" i="1" s="1"/>
  <c r="U2632" i="1" s="1"/>
  <c r="U2633" i="1" s="1"/>
  <c r="U2634" i="1" s="1"/>
  <c r="U2635" i="1" s="1"/>
  <c r="U2636" i="1" s="1"/>
  <c r="U2637" i="1" s="1"/>
  <c r="U2638" i="1" s="1"/>
  <c r="U2639" i="1" s="1"/>
  <c r="U2640" i="1" s="1"/>
  <c r="U2641" i="1" s="1"/>
  <c r="U2642" i="1" s="1"/>
  <c r="U2643" i="1" s="1"/>
  <c r="U2644" i="1" s="1"/>
  <c r="U2645" i="1" s="1"/>
  <c r="U2646" i="1" s="1"/>
  <c r="U2647" i="1" s="1"/>
  <c r="U2648" i="1" s="1"/>
  <c r="U2649" i="1" s="1"/>
  <c r="U2650" i="1" s="1"/>
  <c r="U2651" i="1" s="1"/>
  <c r="U2652" i="1" s="1"/>
  <c r="U2653" i="1" s="1"/>
  <c r="U2654" i="1" s="1"/>
  <c r="U2655" i="1" s="1"/>
  <c r="U2656" i="1" s="1"/>
  <c r="U2657" i="1" s="1"/>
  <c r="U2658" i="1" s="1"/>
  <c r="U2659" i="1" s="1"/>
  <c r="U2660" i="1" s="1"/>
  <c r="U2661" i="1" s="1"/>
  <c r="U2662" i="1" s="1"/>
  <c r="U2663" i="1" s="1"/>
  <c r="U2664" i="1" s="1"/>
  <c r="U2665" i="1" s="1"/>
  <c r="U2666" i="1" s="1"/>
  <c r="U2667" i="1" s="1"/>
  <c r="U2668" i="1" s="1"/>
  <c r="U2669" i="1" s="1"/>
  <c r="U2670" i="1" s="1"/>
  <c r="U2671" i="1" s="1"/>
  <c r="U2672" i="1" s="1"/>
  <c r="U2673" i="1" s="1"/>
  <c r="U2674" i="1" s="1"/>
  <c r="U2675" i="1" s="1"/>
  <c r="U2676" i="1" s="1"/>
  <c r="U2677" i="1" s="1"/>
  <c r="U2678" i="1" s="1"/>
  <c r="U2679" i="1" s="1"/>
  <c r="U2680" i="1" s="1"/>
  <c r="U2681" i="1" s="1"/>
  <c r="U2682" i="1" s="1"/>
  <c r="U2683" i="1" s="1"/>
  <c r="U2684" i="1" s="1"/>
  <c r="U2685" i="1" s="1"/>
  <c r="U2686" i="1" s="1"/>
  <c r="U2687" i="1" s="1"/>
  <c r="U2688" i="1" s="1"/>
  <c r="U2689" i="1" s="1"/>
  <c r="U2690" i="1" s="1"/>
  <c r="U2691" i="1" s="1"/>
  <c r="U2692" i="1" s="1"/>
  <c r="U2693" i="1" s="1"/>
  <c r="U2694" i="1" s="1"/>
  <c r="U2695" i="1" s="1"/>
  <c r="U2696" i="1" s="1"/>
  <c r="U2697" i="1" s="1"/>
  <c r="U2698" i="1" s="1"/>
  <c r="U2699" i="1" s="1"/>
  <c r="U2700" i="1" s="1"/>
  <c r="U2701" i="1" s="1"/>
  <c r="U2702" i="1" s="1"/>
  <c r="U2703" i="1" s="1"/>
  <c r="U2704" i="1" s="1"/>
  <c r="U2705" i="1" s="1"/>
  <c r="U2706" i="1" s="1"/>
  <c r="U2707" i="1" s="1"/>
  <c r="U2708" i="1" s="1"/>
  <c r="U2709" i="1" s="1"/>
  <c r="U2710" i="1" s="1"/>
  <c r="U2711" i="1" s="1"/>
  <c r="U2712" i="1" s="1"/>
  <c r="U2713" i="1" s="1"/>
  <c r="U2714" i="1" s="1"/>
  <c r="U2715" i="1" s="1"/>
  <c r="U2716" i="1" s="1"/>
  <c r="U2717" i="1" s="1"/>
  <c r="U2718" i="1" s="1"/>
  <c r="U2719" i="1" s="1"/>
  <c r="U2720" i="1" s="1"/>
  <c r="U2721" i="1" s="1"/>
  <c r="U2722" i="1" s="1"/>
  <c r="U2723" i="1" s="1"/>
  <c r="U2724" i="1" s="1"/>
  <c r="U2725" i="1" s="1"/>
  <c r="U2726" i="1" s="1"/>
  <c r="U2727" i="1" s="1"/>
  <c r="U2728" i="1" s="1"/>
  <c r="U2729" i="1" s="1"/>
  <c r="U2730" i="1" s="1"/>
  <c r="U2731" i="1" s="1"/>
  <c r="U2732" i="1" s="1"/>
  <c r="U2733" i="1" s="1"/>
  <c r="U2734" i="1" s="1"/>
  <c r="U2735" i="1" s="1"/>
  <c r="U2736" i="1" s="1"/>
  <c r="U2737" i="1" s="1"/>
  <c r="U2738" i="1" s="1"/>
  <c r="U2739" i="1" s="1"/>
  <c r="U2740" i="1" s="1"/>
  <c r="U2741" i="1" s="1"/>
  <c r="U2742" i="1" s="1"/>
  <c r="U2743" i="1" s="1"/>
  <c r="U2744" i="1" s="1"/>
  <c r="U2745" i="1" s="1"/>
  <c r="U2746" i="1" s="1"/>
  <c r="U2747" i="1" s="1"/>
  <c r="U2748" i="1" s="1"/>
  <c r="U2749" i="1" s="1"/>
  <c r="U2750" i="1" s="1"/>
  <c r="U2751" i="1" s="1"/>
  <c r="U2752" i="1" s="1"/>
  <c r="U2753" i="1" s="1"/>
  <c r="U2754" i="1" s="1"/>
  <c r="U2755" i="1" s="1"/>
  <c r="U2756" i="1" s="1"/>
  <c r="U2757" i="1" s="1"/>
  <c r="U2758" i="1" s="1"/>
  <c r="U2759" i="1" s="1"/>
  <c r="U2760" i="1" s="1"/>
  <c r="U2761" i="1" s="1"/>
  <c r="U2762" i="1" s="1"/>
  <c r="U2763" i="1" s="1"/>
  <c r="U2764" i="1" s="1"/>
  <c r="U2765" i="1" s="1"/>
  <c r="U2766" i="1" s="1"/>
  <c r="U2767" i="1" s="1"/>
  <c r="U2768" i="1" s="1"/>
  <c r="U2769" i="1" s="1"/>
  <c r="U2770" i="1" s="1"/>
  <c r="U2771" i="1" s="1"/>
  <c r="U2772" i="1" s="1"/>
  <c r="U2773" i="1" s="1"/>
  <c r="U2774" i="1" s="1"/>
  <c r="U2775" i="1" s="1"/>
  <c r="U2776" i="1" s="1"/>
  <c r="U2777" i="1" s="1"/>
  <c r="U2778" i="1" s="1"/>
  <c r="U2779" i="1" s="1"/>
  <c r="U2780" i="1" s="1"/>
  <c r="U2781" i="1" s="1"/>
  <c r="U2782" i="1" s="1"/>
  <c r="U2783" i="1" s="1"/>
  <c r="U2784" i="1" s="1"/>
  <c r="U2785" i="1" s="1"/>
  <c r="U2786" i="1" s="1"/>
  <c r="U2787" i="1" s="1"/>
  <c r="U2788" i="1" s="1"/>
  <c r="U2789" i="1" s="1"/>
  <c r="U2790" i="1" s="1"/>
  <c r="U2791" i="1" s="1"/>
  <c r="U2792" i="1" s="1"/>
  <c r="U2793" i="1" s="1"/>
  <c r="U2794" i="1" s="1"/>
  <c r="U2795" i="1" s="1"/>
  <c r="U2796" i="1" s="1"/>
  <c r="U2797" i="1" s="1"/>
  <c r="U2798" i="1" s="1"/>
  <c r="U2799" i="1" s="1"/>
  <c r="U2800" i="1" s="1"/>
  <c r="U2801" i="1" s="1"/>
  <c r="U2802" i="1" s="1"/>
  <c r="U2803" i="1" s="1"/>
  <c r="U2804" i="1" s="1"/>
  <c r="U2805" i="1" s="1"/>
  <c r="U2806" i="1" s="1"/>
  <c r="U2807" i="1" s="1"/>
  <c r="U2808" i="1" s="1"/>
  <c r="U2809" i="1" s="1"/>
  <c r="U2810" i="1" s="1"/>
  <c r="U2811" i="1" s="1"/>
  <c r="U2812" i="1" s="1"/>
  <c r="U2813" i="1" s="1"/>
  <c r="U2814" i="1" s="1"/>
  <c r="U2815" i="1" s="1"/>
  <c r="U2816" i="1" s="1"/>
  <c r="U2817" i="1" s="1"/>
  <c r="U2818" i="1" s="1"/>
  <c r="U2819" i="1" s="1"/>
  <c r="U2820" i="1" s="1"/>
  <c r="U2821" i="1" s="1"/>
  <c r="U2822" i="1" s="1"/>
  <c r="U2823" i="1" s="1"/>
  <c r="U2824" i="1" s="1"/>
  <c r="U2825" i="1" s="1"/>
  <c r="U2826" i="1" s="1"/>
  <c r="U2827" i="1" s="1"/>
  <c r="U2828" i="1" s="1"/>
  <c r="U2829" i="1" s="1"/>
  <c r="U2830" i="1" s="1"/>
  <c r="U2831" i="1" s="1"/>
  <c r="U2832" i="1" s="1"/>
  <c r="U2833" i="1" s="1"/>
  <c r="U2834" i="1" s="1"/>
  <c r="U2835" i="1" s="1"/>
  <c r="U2836" i="1" s="1"/>
  <c r="U2837" i="1" s="1"/>
  <c r="U2838" i="1" s="1"/>
  <c r="U2839" i="1" s="1"/>
  <c r="U2840" i="1" s="1"/>
  <c r="U2841" i="1" s="1"/>
  <c r="U2842" i="1" s="1"/>
  <c r="U2843" i="1" s="1"/>
  <c r="U2844" i="1" s="1"/>
  <c r="U2845" i="1" s="1"/>
  <c r="U2846" i="1" s="1"/>
  <c r="U2847" i="1" s="1"/>
  <c r="U2848" i="1" s="1"/>
  <c r="U2849" i="1" s="1"/>
  <c r="U2850" i="1" s="1"/>
  <c r="U2851" i="1" s="1"/>
  <c r="U2852" i="1" s="1"/>
  <c r="U2853" i="1" s="1"/>
  <c r="U2854" i="1" s="1"/>
  <c r="U2855" i="1" s="1"/>
  <c r="U2856" i="1" s="1"/>
  <c r="U2857" i="1" s="1"/>
  <c r="U2858" i="1" s="1"/>
  <c r="U2859" i="1" s="1"/>
  <c r="U2860" i="1" s="1"/>
  <c r="U2861" i="1" s="1"/>
  <c r="U2862" i="1" s="1"/>
  <c r="U2863" i="1" s="1"/>
  <c r="U2864" i="1" s="1"/>
  <c r="U2865" i="1" s="1"/>
  <c r="U2866" i="1" s="1"/>
  <c r="U2867" i="1" s="1"/>
  <c r="U2868" i="1" s="1"/>
  <c r="U2869" i="1" s="1"/>
  <c r="U2870" i="1" s="1"/>
  <c r="U2871" i="1" s="1"/>
  <c r="U2872" i="1" s="1"/>
  <c r="U2873" i="1" s="1"/>
  <c r="U2874" i="1" s="1"/>
  <c r="U2875" i="1" s="1"/>
  <c r="U2876" i="1" s="1"/>
  <c r="U2877" i="1" s="1"/>
  <c r="U2878" i="1" s="1"/>
  <c r="U2879" i="1" s="1"/>
  <c r="U2880" i="1" s="1"/>
  <c r="U2881" i="1" s="1"/>
  <c r="U2882" i="1" s="1"/>
  <c r="U2883" i="1" s="1"/>
  <c r="U2884" i="1" s="1"/>
  <c r="U2885" i="1" s="1"/>
  <c r="U2886" i="1" s="1"/>
  <c r="U2887" i="1" s="1"/>
  <c r="U2888" i="1" s="1"/>
  <c r="U2889" i="1" s="1"/>
  <c r="U2890" i="1" s="1"/>
  <c r="U2891" i="1" s="1"/>
  <c r="U2892" i="1" s="1"/>
  <c r="U2893" i="1" s="1"/>
  <c r="U2894" i="1" s="1"/>
  <c r="U2895" i="1" s="1"/>
  <c r="U2896" i="1" s="1"/>
  <c r="U2897" i="1" s="1"/>
  <c r="U2898" i="1" s="1"/>
  <c r="U2899" i="1" s="1"/>
  <c r="U2900" i="1" s="1"/>
  <c r="U2901" i="1" s="1"/>
  <c r="U2902" i="1" s="1"/>
  <c r="U2903" i="1" s="1"/>
  <c r="U2904" i="1" s="1"/>
  <c r="U2905" i="1" s="1"/>
  <c r="U2906" i="1" s="1"/>
  <c r="U2907" i="1" s="1"/>
  <c r="U2908" i="1" s="1"/>
  <c r="U2909" i="1" s="1"/>
  <c r="U2910" i="1" s="1"/>
  <c r="U2911" i="1" s="1"/>
  <c r="U2912" i="1" s="1"/>
  <c r="U2913" i="1" s="1"/>
  <c r="U2914" i="1" s="1"/>
  <c r="U2915" i="1" s="1"/>
  <c r="U2916" i="1" s="1"/>
  <c r="U2917" i="1" s="1"/>
  <c r="U2918" i="1" s="1"/>
  <c r="U2919" i="1" s="1"/>
  <c r="U2920" i="1" s="1"/>
  <c r="U2921" i="1" s="1"/>
  <c r="U2922" i="1" s="1"/>
  <c r="U2923" i="1" s="1"/>
  <c r="U2924" i="1" s="1"/>
  <c r="U2925" i="1" s="1"/>
  <c r="U2926" i="1" s="1"/>
  <c r="U2927" i="1" s="1"/>
  <c r="U2928" i="1" s="1"/>
  <c r="U2929" i="1" s="1"/>
  <c r="U2930" i="1" s="1"/>
  <c r="U2931" i="1" s="1"/>
  <c r="U2932" i="1" s="1"/>
  <c r="U2933" i="1" s="1"/>
  <c r="U2934" i="1" s="1"/>
  <c r="U2935" i="1" s="1"/>
  <c r="U2936" i="1" s="1"/>
  <c r="U2937" i="1" s="1"/>
  <c r="U2938" i="1" s="1"/>
  <c r="U2939" i="1" s="1"/>
  <c r="U2940" i="1" s="1"/>
  <c r="U2941" i="1" s="1"/>
  <c r="U2942" i="1" s="1"/>
  <c r="U2943" i="1" s="1"/>
  <c r="U2944" i="1" s="1"/>
  <c r="U2945" i="1" s="1"/>
  <c r="U2946" i="1" s="1"/>
  <c r="U2947" i="1" s="1"/>
  <c r="U2948" i="1" s="1"/>
  <c r="U2949" i="1" s="1"/>
  <c r="U2950" i="1" s="1"/>
  <c r="U2951" i="1" s="1"/>
  <c r="U2952" i="1" s="1"/>
  <c r="U2953" i="1" s="1"/>
  <c r="U2954" i="1" s="1"/>
  <c r="U2955" i="1" s="1"/>
  <c r="U2956" i="1" s="1"/>
  <c r="U2957" i="1" s="1"/>
  <c r="U2958" i="1" s="1"/>
  <c r="U2959" i="1" s="1"/>
  <c r="U2960" i="1" s="1"/>
  <c r="U2961" i="1" s="1"/>
  <c r="U2962" i="1" s="1"/>
  <c r="U2963" i="1" s="1"/>
  <c r="U2964" i="1" s="1"/>
  <c r="U2965" i="1" s="1"/>
  <c r="U2966" i="1" s="1"/>
  <c r="U2967" i="1" s="1"/>
  <c r="U2968" i="1" s="1"/>
  <c r="U2969" i="1" s="1"/>
  <c r="U2970" i="1" s="1"/>
  <c r="U2971" i="1" s="1"/>
  <c r="U2972" i="1" s="1"/>
  <c r="U2973" i="1" s="1"/>
  <c r="U2974" i="1" s="1"/>
  <c r="U2975" i="1" s="1"/>
  <c r="U2976" i="1" s="1"/>
  <c r="U2977" i="1" s="1"/>
  <c r="U2978" i="1" s="1"/>
  <c r="U2979" i="1" s="1"/>
  <c r="U2980" i="1" s="1"/>
  <c r="U2981" i="1" s="1"/>
  <c r="U2982" i="1" s="1"/>
  <c r="U2983" i="1" s="1"/>
  <c r="U2984" i="1" s="1"/>
  <c r="U2985" i="1" s="1"/>
  <c r="U2986" i="1" s="1"/>
  <c r="U2987" i="1" s="1"/>
  <c r="U2988" i="1" s="1"/>
  <c r="U2989" i="1" s="1"/>
  <c r="U2990" i="1" s="1"/>
  <c r="U2991" i="1" s="1"/>
  <c r="U2992" i="1" s="1"/>
  <c r="U2993" i="1" s="1"/>
  <c r="U2994" i="1" s="1"/>
  <c r="U2995" i="1" s="1"/>
  <c r="U2996" i="1" s="1"/>
  <c r="U2997" i="1" s="1"/>
  <c r="U2998" i="1" s="1"/>
  <c r="U2999" i="1" s="1"/>
  <c r="U3000" i="1" s="1"/>
  <c r="U3001" i="1" s="1"/>
  <c r="U3002" i="1" s="1"/>
  <c r="U3003" i="1" s="1"/>
  <c r="U3004" i="1" s="1"/>
  <c r="U3005" i="1" s="1"/>
  <c r="U3006" i="1" s="1"/>
  <c r="U3007" i="1" s="1"/>
  <c r="U3008" i="1" s="1"/>
  <c r="U3009" i="1" s="1"/>
  <c r="U3010" i="1" s="1"/>
  <c r="U3011" i="1" s="1"/>
  <c r="U3012" i="1" s="1"/>
  <c r="U3013" i="1" s="1"/>
  <c r="U3014" i="1" s="1"/>
  <c r="U3015" i="1" s="1"/>
  <c r="U3016" i="1" s="1"/>
  <c r="U3017" i="1" s="1"/>
  <c r="U3018" i="1" s="1"/>
  <c r="U3019" i="1" s="1"/>
  <c r="U3020" i="1" s="1"/>
  <c r="U3021" i="1" s="1"/>
  <c r="U3022" i="1" s="1"/>
  <c r="U3023" i="1" s="1"/>
  <c r="U3024" i="1" s="1"/>
  <c r="U3025" i="1" s="1"/>
  <c r="U3026" i="1" s="1"/>
  <c r="U3027" i="1" s="1"/>
  <c r="U3028" i="1" s="1"/>
  <c r="U3029" i="1" s="1"/>
  <c r="U3030" i="1" s="1"/>
  <c r="U3031" i="1" s="1"/>
  <c r="U3032" i="1" s="1"/>
  <c r="U3033" i="1" s="1"/>
  <c r="U3034" i="1" s="1"/>
  <c r="U3035" i="1" s="1"/>
  <c r="U3036" i="1" s="1"/>
  <c r="U3037" i="1" s="1"/>
  <c r="U3038" i="1" s="1"/>
  <c r="U3039" i="1" s="1"/>
  <c r="U3040" i="1" s="1"/>
  <c r="U3041" i="1" s="1"/>
  <c r="U3042" i="1" s="1"/>
  <c r="U3043" i="1" s="1"/>
  <c r="U3044" i="1" s="1"/>
  <c r="U3045" i="1" s="1"/>
  <c r="U3046" i="1" s="1"/>
  <c r="U3047" i="1" s="1"/>
  <c r="U3048" i="1" s="1"/>
  <c r="U3049" i="1" s="1"/>
  <c r="U3050" i="1" s="1"/>
  <c r="U3051" i="1" s="1"/>
  <c r="U3052" i="1" s="1"/>
  <c r="U3053" i="1" s="1"/>
  <c r="U3054" i="1" s="1"/>
  <c r="U3055" i="1" s="1"/>
  <c r="U3056" i="1" s="1"/>
  <c r="U3057" i="1" s="1"/>
  <c r="U3058" i="1" s="1"/>
  <c r="U3059" i="1" s="1"/>
  <c r="U3060" i="1" s="1"/>
  <c r="U3061" i="1" s="1"/>
  <c r="U3062" i="1" s="1"/>
  <c r="U3063" i="1" s="1"/>
  <c r="U3064" i="1" s="1"/>
  <c r="U3065" i="1" s="1"/>
  <c r="U3066" i="1" s="1"/>
  <c r="U3067" i="1" s="1"/>
  <c r="U3068" i="1" s="1"/>
  <c r="U3069" i="1" s="1"/>
  <c r="U3070" i="1" s="1"/>
  <c r="U3071" i="1" s="1"/>
  <c r="U3072" i="1" s="1"/>
  <c r="U3073" i="1" s="1"/>
  <c r="U3074" i="1" s="1"/>
  <c r="U3075" i="1" s="1"/>
  <c r="U3076" i="1" s="1"/>
  <c r="U3077" i="1" s="1"/>
  <c r="U3078" i="1" s="1"/>
  <c r="U3079" i="1" s="1"/>
  <c r="U3080" i="1" s="1"/>
  <c r="U3081" i="1" s="1"/>
  <c r="U3082" i="1" s="1"/>
  <c r="U3083" i="1" s="1"/>
  <c r="U3084" i="1" s="1"/>
  <c r="U3085" i="1" s="1"/>
  <c r="U3086" i="1" s="1"/>
  <c r="U3087" i="1" s="1"/>
  <c r="U3088" i="1" s="1"/>
  <c r="U3089" i="1" s="1"/>
  <c r="U3090" i="1" s="1"/>
  <c r="U3091" i="1" s="1"/>
  <c r="U3092" i="1" s="1"/>
  <c r="U3093" i="1" s="1"/>
  <c r="U3094" i="1" s="1"/>
  <c r="U3095" i="1" s="1"/>
  <c r="U3096" i="1" s="1"/>
  <c r="U3097" i="1" s="1"/>
  <c r="U3098" i="1" s="1"/>
  <c r="U3099" i="1" s="1"/>
  <c r="U3100" i="1" s="1"/>
  <c r="U3101" i="1" s="1"/>
  <c r="U3102" i="1" s="1"/>
  <c r="U3103" i="1" s="1"/>
  <c r="U3104" i="1" s="1"/>
  <c r="U3105" i="1" s="1"/>
  <c r="U3106" i="1" s="1"/>
  <c r="U3107" i="1" s="1"/>
  <c r="U3108" i="1" s="1"/>
  <c r="U3109" i="1" s="1"/>
  <c r="U3110" i="1" s="1"/>
  <c r="U3111" i="1" s="1"/>
  <c r="U3112" i="1" s="1"/>
  <c r="U3113" i="1" s="1"/>
  <c r="U3114" i="1" s="1"/>
  <c r="U3115" i="1" s="1"/>
  <c r="U3116" i="1" s="1"/>
  <c r="U3117" i="1" s="1"/>
  <c r="U3118" i="1" s="1"/>
  <c r="U3119" i="1" s="1"/>
  <c r="U3120" i="1" s="1"/>
  <c r="U3121" i="1" s="1"/>
  <c r="U3122" i="1" s="1"/>
  <c r="U3123" i="1" s="1"/>
  <c r="U3124" i="1" s="1"/>
  <c r="U3125" i="1" s="1"/>
  <c r="U3126" i="1" s="1"/>
  <c r="U3127" i="1" s="1"/>
  <c r="U3128" i="1" s="1"/>
  <c r="U3129" i="1" s="1"/>
  <c r="U3130" i="1" s="1"/>
  <c r="U3131" i="1" s="1"/>
  <c r="U3132" i="1" s="1"/>
  <c r="U3133" i="1" s="1"/>
  <c r="U3134" i="1" s="1"/>
  <c r="U3135" i="1" s="1"/>
  <c r="U3136" i="1" s="1"/>
  <c r="U3137" i="1" s="1"/>
  <c r="U3138" i="1" s="1"/>
  <c r="U3139" i="1" s="1"/>
  <c r="U3140" i="1" s="1"/>
  <c r="U3141" i="1" s="1"/>
  <c r="U3142" i="1" s="1"/>
  <c r="U3143" i="1" s="1"/>
  <c r="U3144" i="1" s="1"/>
  <c r="U3145" i="1" s="1"/>
  <c r="U3146" i="1" s="1"/>
  <c r="U3147" i="1" s="1"/>
  <c r="U3148" i="1" s="1"/>
  <c r="U3149" i="1" s="1"/>
  <c r="U3150" i="1" s="1"/>
  <c r="U3151" i="1" s="1"/>
  <c r="U3152" i="1" s="1"/>
  <c r="U3153" i="1" s="1"/>
  <c r="U3154" i="1" s="1"/>
  <c r="U3155" i="1" s="1"/>
  <c r="U3156" i="1" s="1"/>
  <c r="U3157" i="1" s="1"/>
  <c r="U3158" i="1" s="1"/>
  <c r="U3159" i="1" s="1"/>
  <c r="U3160" i="1" s="1"/>
  <c r="U3161" i="1" s="1"/>
  <c r="U3162" i="1" s="1"/>
  <c r="U3163" i="1" s="1"/>
  <c r="U3164" i="1" s="1"/>
  <c r="U3165" i="1" s="1"/>
  <c r="U3166" i="1" s="1"/>
  <c r="U3167" i="1" s="1"/>
  <c r="U3168" i="1" s="1"/>
  <c r="U3169" i="1" s="1"/>
  <c r="U3170" i="1" s="1"/>
  <c r="U3171" i="1" s="1"/>
  <c r="U3172" i="1" s="1"/>
  <c r="U3173" i="1" s="1"/>
  <c r="U3174" i="1" s="1"/>
  <c r="U3175" i="1" s="1"/>
  <c r="U3176" i="1" s="1"/>
  <c r="U3177" i="1" s="1"/>
  <c r="U3178" i="1" s="1"/>
  <c r="U3179" i="1" s="1"/>
  <c r="U3180" i="1" s="1"/>
  <c r="U3181" i="1" s="1"/>
  <c r="U3182" i="1" s="1"/>
  <c r="U3183" i="1" s="1"/>
  <c r="U3184" i="1" s="1"/>
  <c r="U3185" i="1" s="1"/>
  <c r="U3186" i="1" s="1"/>
  <c r="U3187" i="1" s="1"/>
  <c r="U3188" i="1" s="1"/>
  <c r="U3189" i="1" s="1"/>
  <c r="U3190" i="1" s="1"/>
  <c r="U3191" i="1" s="1"/>
  <c r="U3192" i="1" s="1"/>
  <c r="U3193" i="1" s="1"/>
  <c r="U3194" i="1" s="1"/>
  <c r="U3195" i="1" s="1"/>
  <c r="U3196" i="1" s="1"/>
  <c r="U3197" i="1" s="1"/>
  <c r="U3198" i="1" s="1"/>
  <c r="U3199" i="1" s="1"/>
  <c r="U3200" i="1" s="1"/>
  <c r="U3201" i="1" s="1"/>
  <c r="U3202" i="1" s="1"/>
  <c r="U3203" i="1" s="1"/>
  <c r="U3204" i="1" s="1"/>
  <c r="U3205" i="1" s="1"/>
  <c r="U3206" i="1" s="1"/>
  <c r="U3207" i="1" s="1"/>
  <c r="U3208" i="1" s="1"/>
  <c r="U3209" i="1" s="1"/>
  <c r="U3210" i="1" s="1"/>
  <c r="U3211" i="1" s="1"/>
  <c r="U3212" i="1" s="1"/>
  <c r="U3213" i="1" s="1"/>
  <c r="U3214" i="1" s="1"/>
  <c r="U3215" i="1" s="1"/>
  <c r="U3216" i="1" s="1"/>
  <c r="U3217" i="1" s="1"/>
  <c r="U3218" i="1" s="1"/>
  <c r="U3219" i="1" s="1"/>
  <c r="U3220" i="1" s="1"/>
  <c r="U3221" i="1" s="1"/>
  <c r="U3222" i="1" s="1"/>
  <c r="U3223" i="1" s="1"/>
  <c r="U3224" i="1" s="1"/>
  <c r="U3225" i="1" s="1"/>
  <c r="U3226" i="1" s="1"/>
  <c r="U3227" i="1" s="1"/>
  <c r="U3228" i="1" s="1"/>
  <c r="U3229" i="1" s="1"/>
  <c r="U3230" i="1" s="1"/>
  <c r="U3231" i="1" s="1"/>
  <c r="U3232" i="1" s="1"/>
  <c r="U3233" i="1" s="1"/>
  <c r="U3234" i="1" s="1"/>
  <c r="U3235" i="1" s="1"/>
  <c r="U3236" i="1" s="1"/>
  <c r="U3237" i="1" s="1"/>
  <c r="U3238" i="1" s="1"/>
  <c r="U3239" i="1" s="1"/>
  <c r="U3240" i="1" s="1"/>
  <c r="U3241" i="1" s="1"/>
  <c r="U3242" i="1" s="1"/>
  <c r="U3243" i="1" s="1"/>
  <c r="U3244" i="1" s="1"/>
  <c r="U3245" i="1" s="1"/>
  <c r="U3246" i="1" s="1"/>
  <c r="U3247" i="1" s="1"/>
  <c r="U3248" i="1" s="1"/>
  <c r="U3249" i="1" s="1"/>
  <c r="U3250" i="1" s="1"/>
  <c r="U3251" i="1" s="1"/>
  <c r="U3252" i="1" s="1"/>
  <c r="U3253" i="1" s="1"/>
  <c r="U3254" i="1" s="1"/>
  <c r="U3255" i="1" s="1"/>
  <c r="U3256" i="1" s="1"/>
  <c r="U3257" i="1" s="1"/>
  <c r="U3258" i="1" s="1"/>
  <c r="U3259" i="1" s="1"/>
  <c r="U3260" i="1" s="1"/>
  <c r="U3261" i="1" s="1"/>
  <c r="U3262" i="1" s="1"/>
  <c r="U3263" i="1" s="1"/>
  <c r="U3264" i="1" s="1"/>
  <c r="U3265" i="1" s="1"/>
  <c r="U3266" i="1" s="1"/>
  <c r="U3267" i="1" s="1"/>
  <c r="U3268" i="1" s="1"/>
  <c r="U3269" i="1" s="1"/>
  <c r="U3270" i="1" s="1"/>
  <c r="U3271" i="1" s="1"/>
  <c r="U3272" i="1" s="1"/>
  <c r="U3273" i="1" s="1"/>
  <c r="U3274" i="1" s="1"/>
  <c r="U3275" i="1" s="1"/>
  <c r="U3276" i="1" s="1"/>
  <c r="U3277" i="1" s="1"/>
  <c r="U3278" i="1" s="1"/>
  <c r="U3279" i="1" s="1"/>
  <c r="U3280" i="1" s="1"/>
  <c r="U3281" i="1" s="1"/>
  <c r="U3282" i="1" s="1"/>
  <c r="U3283" i="1" s="1"/>
  <c r="U3284" i="1" s="1"/>
  <c r="U3285" i="1" s="1"/>
  <c r="U3286" i="1" s="1"/>
  <c r="U3287" i="1" s="1"/>
  <c r="U3288" i="1" s="1"/>
  <c r="U3289" i="1" s="1"/>
  <c r="U3290" i="1" s="1"/>
  <c r="U3291" i="1" s="1"/>
  <c r="U3292" i="1" s="1"/>
  <c r="U3293" i="1" s="1"/>
  <c r="U3294" i="1" s="1"/>
  <c r="U3295" i="1" s="1"/>
  <c r="U3296" i="1" s="1"/>
  <c r="U3297" i="1" s="1"/>
  <c r="U3298" i="1" s="1"/>
  <c r="U3299" i="1" s="1"/>
  <c r="U3300" i="1" s="1"/>
  <c r="U3301" i="1" s="1"/>
  <c r="U3302" i="1" s="1"/>
  <c r="U3303" i="1" s="1"/>
  <c r="U3304" i="1" s="1"/>
  <c r="U3305" i="1" s="1"/>
  <c r="U3306" i="1" s="1"/>
  <c r="U3307" i="1" s="1"/>
  <c r="U3308" i="1" s="1"/>
  <c r="U3309" i="1" s="1"/>
  <c r="U3310" i="1" s="1"/>
  <c r="U3311" i="1" s="1"/>
  <c r="U3312" i="1" s="1"/>
  <c r="U3313" i="1" s="1"/>
  <c r="U3314" i="1" s="1"/>
  <c r="U3315" i="1" s="1"/>
  <c r="U3316" i="1" s="1"/>
  <c r="U3317" i="1" s="1"/>
  <c r="U3318" i="1" s="1"/>
  <c r="U3319" i="1" s="1"/>
  <c r="U3320" i="1" s="1"/>
  <c r="U3321" i="1" s="1"/>
  <c r="U3322" i="1" s="1"/>
  <c r="U3323" i="1" s="1"/>
  <c r="U3324" i="1" s="1"/>
  <c r="U3325" i="1" s="1"/>
  <c r="U3326" i="1" s="1"/>
  <c r="U3327" i="1" s="1"/>
  <c r="U3328" i="1" s="1"/>
  <c r="U3329" i="1" s="1"/>
  <c r="U3330" i="1" s="1"/>
  <c r="U3331" i="1" s="1"/>
  <c r="U3332" i="1" s="1"/>
  <c r="U3333" i="1" s="1"/>
  <c r="U3334" i="1" s="1"/>
  <c r="U3335" i="1" s="1"/>
  <c r="U3336" i="1" s="1"/>
  <c r="U3337" i="1" s="1"/>
  <c r="U3338" i="1" s="1"/>
  <c r="U3339" i="1" s="1"/>
  <c r="U3340" i="1" s="1"/>
  <c r="U3341" i="1" s="1"/>
  <c r="U3342" i="1" s="1"/>
  <c r="U3343" i="1" s="1"/>
  <c r="U3344" i="1" s="1"/>
  <c r="U3345" i="1" s="1"/>
  <c r="U3346" i="1" s="1"/>
  <c r="U3347" i="1" s="1"/>
  <c r="U3348" i="1" s="1"/>
  <c r="U3349" i="1" s="1"/>
  <c r="U3350" i="1" s="1"/>
  <c r="U3351" i="1" s="1"/>
  <c r="U3352" i="1" s="1"/>
  <c r="U3353" i="1" s="1"/>
  <c r="U3354" i="1" s="1"/>
  <c r="U3355" i="1" s="1"/>
  <c r="U3356" i="1" s="1"/>
  <c r="U3357" i="1" s="1"/>
  <c r="U3358" i="1" s="1"/>
  <c r="U3359" i="1" s="1"/>
  <c r="U3360" i="1" s="1"/>
  <c r="U3361" i="1" s="1"/>
  <c r="U3362" i="1" s="1"/>
  <c r="U3363" i="1" s="1"/>
  <c r="U3364" i="1" s="1"/>
  <c r="U3365" i="1" s="1"/>
  <c r="U3366" i="1" s="1"/>
  <c r="U3367" i="1" s="1"/>
  <c r="U3368" i="1" s="1"/>
  <c r="U3369" i="1" s="1"/>
  <c r="U3370" i="1" s="1"/>
  <c r="U3371" i="1" s="1"/>
  <c r="U3372" i="1" s="1"/>
  <c r="U3373" i="1" s="1"/>
  <c r="U3374" i="1" s="1"/>
  <c r="U3375" i="1" s="1"/>
  <c r="U3376" i="1" s="1"/>
  <c r="U3377" i="1" s="1"/>
  <c r="U3378" i="1" s="1"/>
  <c r="U3379" i="1" s="1"/>
  <c r="U3380" i="1" s="1"/>
  <c r="U3381" i="1" s="1"/>
  <c r="U3382" i="1" s="1"/>
  <c r="U3383" i="1" s="1"/>
  <c r="U3384" i="1" s="1"/>
  <c r="U3385" i="1" s="1"/>
  <c r="U3386" i="1" s="1"/>
  <c r="U3387" i="1" s="1"/>
  <c r="U3388" i="1" s="1"/>
  <c r="U3389" i="1" s="1"/>
  <c r="U3390" i="1" s="1"/>
  <c r="U3391" i="1" s="1"/>
  <c r="U3392" i="1" s="1"/>
  <c r="U3393" i="1" s="1"/>
  <c r="U3394" i="1" s="1"/>
  <c r="U3395" i="1" s="1"/>
  <c r="U3396" i="1" s="1"/>
  <c r="U3397" i="1" s="1"/>
  <c r="U3398" i="1" s="1"/>
  <c r="U3399" i="1" s="1"/>
  <c r="U3400" i="1" s="1"/>
  <c r="U3401" i="1" s="1"/>
  <c r="U3402" i="1" s="1"/>
  <c r="U3403" i="1" s="1"/>
  <c r="U3404" i="1" s="1"/>
  <c r="U3405" i="1" s="1"/>
  <c r="U3406" i="1" s="1"/>
  <c r="U3407" i="1" s="1"/>
  <c r="U3408" i="1" s="1"/>
  <c r="U3409" i="1" s="1"/>
  <c r="U3410" i="1" s="1"/>
  <c r="U3411" i="1" s="1"/>
  <c r="U3412" i="1" s="1"/>
  <c r="U3413" i="1" s="1"/>
  <c r="U3414" i="1" s="1"/>
  <c r="U3415" i="1" s="1"/>
  <c r="U3416" i="1" s="1"/>
  <c r="U3417" i="1" s="1"/>
  <c r="U3418" i="1" s="1"/>
  <c r="U3419" i="1" s="1"/>
  <c r="U3420" i="1" s="1"/>
  <c r="U3421" i="1" s="1"/>
  <c r="U3422" i="1" s="1"/>
  <c r="U3423" i="1" s="1"/>
  <c r="U3424" i="1" s="1"/>
  <c r="U3425" i="1" s="1"/>
  <c r="U3426" i="1" s="1"/>
  <c r="U3427" i="1" s="1"/>
  <c r="U3428" i="1" s="1"/>
  <c r="U3429" i="1" s="1"/>
  <c r="U3430" i="1" s="1"/>
  <c r="U3431" i="1" s="1"/>
  <c r="U3432" i="1" s="1"/>
  <c r="U3433" i="1" s="1"/>
  <c r="U3434" i="1" s="1"/>
  <c r="U3435" i="1" s="1"/>
  <c r="U3436" i="1" s="1"/>
  <c r="U3437" i="1" s="1"/>
  <c r="U3438" i="1" s="1"/>
  <c r="U3439" i="1" s="1"/>
  <c r="U3440" i="1" s="1"/>
  <c r="U3441" i="1" s="1"/>
  <c r="U3442" i="1" s="1"/>
  <c r="U3443" i="1" s="1"/>
  <c r="U3444" i="1" s="1"/>
  <c r="U3445" i="1" s="1"/>
  <c r="U3446" i="1" s="1"/>
  <c r="U3447" i="1" s="1"/>
  <c r="U3448" i="1" s="1"/>
  <c r="U3449" i="1" s="1"/>
  <c r="U3450" i="1" s="1"/>
  <c r="U3451" i="1" s="1"/>
  <c r="U3452" i="1" s="1"/>
  <c r="U3453" i="1" s="1"/>
  <c r="U3454" i="1" s="1"/>
  <c r="U3455" i="1" s="1"/>
  <c r="U3456" i="1" s="1"/>
  <c r="U3457" i="1" s="1"/>
  <c r="U3458" i="1" s="1"/>
  <c r="U3459" i="1" s="1"/>
  <c r="U3460" i="1" s="1"/>
  <c r="U3461" i="1" s="1"/>
  <c r="U3462" i="1" s="1"/>
  <c r="U3463" i="1" s="1"/>
  <c r="U3464" i="1" s="1"/>
  <c r="U3465" i="1" s="1"/>
  <c r="U3466" i="1" s="1"/>
  <c r="U3467" i="1" s="1"/>
  <c r="U3468" i="1" s="1"/>
  <c r="U3469" i="1" s="1"/>
  <c r="U3470" i="1" s="1"/>
  <c r="U3471" i="1" s="1"/>
  <c r="U3472" i="1" s="1"/>
  <c r="U3473" i="1" s="1"/>
  <c r="U3474" i="1" s="1"/>
  <c r="U3475" i="1" s="1"/>
  <c r="U3476" i="1" s="1"/>
  <c r="U3477" i="1" s="1"/>
  <c r="U3478" i="1" s="1"/>
  <c r="U3479" i="1" s="1"/>
  <c r="U3480" i="1" s="1"/>
  <c r="U3481" i="1" s="1"/>
  <c r="U3482" i="1" s="1"/>
  <c r="U3483" i="1" s="1"/>
  <c r="U3484" i="1" s="1"/>
  <c r="U3485" i="1" s="1"/>
  <c r="U3486" i="1" s="1"/>
  <c r="U3487" i="1" s="1"/>
  <c r="U3488" i="1" s="1"/>
  <c r="U3489" i="1" s="1"/>
  <c r="U3490" i="1" s="1"/>
  <c r="U3491" i="1" s="1"/>
  <c r="U3492" i="1" s="1"/>
  <c r="U3493" i="1" s="1"/>
  <c r="U3494" i="1" s="1"/>
  <c r="U3495" i="1" s="1"/>
  <c r="U3496" i="1" s="1"/>
  <c r="U3497" i="1" s="1"/>
  <c r="U3498" i="1" s="1"/>
  <c r="U3499" i="1" s="1"/>
  <c r="U3500" i="1" s="1"/>
  <c r="U3501" i="1" s="1"/>
  <c r="U3502" i="1" s="1"/>
  <c r="U3503" i="1" s="1"/>
  <c r="U3504" i="1" s="1"/>
  <c r="U3505" i="1" s="1"/>
  <c r="U3506" i="1" s="1"/>
  <c r="U3507" i="1" s="1"/>
  <c r="U3508" i="1" s="1"/>
  <c r="U3509" i="1" s="1"/>
  <c r="U3510" i="1" s="1"/>
  <c r="U3511" i="1" s="1"/>
  <c r="U3512" i="1" s="1"/>
  <c r="U3513" i="1" s="1"/>
  <c r="U3514" i="1" s="1"/>
  <c r="U3515" i="1" s="1"/>
  <c r="U3516" i="1" s="1"/>
  <c r="U3517" i="1" s="1"/>
  <c r="U3518" i="1" s="1"/>
  <c r="U3519" i="1" s="1"/>
  <c r="U3520" i="1" s="1"/>
  <c r="U3521" i="1" s="1"/>
  <c r="U3522" i="1" s="1"/>
  <c r="U3523" i="1" s="1"/>
  <c r="U3524" i="1" s="1"/>
  <c r="U3525" i="1" s="1"/>
  <c r="U3526" i="1" s="1"/>
  <c r="U3527" i="1" s="1"/>
  <c r="U3528" i="1" s="1"/>
  <c r="U3529" i="1" s="1"/>
  <c r="U3530" i="1" s="1"/>
  <c r="U3531" i="1" s="1"/>
  <c r="U3532" i="1" s="1"/>
  <c r="U3533" i="1" s="1"/>
  <c r="U3534" i="1" s="1"/>
  <c r="U3535" i="1" s="1"/>
  <c r="U3536" i="1" s="1"/>
  <c r="U3537" i="1" s="1"/>
  <c r="U3538" i="1" s="1"/>
  <c r="U3539" i="1" s="1"/>
  <c r="U3540" i="1" s="1"/>
  <c r="U3541" i="1" s="1"/>
  <c r="U3542" i="1" s="1"/>
  <c r="U3543" i="1" s="1"/>
  <c r="U3544" i="1" s="1"/>
  <c r="U3545" i="1" s="1"/>
  <c r="U3546" i="1" s="1"/>
  <c r="U3547" i="1" s="1"/>
  <c r="U3548" i="1" s="1"/>
  <c r="U3549" i="1" s="1"/>
  <c r="U3550" i="1" s="1"/>
  <c r="U3551" i="1" s="1"/>
  <c r="U3552" i="1" s="1"/>
  <c r="U3553" i="1" s="1"/>
  <c r="U3554" i="1" s="1"/>
  <c r="U3555" i="1" s="1"/>
  <c r="U3556" i="1" s="1"/>
  <c r="U3557" i="1" s="1"/>
  <c r="U3558" i="1" s="1"/>
  <c r="U3559" i="1" s="1"/>
  <c r="U3560" i="1" s="1"/>
  <c r="U3561" i="1" s="1"/>
  <c r="U3562" i="1" s="1"/>
  <c r="U3563" i="1" s="1"/>
  <c r="U3564" i="1" s="1"/>
  <c r="U3565" i="1" s="1"/>
  <c r="U3566" i="1" s="1"/>
  <c r="U3567" i="1" s="1"/>
  <c r="U3568" i="1" s="1"/>
  <c r="U3569" i="1" s="1"/>
  <c r="U3570" i="1" s="1"/>
  <c r="U3571" i="1" s="1"/>
  <c r="U3572" i="1" s="1"/>
  <c r="U3573" i="1" s="1"/>
  <c r="U3574" i="1" s="1"/>
  <c r="U3575" i="1" s="1"/>
  <c r="U3576" i="1" s="1"/>
  <c r="U3577" i="1" s="1"/>
  <c r="U3578" i="1" s="1"/>
  <c r="U3579" i="1" s="1"/>
  <c r="U3580" i="1" s="1"/>
  <c r="U3581" i="1" s="1"/>
  <c r="U3582" i="1" s="1"/>
  <c r="U3583" i="1" s="1"/>
  <c r="U3584" i="1" s="1"/>
  <c r="U3585" i="1" s="1"/>
  <c r="U3586" i="1" s="1"/>
  <c r="U3587" i="1" s="1"/>
  <c r="U3588" i="1" s="1"/>
  <c r="U3589" i="1" s="1"/>
  <c r="U3590" i="1" s="1"/>
  <c r="U3591" i="1" s="1"/>
  <c r="U3592" i="1" s="1"/>
  <c r="U3593" i="1" s="1"/>
  <c r="U3594" i="1" s="1"/>
  <c r="U3595" i="1" s="1"/>
  <c r="U3596" i="1" s="1"/>
  <c r="U3597" i="1" s="1"/>
  <c r="U3598" i="1" s="1"/>
  <c r="U3599" i="1" s="1"/>
  <c r="U3600" i="1" s="1"/>
  <c r="U3601" i="1" s="1"/>
  <c r="U3602" i="1" s="1"/>
  <c r="U3603" i="1" s="1"/>
  <c r="U3604" i="1" s="1"/>
  <c r="U3605" i="1" s="1"/>
  <c r="U3606" i="1" s="1"/>
  <c r="U3607" i="1" s="1"/>
  <c r="U3608" i="1" s="1"/>
  <c r="U3609" i="1" s="1"/>
  <c r="U3610" i="1" s="1"/>
  <c r="U3611" i="1" s="1"/>
  <c r="U3612" i="1" s="1"/>
  <c r="U3613" i="1" s="1"/>
  <c r="U3614" i="1" s="1"/>
  <c r="U3615" i="1" s="1"/>
  <c r="U3616" i="1" s="1"/>
  <c r="U3617" i="1" s="1"/>
  <c r="U3618" i="1" s="1"/>
  <c r="U3619" i="1" s="1"/>
  <c r="U3620" i="1" s="1"/>
  <c r="U3621" i="1" s="1"/>
  <c r="U3622" i="1" s="1"/>
  <c r="U3623" i="1" s="1"/>
  <c r="U3624" i="1" s="1"/>
  <c r="U3625" i="1" s="1"/>
  <c r="U3626" i="1" s="1"/>
  <c r="U3627" i="1" s="1"/>
  <c r="U3628" i="1" s="1"/>
  <c r="U3629" i="1" s="1"/>
  <c r="U3630" i="1" s="1"/>
  <c r="U3631" i="1" s="1"/>
  <c r="U3632" i="1" s="1"/>
  <c r="U3633" i="1" s="1"/>
  <c r="U3634" i="1" s="1"/>
  <c r="U3635" i="1" s="1"/>
  <c r="U3636" i="1" s="1"/>
  <c r="U3637" i="1" s="1"/>
  <c r="U3638" i="1" s="1"/>
  <c r="U3639" i="1" s="1"/>
  <c r="U3640" i="1" s="1"/>
  <c r="U3641" i="1" s="1"/>
  <c r="U3642" i="1" s="1"/>
  <c r="U3643" i="1" s="1"/>
  <c r="U3644" i="1" s="1"/>
  <c r="U3645" i="1" s="1"/>
  <c r="U3646" i="1" s="1"/>
  <c r="U3647" i="1" s="1"/>
  <c r="U3648" i="1" s="1"/>
  <c r="U3649" i="1" s="1"/>
  <c r="U3650" i="1" s="1"/>
  <c r="U3651" i="1" s="1"/>
  <c r="U3652" i="1" s="1"/>
  <c r="U3653" i="1" s="1"/>
  <c r="U3654" i="1" s="1"/>
  <c r="U3655" i="1" s="1"/>
  <c r="U3656" i="1" s="1"/>
  <c r="U3657" i="1" s="1"/>
  <c r="U3658" i="1" s="1"/>
  <c r="U3659" i="1" s="1"/>
  <c r="U3660" i="1" s="1"/>
  <c r="U3661" i="1" s="1"/>
  <c r="U3662" i="1" s="1"/>
  <c r="U3663" i="1" s="1"/>
  <c r="U3664" i="1" s="1"/>
  <c r="U3665" i="1" s="1"/>
  <c r="U3666" i="1" s="1"/>
  <c r="U3667" i="1" s="1"/>
  <c r="U3668" i="1" s="1"/>
  <c r="U3669" i="1" s="1"/>
  <c r="U3670" i="1" s="1"/>
  <c r="U3671" i="1" s="1"/>
  <c r="U3672" i="1" s="1"/>
  <c r="U3673" i="1" s="1"/>
  <c r="U3674" i="1" s="1"/>
  <c r="U3675" i="1" s="1"/>
  <c r="U3676" i="1" s="1"/>
  <c r="U3677" i="1" s="1"/>
  <c r="U3678" i="1" s="1"/>
  <c r="U3679" i="1" s="1"/>
  <c r="U3680" i="1" s="1"/>
  <c r="U3681" i="1" s="1"/>
  <c r="U3682" i="1" s="1"/>
  <c r="U3683" i="1" s="1"/>
  <c r="U3684" i="1" s="1"/>
  <c r="U3685" i="1" s="1"/>
  <c r="U3686" i="1" s="1"/>
  <c r="U3687" i="1" s="1"/>
  <c r="U3688" i="1" s="1"/>
  <c r="U3689" i="1" s="1"/>
  <c r="U3690" i="1" s="1"/>
  <c r="U3691" i="1" s="1"/>
  <c r="U3692" i="1" s="1"/>
  <c r="U3693" i="1" s="1"/>
  <c r="U3694" i="1" s="1"/>
  <c r="U3695" i="1" s="1"/>
  <c r="U3696" i="1" s="1"/>
  <c r="U3697" i="1" s="1"/>
  <c r="U3698" i="1" s="1"/>
  <c r="U3699" i="1" s="1"/>
  <c r="U3700" i="1" s="1"/>
  <c r="U3701" i="1" s="1"/>
  <c r="U3702" i="1" s="1"/>
  <c r="U3703" i="1" s="1"/>
  <c r="U3704" i="1" s="1"/>
  <c r="U3705" i="1" s="1"/>
  <c r="U3706" i="1" s="1"/>
  <c r="U3707" i="1" s="1"/>
  <c r="U3708" i="1" s="1"/>
  <c r="U3709" i="1" s="1"/>
  <c r="U3710" i="1" s="1"/>
  <c r="U3711" i="1" s="1"/>
  <c r="U3712" i="1" s="1"/>
  <c r="U3713" i="1" s="1"/>
  <c r="U3714" i="1" s="1"/>
  <c r="U3715" i="1" s="1"/>
  <c r="U3716" i="1" s="1"/>
  <c r="U3717" i="1" s="1"/>
  <c r="U3718" i="1" s="1"/>
  <c r="U3719" i="1" s="1"/>
  <c r="U3720" i="1" s="1"/>
  <c r="U3721" i="1" s="1"/>
  <c r="U3722" i="1" s="1"/>
  <c r="U3723" i="1" s="1"/>
  <c r="U3724" i="1" s="1"/>
  <c r="U3725" i="1" s="1"/>
  <c r="U3726" i="1" s="1"/>
  <c r="U3727" i="1" s="1"/>
  <c r="U3728" i="1" s="1"/>
  <c r="U3729" i="1" s="1"/>
  <c r="U3730" i="1" s="1"/>
  <c r="U3731" i="1" s="1"/>
  <c r="U3732" i="1" s="1"/>
  <c r="U3733" i="1" s="1"/>
  <c r="U3734" i="1" s="1"/>
  <c r="U3735" i="1" s="1"/>
  <c r="U3736" i="1" s="1"/>
  <c r="U3737" i="1" s="1"/>
  <c r="U3738" i="1" s="1"/>
  <c r="U3739" i="1" s="1"/>
  <c r="U3740" i="1" s="1"/>
  <c r="U3741" i="1" s="1"/>
  <c r="U3742" i="1" s="1"/>
  <c r="U3743" i="1" s="1"/>
  <c r="U3744" i="1" s="1"/>
  <c r="U3745" i="1" s="1"/>
  <c r="U3746" i="1" s="1"/>
  <c r="U3747" i="1" s="1"/>
  <c r="U3748" i="1" s="1"/>
  <c r="U3749" i="1" s="1"/>
  <c r="U3750" i="1" s="1"/>
  <c r="U3751" i="1" s="1"/>
  <c r="U3752" i="1" s="1"/>
  <c r="U3753" i="1" s="1"/>
  <c r="U3754" i="1" s="1"/>
  <c r="U3755" i="1" s="1"/>
  <c r="U3756" i="1" s="1"/>
  <c r="U3757" i="1" s="1"/>
  <c r="U3758" i="1" s="1"/>
  <c r="U3759" i="1" s="1"/>
  <c r="U3760" i="1" s="1"/>
  <c r="U3761" i="1" s="1"/>
  <c r="U3762" i="1" s="1"/>
  <c r="U3763" i="1" s="1"/>
  <c r="U3764" i="1" s="1"/>
  <c r="U3765" i="1" s="1"/>
  <c r="U3766" i="1" s="1"/>
  <c r="U3767" i="1" s="1"/>
  <c r="U3768" i="1" s="1"/>
  <c r="U3769" i="1" s="1"/>
  <c r="U3770" i="1" s="1"/>
  <c r="U3771" i="1" s="1"/>
  <c r="U3772" i="1" s="1"/>
  <c r="U3773" i="1" s="1"/>
  <c r="U3774" i="1" s="1"/>
  <c r="U3775" i="1" s="1"/>
  <c r="U3776" i="1" s="1"/>
  <c r="U3777" i="1" s="1"/>
  <c r="U3778" i="1" s="1"/>
  <c r="U3779" i="1" s="1"/>
  <c r="U3780" i="1" s="1"/>
  <c r="U3781" i="1" s="1"/>
  <c r="U3782" i="1" s="1"/>
  <c r="U3783" i="1" s="1"/>
  <c r="U3784" i="1" s="1"/>
  <c r="U3785" i="1" s="1"/>
  <c r="U3786" i="1" s="1"/>
  <c r="U3787" i="1" s="1"/>
  <c r="U3788" i="1" s="1"/>
  <c r="U3789" i="1" s="1"/>
  <c r="U3790" i="1" s="1"/>
  <c r="U3791" i="1" s="1"/>
  <c r="U3792" i="1" s="1"/>
  <c r="U3793" i="1" s="1"/>
  <c r="U3794" i="1" s="1"/>
  <c r="U3795" i="1" s="1"/>
  <c r="U3796" i="1" s="1"/>
  <c r="U3797" i="1" s="1"/>
  <c r="U3798" i="1" s="1"/>
  <c r="U3799" i="1" s="1"/>
  <c r="U3800" i="1" s="1"/>
  <c r="U3801" i="1" s="1"/>
  <c r="U3802" i="1" s="1"/>
  <c r="U3803" i="1" s="1"/>
  <c r="U3804" i="1" s="1"/>
  <c r="U3805" i="1" s="1"/>
  <c r="U3806" i="1" s="1"/>
  <c r="U3807" i="1" s="1"/>
  <c r="U3808" i="1" s="1"/>
  <c r="U3809" i="1" s="1"/>
  <c r="U3810" i="1" s="1"/>
  <c r="U3811" i="1" s="1"/>
  <c r="U3812" i="1" s="1"/>
  <c r="U3813" i="1" s="1"/>
  <c r="U3814" i="1" s="1"/>
  <c r="U3815" i="1" s="1"/>
  <c r="U3816" i="1" s="1"/>
  <c r="U3817" i="1" s="1"/>
  <c r="U3818" i="1" s="1"/>
  <c r="U3819" i="1" s="1"/>
  <c r="U3820" i="1" s="1"/>
  <c r="U3821" i="1" s="1"/>
  <c r="U3822" i="1" s="1"/>
  <c r="U3823" i="1" s="1"/>
  <c r="U3824" i="1" s="1"/>
  <c r="U3825" i="1" s="1"/>
  <c r="U3826" i="1" s="1"/>
  <c r="U3827" i="1" s="1"/>
  <c r="U3828" i="1" s="1"/>
  <c r="U3829" i="1" s="1"/>
  <c r="U3830" i="1" s="1"/>
  <c r="U3831" i="1" s="1"/>
  <c r="U3832" i="1" s="1"/>
  <c r="U3833" i="1" s="1"/>
  <c r="U3834" i="1" s="1"/>
  <c r="U3835" i="1" s="1"/>
  <c r="U3836" i="1" s="1"/>
  <c r="U3837" i="1" s="1"/>
  <c r="U3838" i="1" s="1"/>
  <c r="U3839" i="1" s="1"/>
  <c r="U3840" i="1" s="1"/>
  <c r="U3841" i="1" s="1"/>
  <c r="U3842" i="1" s="1"/>
  <c r="U3843" i="1" s="1"/>
  <c r="U3844" i="1" s="1"/>
  <c r="U3845" i="1" s="1"/>
  <c r="U3846" i="1" s="1"/>
  <c r="U3847" i="1" s="1"/>
  <c r="U3848" i="1" s="1"/>
  <c r="U3849" i="1" s="1"/>
  <c r="U3850" i="1" s="1"/>
  <c r="U3851" i="1" s="1"/>
  <c r="U3852" i="1" s="1"/>
  <c r="U3853" i="1" s="1"/>
  <c r="U3854" i="1" s="1"/>
  <c r="U3855" i="1" s="1"/>
  <c r="U3856" i="1" s="1"/>
  <c r="U3857" i="1" s="1"/>
  <c r="U3858" i="1" s="1"/>
  <c r="U3859" i="1" s="1"/>
  <c r="U3860" i="1" s="1"/>
  <c r="U3861" i="1" s="1"/>
  <c r="U3862" i="1" s="1"/>
  <c r="U3863" i="1" s="1"/>
  <c r="U3864" i="1" s="1"/>
  <c r="U3865" i="1" s="1"/>
  <c r="U3866" i="1" s="1"/>
  <c r="U3867" i="1" s="1"/>
  <c r="U3868" i="1" s="1"/>
  <c r="U3869" i="1" s="1"/>
  <c r="U3870" i="1" s="1"/>
  <c r="U3871" i="1" s="1"/>
  <c r="U3872" i="1" s="1"/>
  <c r="U3873" i="1" s="1"/>
  <c r="U3874" i="1" s="1"/>
  <c r="U3875" i="1" s="1"/>
  <c r="U3876" i="1" s="1"/>
  <c r="U3877" i="1" s="1"/>
  <c r="U3878" i="1" s="1"/>
  <c r="U3879" i="1" s="1"/>
  <c r="U3880" i="1" s="1"/>
  <c r="U3881" i="1" s="1"/>
  <c r="U3882" i="1" s="1"/>
  <c r="U3883" i="1" s="1"/>
  <c r="U3884" i="1" s="1"/>
  <c r="U3885" i="1" s="1"/>
  <c r="U3886" i="1" s="1"/>
  <c r="U3887" i="1" s="1"/>
  <c r="U3888" i="1" s="1"/>
  <c r="U3889" i="1" s="1"/>
  <c r="U3890" i="1" s="1"/>
  <c r="U3891" i="1" s="1"/>
  <c r="U3892" i="1" s="1"/>
  <c r="U3893" i="1" s="1"/>
  <c r="U3894" i="1" s="1"/>
  <c r="U3895" i="1" s="1"/>
  <c r="U3896" i="1" s="1"/>
  <c r="U3897" i="1" s="1"/>
  <c r="U3898" i="1" s="1"/>
  <c r="U3899" i="1" s="1"/>
  <c r="U3900" i="1" s="1"/>
  <c r="U3901" i="1" s="1"/>
  <c r="U3902" i="1" s="1"/>
  <c r="U3903" i="1" s="1"/>
  <c r="U3904" i="1" s="1"/>
  <c r="U3905" i="1" s="1"/>
  <c r="U3906" i="1" s="1"/>
  <c r="U3907" i="1" s="1"/>
  <c r="U3908" i="1" s="1"/>
  <c r="U3909" i="1" s="1"/>
  <c r="U3910" i="1" s="1"/>
  <c r="U3911" i="1" s="1"/>
  <c r="U3912" i="1" s="1"/>
  <c r="U3913" i="1" s="1"/>
  <c r="U3914" i="1" s="1"/>
  <c r="U3915" i="1" s="1"/>
  <c r="U3916" i="1" s="1"/>
  <c r="U3917" i="1" s="1"/>
  <c r="U3918" i="1" s="1"/>
  <c r="U3919" i="1" s="1"/>
  <c r="U3920" i="1" s="1"/>
  <c r="U3921" i="1" s="1"/>
  <c r="U3922" i="1" s="1"/>
  <c r="U3923" i="1" s="1"/>
  <c r="U3924" i="1" s="1"/>
  <c r="U3925" i="1" s="1"/>
  <c r="U3926" i="1" s="1"/>
  <c r="U3927" i="1" s="1"/>
  <c r="U3928" i="1" s="1"/>
  <c r="U3929" i="1" s="1"/>
  <c r="U3930" i="1" s="1"/>
  <c r="U3931" i="1" s="1"/>
  <c r="U3932" i="1" s="1"/>
  <c r="U3933" i="1" s="1"/>
  <c r="U3934" i="1" s="1"/>
  <c r="U3935" i="1" s="1"/>
  <c r="U3936" i="1" s="1"/>
  <c r="U3937" i="1" s="1"/>
  <c r="U3938" i="1" s="1"/>
  <c r="U3939" i="1" s="1"/>
  <c r="U3940" i="1" s="1"/>
  <c r="U3941" i="1" s="1"/>
  <c r="U3942" i="1" s="1"/>
  <c r="U3943" i="1" s="1"/>
  <c r="U3944" i="1" s="1"/>
  <c r="U3945" i="1" s="1"/>
  <c r="U3946" i="1" s="1"/>
  <c r="U3947" i="1" s="1"/>
  <c r="U3948" i="1" s="1"/>
  <c r="U3949" i="1" s="1"/>
  <c r="U3950" i="1" s="1"/>
  <c r="U3951" i="1" s="1"/>
  <c r="U3952" i="1" s="1"/>
  <c r="U3953" i="1" s="1"/>
  <c r="U3954" i="1" s="1"/>
  <c r="U3955" i="1" s="1"/>
  <c r="U3956" i="1" s="1"/>
  <c r="U3957" i="1" s="1"/>
  <c r="U3958" i="1" s="1"/>
  <c r="U3959" i="1" s="1"/>
  <c r="U3960" i="1" s="1"/>
  <c r="U3961" i="1" s="1"/>
  <c r="U3962" i="1" s="1"/>
  <c r="U3963" i="1" s="1"/>
  <c r="U3964" i="1" s="1"/>
  <c r="U3965" i="1" s="1"/>
  <c r="U3966" i="1" s="1"/>
  <c r="U3967" i="1" s="1"/>
  <c r="U3968" i="1" s="1"/>
  <c r="U3969" i="1" s="1"/>
  <c r="U3970" i="1" s="1"/>
  <c r="U3971" i="1" s="1"/>
  <c r="U3972" i="1" s="1"/>
  <c r="U3973" i="1" s="1"/>
  <c r="U3974" i="1" s="1"/>
  <c r="U3975" i="1" s="1"/>
  <c r="U3976" i="1" s="1"/>
  <c r="U3977" i="1" s="1"/>
  <c r="U3978" i="1" s="1"/>
  <c r="U3979" i="1" s="1"/>
  <c r="U3980" i="1" s="1"/>
  <c r="U3981" i="1" s="1"/>
  <c r="U3982" i="1" s="1"/>
  <c r="U3983" i="1" s="1"/>
  <c r="U3984" i="1" s="1"/>
  <c r="U3985" i="1" s="1"/>
  <c r="U3986" i="1" s="1"/>
  <c r="U3987" i="1" s="1"/>
  <c r="U3988" i="1" s="1"/>
  <c r="U3989" i="1" s="1"/>
  <c r="U3990" i="1" s="1"/>
  <c r="U3991" i="1" s="1"/>
  <c r="U3992" i="1" s="1"/>
  <c r="U3993" i="1" s="1"/>
  <c r="U3994" i="1" s="1"/>
  <c r="U3995" i="1" s="1"/>
  <c r="U3996" i="1" s="1"/>
  <c r="U3997" i="1" s="1"/>
  <c r="U3998" i="1" s="1"/>
  <c r="U3999" i="1" s="1"/>
  <c r="U4000" i="1" s="1"/>
  <c r="O43" i="8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AV2" i="8"/>
  <c r="AW2" i="8" s="1"/>
  <c r="AX2" i="8" s="1"/>
  <c r="AE3" i="1"/>
  <c r="AN3" i="1" s="1"/>
  <c r="AV5" i="1"/>
  <c r="V4" i="1"/>
  <c r="W4" i="1"/>
  <c r="BC5" i="1"/>
  <c r="BC4" i="1"/>
  <c r="AV4" i="1"/>
  <c r="BC3" i="1"/>
  <c r="AV3" i="8"/>
  <c r="AE1824" i="1" l="1"/>
  <c r="AN1411" i="1"/>
  <c r="AE1412" i="1"/>
  <c r="AE4" i="1"/>
  <c r="AE5" i="1" s="1"/>
  <c r="AE6" i="1" s="1"/>
  <c r="O109" i="8"/>
  <c r="V5" i="1"/>
  <c r="W5" i="1"/>
  <c r="AW3" i="8"/>
  <c r="AX3" i="8" s="1"/>
  <c r="AJ3" i="8"/>
  <c r="AK3" i="8"/>
  <c r="AK2" i="8"/>
  <c r="AJ2" i="8"/>
  <c r="AL3" i="8"/>
  <c r="AM3" i="8"/>
  <c r="AM2" i="8"/>
  <c r="AL2" i="8"/>
  <c r="AG3" i="8"/>
  <c r="AH3" i="8"/>
  <c r="AH2" i="8"/>
  <c r="AV3" i="1"/>
  <c r="AN4" i="1" l="1"/>
  <c r="AE1825" i="1"/>
  <c r="AN1412" i="1"/>
  <c r="AE1413" i="1"/>
  <c r="AE7" i="1"/>
  <c r="AN6" i="1"/>
  <c r="O110" i="8"/>
  <c r="AN5" i="1"/>
  <c r="AN2" i="8"/>
  <c r="AP2" i="8" s="1"/>
  <c r="AN3" i="8"/>
  <c r="AP3" i="8" s="1"/>
  <c r="AI2" i="8"/>
  <c r="AY2" i="8" s="1"/>
  <c r="AI3" i="8"/>
  <c r="AY3" i="8" s="1"/>
  <c r="AS2" i="8"/>
  <c r="AO2" i="8"/>
  <c r="AQ2" i="8" s="1"/>
  <c r="AO3" i="8"/>
  <c r="AQ3" i="8" s="1"/>
  <c r="AE1826" i="1" l="1"/>
  <c r="AN1413" i="1"/>
  <c r="AE1414" i="1"/>
  <c r="AE8" i="1"/>
  <c r="AE9" i="1" s="1"/>
  <c r="AN9" i="1" s="1"/>
  <c r="AN7" i="1"/>
  <c r="O111" i="8"/>
  <c r="AR2" i="8"/>
  <c r="L3" i="4"/>
  <c r="Q3" i="4"/>
  <c r="R2" i="4"/>
  <c r="Q2" i="4"/>
  <c r="L2" i="4"/>
  <c r="AE1827" i="1" l="1"/>
  <c r="AE1415" i="1"/>
  <c r="AN1414" i="1"/>
  <c r="AN8" i="1"/>
  <c r="O112" i="8"/>
  <c r="AE1828" i="1" l="1"/>
  <c r="AE1416" i="1"/>
  <c r="AN1415" i="1"/>
  <c r="O113" i="8"/>
  <c r="AE1829" i="1" l="1"/>
  <c r="AN1416" i="1"/>
  <c r="AE1417" i="1"/>
  <c r="O114" i="8"/>
  <c r="AE1830" i="1" l="1"/>
  <c r="AE1418" i="1"/>
  <c r="AN1417" i="1"/>
  <c r="O115" i="8"/>
  <c r="AE1831" i="1" l="1"/>
  <c r="AN1418" i="1"/>
  <c r="AE1419" i="1"/>
  <c r="O116" i="8"/>
  <c r="AE1832" i="1" l="1"/>
  <c r="AN1419" i="1"/>
  <c r="AE1420" i="1"/>
  <c r="O117" i="8"/>
  <c r="AE1833" i="1" l="1"/>
  <c r="AN1420" i="1"/>
  <c r="AE1421" i="1"/>
  <c r="O118" i="8"/>
  <c r="AE1834" i="1" l="1"/>
  <c r="AN1421" i="1"/>
  <c r="AE1422" i="1"/>
  <c r="O119" i="8"/>
  <c r="AE1835" i="1" l="1"/>
  <c r="AN1422" i="1"/>
  <c r="AE1423" i="1"/>
  <c r="O120" i="8"/>
  <c r="AE1836" i="1" l="1"/>
  <c r="AE1424" i="1"/>
  <c r="AN1423" i="1"/>
  <c r="O121" i="8"/>
  <c r="AE1837" i="1" l="1"/>
  <c r="AN1424" i="1"/>
  <c r="AE1425" i="1"/>
  <c r="O122" i="8"/>
  <c r="AE1838" i="1" l="1"/>
  <c r="AN1425" i="1"/>
  <c r="AE1426" i="1"/>
  <c r="O123" i="8"/>
  <c r="AE1839" i="1" l="1"/>
  <c r="AE1427" i="1"/>
  <c r="AN1426" i="1"/>
  <c r="O124" i="8"/>
  <c r="AE1840" i="1" l="1"/>
  <c r="AN1427" i="1"/>
  <c r="AE1428" i="1"/>
  <c r="O125" i="8"/>
  <c r="AE1841" i="1" l="1"/>
  <c r="AN1428" i="1"/>
  <c r="AE1429" i="1"/>
  <c r="O126" i="8"/>
  <c r="AE1842" i="1" l="1"/>
  <c r="AN1429" i="1"/>
  <c r="AE1430" i="1"/>
  <c r="O127" i="8"/>
  <c r="AE1843" i="1" l="1"/>
  <c r="AE1431" i="1"/>
  <c r="AN1430" i="1"/>
  <c r="O128" i="8"/>
  <c r="AE1844" i="1" l="1"/>
  <c r="AN1431" i="1"/>
  <c r="AE1432" i="1"/>
  <c r="O129" i="8"/>
  <c r="AE1845" i="1" l="1"/>
  <c r="AN1432" i="1"/>
  <c r="AE1433" i="1"/>
  <c r="O130" i="8"/>
  <c r="AE1846" i="1" l="1"/>
  <c r="AN1433" i="1"/>
  <c r="AE1434" i="1"/>
  <c r="O131" i="8"/>
  <c r="AE1847" i="1" l="1"/>
  <c r="AN1434" i="1"/>
  <c r="AE1435" i="1"/>
  <c r="O132" i="8"/>
  <c r="AE1848" i="1" l="1"/>
  <c r="AN1435" i="1"/>
  <c r="AE1436" i="1"/>
  <c r="O133" i="8"/>
  <c r="AE1849" i="1" l="1"/>
  <c r="AN1436" i="1"/>
  <c r="AE1437" i="1"/>
  <c r="O134" i="8"/>
  <c r="AE1850" i="1" l="1"/>
  <c r="AN1437" i="1"/>
  <c r="AE1438" i="1"/>
  <c r="O135" i="8"/>
  <c r="AE1851" i="1" l="1"/>
  <c r="AN1438" i="1"/>
  <c r="AE1439" i="1"/>
  <c r="O136" i="8"/>
  <c r="AE1852" i="1" l="1"/>
  <c r="AN1439" i="1"/>
  <c r="AE1440" i="1"/>
  <c r="O137" i="8"/>
  <c r="AE1853" i="1" l="1"/>
  <c r="AN1440" i="1"/>
  <c r="AE1441" i="1"/>
  <c r="O138" i="8"/>
  <c r="AE1854" i="1" l="1"/>
  <c r="AE1442" i="1"/>
  <c r="AN1441" i="1"/>
  <c r="O139" i="8"/>
  <c r="AE1855" i="1" l="1"/>
  <c r="AN1442" i="1"/>
  <c r="AE1443" i="1"/>
  <c r="O140" i="8"/>
  <c r="AE1856" i="1" l="1"/>
  <c r="AE1444" i="1"/>
  <c r="AN1443" i="1"/>
  <c r="O141" i="8"/>
  <c r="AE1857" i="1" l="1"/>
  <c r="AN1444" i="1"/>
  <c r="AE1445" i="1"/>
  <c r="O142" i="8"/>
  <c r="AE1858" i="1" l="1"/>
  <c r="AE1446" i="1"/>
  <c r="AN1445" i="1"/>
  <c r="O143" i="8"/>
  <c r="AE1859" i="1" l="1"/>
  <c r="AN1446" i="1"/>
  <c r="AE1447" i="1"/>
  <c r="O144" i="8"/>
  <c r="AE1860" i="1" l="1"/>
  <c r="AN1447" i="1"/>
  <c r="AE1448" i="1"/>
  <c r="O145" i="8"/>
  <c r="AE1861" i="1" l="1"/>
  <c r="AN1448" i="1"/>
  <c r="AE1449" i="1"/>
  <c r="O146" i="8"/>
  <c r="AE1862" i="1" l="1"/>
  <c r="AN1449" i="1"/>
  <c r="AE1450" i="1"/>
  <c r="O147" i="8"/>
  <c r="AE1863" i="1" l="1"/>
  <c r="AN1450" i="1"/>
  <c r="AE1451" i="1"/>
  <c r="O148" i="8"/>
  <c r="AE1864" i="1" l="1"/>
  <c r="AN1451" i="1"/>
  <c r="AE1452" i="1"/>
  <c r="O149" i="8"/>
  <c r="AE1865" i="1" l="1"/>
  <c r="AN1452" i="1"/>
  <c r="AE1453" i="1"/>
  <c r="O150" i="8"/>
  <c r="AE1866" i="1" l="1"/>
  <c r="AN1453" i="1"/>
  <c r="AE1454" i="1"/>
  <c r="O151" i="8"/>
  <c r="AE1867" i="1" l="1"/>
  <c r="AN1454" i="1"/>
  <c r="AE1455" i="1"/>
  <c r="O152" i="8"/>
  <c r="AE1868" i="1" l="1"/>
  <c r="AN1455" i="1"/>
  <c r="AE1456" i="1"/>
  <c r="O153" i="8"/>
  <c r="AE1869" i="1" l="1"/>
  <c r="AN1456" i="1"/>
  <c r="AE1457" i="1"/>
  <c r="O154" i="8"/>
  <c r="AE1870" i="1" l="1"/>
  <c r="AN1457" i="1"/>
  <c r="AE1458" i="1"/>
  <c r="O155" i="8"/>
  <c r="AE1871" i="1" l="1"/>
  <c r="AN1458" i="1"/>
  <c r="AE1459" i="1"/>
  <c r="O156" i="8"/>
  <c r="AE1872" i="1" l="1"/>
  <c r="AN1459" i="1"/>
  <c r="AE1460" i="1"/>
  <c r="O157" i="8"/>
  <c r="AE1873" i="1" l="1"/>
  <c r="AN1460" i="1"/>
  <c r="AE1461" i="1"/>
  <c r="O158" i="8"/>
  <c r="AE1874" i="1" l="1"/>
  <c r="AE1462" i="1"/>
  <c r="AN1461" i="1"/>
  <c r="O159" i="8"/>
  <c r="AE1875" i="1" l="1"/>
  <c r="AN1462" i="1"/>
  <c r="AE1463" i="1"/>
  <c r="O160" i="8"/>
  <c r="AE1876" i="1" l="1"/>
  <c r="AN1463" i="1"/>
  <c r="AE1464" i="1"/>
  <c r="O161" i="8"/>
  <c r="AE1877" i="1" l="1"/>
  <c r="AN1464" i="1"/>
  <c r="AE1465" i="1"/>
  <c r="O162" i="8"/>
  <c r="AE1878" i="1" l="1"/>
  <c r="AE1466" i="1"/>
  <c r="AN1465" i="1"/>
  <c r="O163" i="8"/>
  <c r="AE1879" i="1" l="1"/>
  <c r="AE1467" i="1"/>
  <c r="AN1466" i="1"/>
  <c r="O164" i="8"/>
  <c r="AE1880" i="1" l="1"/>
  <c r="AN1467" i="1"/>
  <c r="AE1468" i="1"/>
  <c r="O165" i="8"/>
  <c r="AE1881" i="1" l="1"/>
  <c r="AN1468" i="1"/>
  <c r="AE1469" i="1"/>
  <c r="O166" i="8"/>
  <c r="AE1882" i="1" l="1"/>
  <c r="AN1469" i="1"/>
  <c r="AE1470" i="1"/>
  <c r="O167" i="8"/>
  <c r="AE1883" i="1" l="1"/>
  <c r="AE1471" i="1"/>
  <c r="AN1470" i="1"/>
  <c r="O168" i="8"/>
  <c r="AE1884" i="1" l="1"/>
  <c r="AN1471" i="1"/>
  <c r="AE1472" i="1"/>
  <c r="O169" i="8"/>
  <c r="AE1885" i="1" l="1"/>
  <c r="AN1472" i="1"/>
  <c r="AE1473" i="1"/>
  <c r="O170" i="8"/>
  <c r="AE1886" i="1" l="1"/>
  <c r="AN1473" i="1"/>
  <c r="AE1474" i="1"/>
  <c r="O171" i="8"/>
  <c r="AE1887" i="1" l="1"/>
  <c r="AE1475" i="1"/>
  <c r="AN1474" i="1"/>
  <c r="O172" i="8"/>
  <c r="AE1888" i="1" l="1"/>
  <c r="AN1475" i="1"/>
  <c r="AE1476" i="1"/>
  <c r="O173" i="8"/>
  <c r="AE1889" i="1" l="1"/>
  <c r="AN1476" i="1"/>
  <c r="AE1477" i="1"/>
  <c r="O174" i="8"/>
  <c r="AE1890" i="1" l="1"/>
  <c r="AN1477" i="1"/>
  <c r="AE1478" i="1"/>
  <c r="O175" i="8"/>
  <c r="AE1891" i="1" l="1"/>
  <c r="AN1478" i="1"/>
  <c r="AE1479" i="1"/>
  <c r="O176" i="8"/>
  <c r="AE1892" i="1" l="1"/>
  <c r="AN1479" i="1"/>
  <c r="AE1480" i="1"/>
  <c r="O177" i="8"/>
  <c r="AE1893" i="1" l="1"/>
  <c r="AN1480" i="1"/>
  <c r="AE1481" i="1"/>
  <c r="O178" i="8"/>
  <c r="AE1894" i="1" l="1"/>
  <c r="AN1481" i="1"/>
  <c r="AE1482" i="1"/>
  <c r="O179" i="8"/>
  <c r="AE1895" i="1" l="1"/>
  <c r="AN1482" i="1"/>
  <c r="AE1483" i="1"/>
  <c r="O180" i="8"/>
  <c r="AE1896" i="1" l="1"/>
  <c r="AN1483" i="1"/>
  <c r="AE1484" i="1"/>
  <c r="O181" i="8"/>
  <c r="AW3" i="1"/>
  <c r="AE1897" i="1" l="1"/>
  <c r="AN1484" i="1"/>
  <c r="AE1485" i="1"/>
  <c r="O182" i="8"/>
  <c r="BD3" i="1"/>
  <c r="BE3" i="1" s="1"/>
  <c r="BF3" i="1" s="1"/>
  <c r="AX3" i="1"/>
  <c r="AY3" i="1" a="1"/>
  <c r="AY3" i="1" s="1"/>
  <c r="AE1898" i="1" l="1"/>
  <c r="AN1485" i="1"/>
  <c r="AE1486" i="1"/>
  <c r="O183" i="8"/>
  <c r="AE1899" i="1" l="1"/>
  <c r="AN1486" i="1"/>
  <c r="AE1487" i="1"/>
  <c r="O184" i="8"/>
  <c r="AE1900" i="1" l="1"/>
  <c r="AE1488" i="1"/>
  <c r="AN1487" i="1"/>
  <c r="O185" i="8"/>
  <c r="AE1901" i="1" l="1"/>
  <c r="AN1488" i="1"/>
  <c r="AE1489" i="1"/>
  <c r="O186" i="8"/>
  <c r="AE1902" i="1" l="1"/>
  <c r="AN1489" i="1"/>
  <c r="AE1490" i="1"/>
  <c r="O187" i="8"/>
  <c r="AE1903" i="1" l="1"/>
  <c r="AN1490" i="1"/>
  <c r="AE1491" i="1"/>
  <c r="O188" i="8"/>
  <c r="AE1904" i="1" l="1"/>
  <c r="AN1491" i="1"/>
  <c r="AE1492" i="1"/>
  <c r="O189" i="8"/>
  <c r="AE1905" i="1" l="1"/>
  <c r="AN1492" i="1"/>
  <c r="AE1493" i="1"/>
  <c r="O190" i="8"/>
  <c r="AE1906" i="1" l="1"/>
  <c r="AE1494" i="1"/>
  <c r="AN1493" i="1"/>
  <c r="O191" i="8"/>
  <c r="AE1907" i="1" l="1"/>
  <c r="AE1495" i="1"/>
  <c r="AN1494" i="1"/>
  <c r="O192" i="8"/>
  <c r="AE1908" i="1" l="1"/>
  <c r="AN1495" i="1"/>
  <c r="AE1496" i="1"/>
  <c r="O193" i="8"/>
  <c r="AE1909" i="1" l="1"/>
  <c r="AN1496" i="1"/>
  <c r="AE1497" i="1"/>
  <c r="O194" i="8"/>
  <c r="AE1910" i="1" l="1"/>
  <c r="AN1497" i="1"/>
  <c r="AE1498" i="1"/>
  <c r="O195" i="8"/>
  <c r="AE1911" i="1" l="1"/>
  <c r="AE1499" i="1"/>
  <c r="AN1498" i="1"/>
  <c r="O196" i="8"/>
  <c r="AE1912" i="1" l="1"/>
  <c r="AN1499" i="1"/>
  <c r="AE1500" i="1"/>
  <c r="O197" i="8"/>
  <c r="AE1913" i="1" l="1"/>
  <c r="AN1500" i="1"/>
  <c r="AE1501" i="1"/>
  <c r="O198" i="8"/>
  <c r="AE1914" i="1" l="1"/>
  <c r="AN1501" i="1"/>
  <c r="AE1502" i="1"/>
  <c r="O199" i="8"/>
  <c r="AE1915" i="1" l="1"/>
  <c r="AN1502" i="1"/>
  <c r="AE1503" i="1"/>
  <c r="W2" i="8"/>
  <c r="AE1916" i="1" l="1"/>
  <c r="AE1504" i="1"/>
  <c r="AN1503" i="1"/>
  <c r="AE1917" i="1" l="1"/>
  <c r="AW4" i="1"/>
  <c r="AN1504" i="1"/>
  <c r="AE1505" i="1"/>
  <c r="BD4" i="1"/>
  <c r="BE4" i="1" s="1"/>
  <c r="BF4" i="1" s="1"/>
  <c r="AX4" i="1" l="1"/>
  <c r="AY4" i="1" a="1"/>
  <c r="AY4" i="1" s="1"/>
  <c r="AE1918" i="1"/>
  <c r="AN1505" i="1"/>
  <c r="AE1506" i="1"/>
  <c r="AE1919" i="1" l="1"/>
  <c r="AN1506" i="1"/>
  <c r="AE1507" i="1"/>
  <c r="AE1920" i="1" l="1"/>
  <c r="AN1507" i="1"/>
  <c r="AE1508" i="1"/>
  <c r="AE1921" i="1" l="1"/>
  <c r="AN1508" i="1"/>
  <c r="AE1509" i="1"/>
  <c r="AE1922" i="1" l="1"/>
  <c r="AE1510" i="1"/>
  <c r="AN1509" i="1"/>
  <c r="AE1923" i="1" l="1"/>
  <c r="AN1510" i="1"/>
  <c r="AE1511" i="1"/>
  <c r="AE1924" i="1" l="1"/>
  <c r="AN1511" i="1"/>
  <c r="AE1512" i="1"/>
  <c r="AE1925" i="1" l="1"/>
  <c r="AN1512" i="1"/>
  <c r="AE1513" i="1"/>
  <c r="AE1926" i="1" l="1"/>
  <c r="AN1513" i="1"/>
  <c r="AE1514" i="1"/>
  <c r="AE1927" i="1" l="1"/>
  <c r="AE1515" i="1"/>
  <c r="AN1514" i="1"/>
  <c r="AE1928" i="1" l="1"/>
  <c r="AN1515" i="1"/>
  <c r="AE1516" i="1"/>
  <c r="AE1929" i="1" l="1"/>
  <c r="AN1516" i="1"/>
  <c r="AE1517" i="1"/>
  <c r="AE1930" i="1" l="1"/>
  <c r="AN1517" i="1"/>
  <c r="AE1518" i="1"/>
  <c r="AE1931" i="1" l="1"/>
  <c r="AN1518" i="1"/>
  <c r="AE1519" i="1"/>
  <c r="AE1932" i="1" l="1"/>
  <c r="AE1520" i="1"/>
  <c r="AN1519" i="1"/>
  <c r="AE1933" i="1" l="1"/>
  <c r="AN1520" i="1"/>
  <c r="AE1521" i="1"/>
  <c r="AE1934" i="1" l="1"/>
  <c r="AN1521" i="1"/>
  <c r="AE1522" i="1"/>
  <c r="AE1935" i="1" l="1"/>
  <c r="AN1522" i="1"/>
  <c r="AE1523" i="1"/>
  <c r="AE1936" i="1" l="1"/>
  <c r="AN1523" i="1"/>
  <c r="AE1524" i="1"/>
  <c r="AE1937" i="1" l="1"/>
  <c r="AN1524" i="1"/>
  <c r="AE1525" i="1"/>
  <c r="AE1938" i="1" l="1"/>
  <c r="AE1526" i="1"/>
  <c r="AN1525" i="1"/>
  <c r="AE1939" i="1" l="1"/>
  <c r="AN1526" i="1"/>
  <c r="AE1527" i="1"/>
  <c r="AE1940" i="1" l="1"/>
  <c r="AN1527" i="1"/>
  <c r="AE1528" i="1"/>
  <c r="AE1941" i="1" l="1"/>
  <c r="AN1528" i="1"/>
  <c r="AE1529" i="1"/>
  <c r="AE1942" i="1" l="1"/>
  <c r="AN1529" i="1"/>
  <c r="AE1530" i="1"/>
  <c r="AE1943" i="1" l="1"/>
  <c r="AE1531" i="1"/>
  <c r="AN1530" i="1"/>
  <c r="AE1944" i="1" l="1"/>
  <c r="AN1531" i="1"/>
  <c r="AE1532" i="1"/>
  <c r="AE1945" i="1" l="1"/>
  <c r="AN1532" i="1"/>
  <c r="AE1533" i="1"/>
  <c r="AE1946" i="1" l="1"/>
  <c r="AN1533" i="1"/>
  <c r="AE1534" i="1"/>
  <c r="AE1947" i="1" l="1"/>
  <c r="AN1534" i="1"/>
  <c r="AE1535" i="1"/>
  <c r="AE1948" i="1" l="1"/>
  <c r="AE1536" i="1"/>
  <c r="AN1535" i="1"/>
  <c r="AE1949" i="1" l="1"/>
  <c r="AN1536" i="1"/>
  <c r="AE1537" i="1"/>
  <c r="AE1950" i="1" l="1"/>
  <c r="AE1538" i="1"/>
  <c r="AN1537" i="1"/>
  <c r="AE1951" i="1" l="1"/>
  <c r="AN1538" i="1"/>
  <c r="AE1539" i="1"/>
  <c r="AE1952" i="1" l="1"/>
  <c r="AN1539" i="1"/>
  <c r="AE1540" i="1"/>
  <c r="AE1953" i="1" l="1"/>
  <c r="AN1540" i="1"/>
  <c r="AE1541" i="1"/>
  <c r="AE1954" i="1" l="1"/>
  <c r="AE1542" i="1"/>
  <c r="AN1541" i="1"/>
  <c r="AE1955" i="1" l="1"/>
  <c r="AN1542" i="1"/>
  <c r="AE1543" i="1"/>
  <c r="AE1956" i="1" l="1"/>
  <c r="AN1543" i="1"/>
  <c r="AE1544" i="1"/>
  <c r="AE1957" i="1" l="1"/>
  <c r="AN1544" i="1"/>
  <c r="AE1545" i="1"/>
  <c r="AE1958" i="1" l="1"/>
  <c r="AN1545" i="1"/>
  <c r="AE1546" i="1"/>
  <c r="AE1959" i="1" l="1"/>
  <c r="AE1547" i="1"/>
  <c r="AN1546" i="1"/>
  <c r="AE1960" i="1" l="1"/>
  <c r="AE1548" i="1"/>
  <c r="AN1547" i="1"/>
  <c r="AE1961" i="1" l="1"/>
  <c r="AN1548" i="1"/>
  <c r="AE1549" i="1"/>
  <c r="AE1962" i="1" l="1"/>
  <c r="AN1549" i="1"/>
  <c r="AE1550" i="1"/>
  <c r="AE1963" i="1" l="1"/>
  <c r="AN1550" i="1"/>
  <c r="AE1551" i="1"/>
  <c r="AE1964" i="1" l="1"/>
  <c r="AN1551" i="1"/>
  <c r="AE1552" i="1"/>
  <c r="AE1965" i="1" l="1"/>
  <c r="AN1552" i="1"/>
  <c r="AE1553" i="1"/>
  <c r="AE1966" i="1" l="1"/>
  <c r="AN1553" i="1"/>
  <c r="AE1554" i="1"/>
  <c r="AE1967" i="1" l="1"/>
  <c r="AN1554" i="1"/>
  <c r="AE1555" i="1"/>
  <c r="AE1968" i="1" l="1"/>
  <c r="AN1555" i="1"/>
  <c r="AE1556" i="1"/>
  <c r="AE1969" i="1" l="1"/>
  <c r="AN1556" i="1"/>
  <c r="AE1557" i="1"/>
  <c r="AE1970" i="1" l="1"/>
  <c r="AN1557" i="1"/>
  <c r="AE1558" i="1"/>
  <c r="AE1971" i="1" l="1"/>
  <c r="AE1559" i="1"/>
  <c r="AN1558" i="1"/>
  <c r="AE1972" i="1" l="1"/>
  <c r="AE1560" i="1"/>
  <c r="AN1559" i="1"/>
  <c r="AE1973" i="1" l="1"/>
  <c r="AN1560" i="1"/>
  <c r="AE1561" i="1"/>
  <c r="AE1974" i="1" l="1"/>
  <c r="AE1562" i="1"/>
  <c r="AN1561" i="1"/>
  <c r="AE1975" i="1" l="1"/>
  <c r="AN1562" i="1"/>
  <c r="AE1563" i="1"/>
  <c r="AE1976" i="1" l="1"/>
  <c r="AN1563" i="1"/>
  <c r="AE1564" i="1"/>
  <c r="AE1977" i="1" l="1"/>
  <c r="AN1564" i="1"/>
  <c r="AE1565" i="1"/>
  <c r="AE1978" i="1" l="1"/>
  <c r="AN1565" i="1"/>
  <c r="AE1566" i="1"/>
  <c r="AE1979" i="1" l="1"/>
  <c r="AN1566" i="1"/>
  <c r="AE1567" i="1"/>
  <c r="AE1980" i="1" l="1"/>
  <c r="AN1567" i="1"/>
  <c r="AE1568" i="1"/>
  <c r="AE1981" i="1" l="1"/>
  <c r="AN1568" i="1"/>
  <c r="AE1569" i="1"/>
  <c r="AE1982" i="1" l="1"/>
  <c r="AN1569" i="1"/>
  <c r="AE1570" i="1"/>
  <c r="AE1983" i="1" l="1"/>
  <c r="AE1571" i="1"/>
  <c r="AN1570" i="1"/>
  <c r="AE1984" i="1" l="1"/>
  <c r="AN1571" i="1"/>
  <c r="AE1572" i="1"/>
  <c r="AE1985" i="1" l="1"/>
  <c r="AN1572" i="1"/>
  <c r="AE1573" i="1"/>
  <c r="AE1986" i="1" l="1"/>
  <c r="AE1574" i="1"/>
  <c r="AN1573" i="1"/>
  <c r="AE1987" i="1" l="1"/>
  <c r="AE1575" i="1"/>
  <c r="AN1574" i="1"/>
  <c r="AE1988" i="1" l="1"/>
  <c r="AN1575" i="1"/>
  <c r="AE1576" i="1"/>
  <c r="AE1989" i="1" l="1"/>
  <c r="AN1576" i="1"/>
  <c r="AE1577" i="1"/>
  <c r="AE1990" i="1" l="1"/>
  <c r="AE1578" i="1"/>
  <c r="AN1577" i="1"/>
  <c r="AE1991" i="1" l="1"/>
  <c r="AN1578" i="1"/>
  <c r="AE1579" i="1"/>
  <c r="AE1992" i="1" l="1"/>
  <c r="AN1579" i="1"/>
  <c r="AE1580" i="1"/>
  <c r="AE1993" i="1" l="1"/>
  <c r="AN1580" i="1"/>
  <c r="AE1581" i="1"/>
  <c r="AE1994" i="1" l="1"/>
  <c r="AN1581" i="1"/>
  <c r="AE1582" i="1"/>
  <c r="AE1995" i="1" l="1"/>
  <c r="AE1583" i="1"/>
  <c r="AN1582" i="1"/>
  <c r="AE1996" i="1" l="1"/>
  <c r="AN1583" i="1"/>
  <c r="AE1584" i="1"/>
  <c r="AE1997" i="1" l="1"/>
  <c r="AN1584" i="1"/>
  <c r="AE1585" i="1"/>
  <c r="AE1998" i="1" l="1"/>
  <c r="AN1585" i="1"/>
  <c r="AE1586" i="1"/>
  <c r="AE1999" i="1" l="1"/>
  <c r="AN1586" i="1"/>
  <c r="AE1587" i="1"/>
  <c r="AE2000" i="1" l="1"/>
  <c r="AE1588" i="1"/>
  <c r="AN1587" i="1"/>
  <c r="AE2001" i="1" l="1"/>
  <c r="AN1588" i="1"/>
  <c r="AE1589" i="1"/>
  <c r="AE2002" i="1" l="1"/>
  <c r="AE1590" i="1"/>
  <c r="AN1589" i="1"/>
  <c r="AE2003" i="1" l="1"/>
  <c r="AN1590" i="1"/>
  <c r="AE1591" i="1"/>
  <c r="AE2004" i="1" l="1"/>
  <c r="AN1591" i="1"/>
  <c r="AE1592" i="1"/>
  <c r="AE2005" i="1" l="1"/>
  <c r="AN1592" i="1"/>
  <c r="AE1593" i="1"/>
  <c r="AE2006" i="1" l="1"/>
  <c r="AN1593" i="1"/>
  <c r="AE1594" i="1"/>
  <c r="AE2007" i="1" l="1"/>
  <c r="AN1594" i="1"/>
  <c r="AE1595" i="1"/>
  <c r="AE2008" i="1" l="1"/>
  <c r="AN1595" i="1"/>
  <c r="AE1596" i="1"/>
  <c r="AE2009" i="1" l="1"/>
  <c r="AN1596" i="1"/>
  <c r="AE1597" i="1"/>
  <c r="AE2010" i="1" l="1"/>
  <c r="AN1597" i="1"/>
  <c r="AE1598" i="1"/>
  <c r="AE2011" i="1" l="1"/>
  <c r="AN1598" i="1"/>
  <c r="AE1599" i="1"/>
  <c r="AE2012" i="1" l="1"/>
  <c r="AN1599" i="1"/>
  <c r="AE1600" i="1"/>
  <c r="AE2013" i="1" l="1"/>
  <c r="AN1600" i="1"/>
  <c r="AE1601" i="1"/>
  <c r="AE2014" i="1" l="1"/>
  <c r="AE1602" i="1"/>
  <c r="AN1601" i="1"/>
  <c r="AE2015" i="1" l="1"/>
  <c r="AN1602" i="1"/>
  <c r="AE1603" i="1"/>
  <c r="AE2016" i="1" l="1"/>
  <c r="AN1603" i="1"/>
  <c r="AE1604" i="1"/>
  <c r="AE2017" i="1" l="1"/>
  <c r="AN1604" i="1"/>
  <c r="AE1605" i="1"/>
  <c r="AE2018" i="1" l="1"/>
  <c r="AN1605" i="1"/>
  <c r="AE1606" i="1"/>
  <c r="AE2019" i="1" l="1"/>
  <c r="AN1606" i="1"/>
  <c r="AE1607" i="1"/>
  <c r="AE2020" i="1" l="1"/>
  <c r="AE1608" i="1"/>
  <c r="AN1607" i="1"/>
  <c r="AE2021" i="1" l="1"/>
  <c r="AN1608" i="1"/>
  <c r="AE1609" i="1"/>
  <c r="AE2022" i="1" l="1"/>
  <c r="AN1609" i="1"/>
  <c r="AE1610" i="1"/>
  <c r="AE2023" i="1" l="1"/>
  <c r="AN1610" i="1"/>
  <c r="AE1611" i="1"/>
  <c r="AE2024" i="1" l="1"/>
  <c r="AN1611" i="1"/>
  <c r="AE1612" i="1"/>
  <c r="AE2025" i="1" l="1"/>
  <c r="AN1612" i="1"/>
  <c r="AE1613" i="1"/>
  <c r="AE2026" i="1" l="1"/>
  <c r="AE1614" i="1"/>
  <c r="AN1613" i="1"/>
  <c r="AE2027" i="1" l="1"/>
  <c r="AN1614" i="1"/>
  <c r="AE1615" i="1"/>
  <c r="AE2028" i="1" l="1"/>
  <c r="AN1615" i="1"/>
  <c r="AE1616" i="1"/>
  <c r="AE2029" i="1" l="1"/>
  <c r="AN1616" i="1"/>
  <c r="AE1617" i="1"/>
  <c r="AE2030" i="1" l="1"/>
  <c r="AN1617" i="1"/>
  <c r="AE1618" i="1"/>
  <c r="AE2031" i="1" l="1"/>
  <c r="AN1618" i="1"/>
  <c r="AE1619" i="1"/>
  <c r="AE2032" i="1" l="1"/>
  <c r="AE1620" i="1"/>
  <c r="AN1619" i="1"/>
  <c r="AE2033" i="1" l="1"/>
  <c r="AN1620" i="1"/>
  <c r="AE1621" i="1"/>
  <c r="AE2034" i="1" l="1"/>
  <c r="AE1622" i="1"/>
  <c r="AN1621" i="1"/>
  <c r="AE2035" i="1" l="1"/>
  <c r="AE1623" i="1"/>
  <c r="AN1622" i="1"/>
  <c r="AE2036" i="1" l="1"/>
  <c r="AN1623" i="1"/>
  <c r="AE1624" i="1"/>
  <c r="AE2037" i="1" l="1"/>
  <c r="AN1624" i="1"/>
  <c r="AE1625" i="1"/>
  <c r="AE2038" i="1" l="1"/>
  <c r="AN1625" i="1"/>
  <c r="AE1626" i="1"/>
  <c r="AE2039" i="1" l="1"/>
  <c r="AN1626" i="1"/>
  <c r="AE1627" i="1"/>
  <c r="AE2040" i="1" l="1"/>
  <c r="AN1627" i="1"/>
  <c r="AE1628" i="1"/>
  <c r="AE2041" i="1" l="1"/>
  <c r="AN1628" i="1"/>
  <c r="AE1629" i="1"/>
  <c r="AE2042" i="1" l="1"/>
  <c r="AN1629" i="1"/>
  <c r="AE1630" i="1"/>
  <c r="AE2043" i="1" l="1"/>
  <c r="AE1631" i="1"/>
  <c r="AN1630" i="1"/>
  <c r="AE2044" i="1" l="1"/>
  <c r="AE1632" i="1"/>
  <c r="AN1631" i="1"/>
  <c r="AE2045" i="1" l="1"/>
  <c r="AN1632" i="1"/>
  <c r="AE1633" i="1"/>
  <c r="AE2046" i="1" l="1"/>
  <c r="AN1633" i="1"/>
  <c r="AE1634" i="1"/>
  <c r="AE2047" i="1" l="1"/>
  <c r="AN1634" i="1"/>
  <c r="AE1635" i="1"/>
  <c r="AE2048" i="1" l="1"/>
  <c r="AN1635" i="1"/>
  <c r="AE1636" i="1"/>
  <c r="AE2049" i="1" l="1"/>
  <c r="AN1636" i="1"/>
  <c r="AE1637" i="1"/>
  <c r="AE2050" i="1" l="1"/>
  <c r="AN1637" i="1"/>
  <c r="AE1638" i="1"/>
  <c r="AE2051" i="1" l="1"/>
  <c r="AN1638" i="1"/>
  <c r="AE1639" i="1"/>
  <c r="AE2052" i="1" l="1"/>
  <c r="AE1640" i="1"/>
  <c r="AN1639" i="1"/>
  <c r="AE2053" i="1" l="1"/>
  <c r="AN1640" i="1"/>
  <c r="AE1641" i="1"/>
  <c r="AE2054" i="1" l="1"/>
  <c r="AN1641" i="1"/>
  <c r="AE1642" i="1"/>
  <c r="AE2055" i="1" l="1"/>
  <c r="AN1642" i="1"/>
  <c r="AE1643" i="1"/>
  <c r="AE2056" i="1" l="1"/>
  <c r="AE1644" i="1"/>
  <c r="AN1643" i="1"/>
  <c r="AE2057" i="1" l="1"/>
  <c r="AN1644" i="1"/>
  <c r="AE1645" i="1"/>
  <c r="AE2058" i="1" l="1"/>
  <c r="AE1646" i="1"/>
  <c r="AN1645" i="1"/>
  <c r="AE2059" i="1" l="1"/>
  <c r="AN1646" i="1"/>
  <c r="AE1647" i="1"/>
  <c r="AE2060" i="1" l="1"/>
  <c r="AN1647" i="1"/>
  <c r="AE1648" i="1"/>
  <c r="AE2061" i="1" l="1"/>
  <c r="AN1648" i="1"/>
  <c r="AE1649" i="1"/>
  <c r="AE2062" i="1" l="1"/>
  <c r="AN1649" i="1"/>
  <c r="AE1650" i="1"/>
  <c r="AE2063" i="1" l="1"/>
  <c r="AN1650" i="1"/>
  <c r="AE1651" i="1"/>
  <c r="AE2064" i="1" l="1"/>
  <c r="AN1651" i="1"/>
  <c r="AE1652" i="1"/>
  <c r="AE2065" i="1" l="1"/>
  <c r="AN1652" i="1"/>
  <c r="AE1653" i="1"/>
  <c r="AE2066" i="1" l="1"/>
  <c r="AE1654" i="1"/>
  <c r="AN1653" i="1"/>
  <c r="AE2067" i="1" l="1"/>
  <c r="AN1654" i="1"/>
  <c r="AE2068" i="1" l="1"/>
  <c r="AE2069" i="1" l="1"/>
  <c r="AE1655" i="1"/>
  <c r="A1656" i="1"/>
  <c r="AF1655" i="1"/>
  <c r="B1655" i="1"/>
  <c r="AG1655" i="1"/>
  <c r="AE1656" i="1" l="1"/>
  <c r="AF1657" i="1"/>
  <c r="AN1657" i="1" s="1"/>
  <c r="AG1657" i="1"/>
  <c r="AG1658" i="1" s="1"/>
  <c r="AG1659" i="1" s="1"/>
  <c r="AG1660" i="1" s="1"/>
  <c r="AG1661" i="1" s="1"/>
  <c r="AG1662" i="1" s="1"/>
  <c r="AG1663" i="1" s="1"/>
  <c r="AG1664" i="1" s="1"/>
  <c r="AG1665" i="1" s="1"/>
  <c r="AG1666" i="1" s="1"/>
  <c r="AG1667" i="1" s="1"/>
  <c r="AG1668" i="1" s="1"/>
  <c r="AG1669" i="1" s="1"/>
  <c r="AG1670" i="1" s="1"/>
  <c r="AG1671" i="1" s="1"/>
  <c r="AG1672" i="1" s="1"/>
  <c r="AG1673" i="1" s="1"/>
  <c r="AG1674" i="1" s="1"/>
  <c r="AG1675" i="1" s="1"/>
  <c r="AG1676" i="1" s="1"/>
  <c r="AG1677" i="1" s="1"/>
  <c r="AG1678" i="1" s="1"/>
  <c r="AG1679" i="1" s="1"/>
  <c r="AG1680" i="1" s="1"/>
  <c r="AG1681" i="1" s="1"/>
  <c r="AG1682" i="1" s="1"/>
  <c r="AG1683" i="1" s="1"/>
  <c r="AG1684" i="1" s="1"/>
  <c r="AG1685" i="1" s="1"/>
  <c r="AG1686" i="1" s="1"/>
  <c r="AG1687" i="1" s="1"/>
  <c r="AG1688" i="1" s="1"/>
  <c r="AG1689" i="1" s="1"/>
  <c r="AG1690" i="1" s="1"/>
  <c r="AG1691" i="1" s="1"/>
  <c r="AG1692" i="1" s="1"/>
  <c r="AG1693" i="1" s="1"/>
  <c r="AG1694" i="1" s="1"/>
  <c r="AG1695" i="1" s="1"/>
  <c r="AG1696" i="1" s="1"/>
  <c r="AG1697" i="1" s="1"/>
  <c r="AG1698" i="1" s="1"/>
  <c r="AG1699" i="1" s="1"/>
  <c r="AG1700" i="1" s="1"/>
  <c r="AG1701" i="1" s="1"/>
  <c r="AG1702" i="1" s="1"/>
  <c r="AG1703" i="1" s="1"/>
  <c r="AG1704" i="1" s="1"/>
  <c r="AG1705" i="1" s="1"/>
  <c r="AG1706" i="1" s="1"/>
  <c r="AG1707" i="1" s="1"/>
  <c r="AG1708" i="1" s="1"/>
  <c r="AG1709" i="1" s="1"/>
  <c r="AG1710" i="1" s="1"/>
  <c r="AG1711" i="1" s="1"/>
  <c r="AG1712" i="1" s="1"/>
  <c r="AG1713" i="1" s="1"/>
  <c r="AG1714" i="1" s="1"/>
  <c r="AG1715" i="1" s="1"/>
  <c r="AG1716" i="1" s="1"/>
  <c r="AG1717" i="1" s="1"/>
  <c r="AG1718" i="1" s="1"/>
  <c r="AG1719" i="1" s="1"/>
  <c r="AG1720" i="1" s="1"/>
  <c r="AG1721" i="1" s="1"/>
  <c r="AG1722" i="1" s="1"/>
  <c r="AG1723" i="1" s="1"/>
  <c r="AG1724" i="1" s="1"/>
  <c r="AG1725" i="1" s="1"/>
  <c r="AG1726" i="1" s="1"/>
  <c r="AG1727" i="1" s="1"/>
  <c r="AG1728" i="1" s="1"/>
  <c r="AG1729" i="1" s="1"/>
  <c r="AG1730" i="1" s="1"/>
  <c r="AG1731" i="1" s="1"/>
  <c r="AG1732" i="1" s="1"/>
  <c r="AG1733" i="1" s="1"/>
  <c r="AG1734" i="1" s="1"/>
  <c r="AG1735" i="1" s="1"/>
  <c r="AG1736" i="1" s="1"/>
  <c r="AG1737" i="1" s="1"/>
  <c r="AG1738" i="1" s="1"/>
  <c r="AG1739" i="1" s="1"/>
  <c r="AG1740" i="1" s="1"/>
  <c r="AG1741" i="1" s="1"/>
  <c r="AG1742" i="1" s="1"/>
  <c r="AG1743" i="1" s="1"/>
  <c r="AG1744" i="1" s="1"/>
  <c r="AG1745" i="1" s="1"/>
  <c r="AG1746" i="1" s="1"/>
  <c r="AG1747" i="1" s="1"/>
  <c r="AG1748" i="1" s="1"/>
  <c r="AG1749" i="1" s="1"/>
  <c r="AG1750" i="1" s="1"/>
  <c r="AG1751" i="1" s="1"/>
  <c r="AG1752" i="1" s="1"/>
  <c r="AG1753" i="1" s="1"/>
  <c r="AG1754" i="1" s="1"/>
  <c r="AG1755" i="1" s="1"/>
  <c r="AG1756" i="1" s="1"/>
  <c r="AG1757" i="1" s="1"/>
  <c r="AG1758" i="1" s="1"/>
  <c r="AG1759" i="1" s="1"/>
  <c r="AG1760" i="1" s="1"/>
  <c r="AG1761" i="1" s="1"/>
  <c r="AG1762" i="1" s="1"/>
  <c r="AG1763" i="1" s="1"/>
  <c r="AG1764" i="1" s="1"/>
  <c r="AG1765" i="1" s="1"/>
  <c r="AG1766" i="1" s="1"/>
  <c r="AG1767" i="1" s="1"/>
  <c r="AG1768" i="1" s="1"/>
  <c r="AG1769" i="1" s="1"/>
  <c r="AG1770" i="1" s="1"/>
  <c r="AG1771" i="1" s="1"/>
  <c r="AG1772" i="1" s="1"/>
  <c r="AG1773" i="1" s="1"/>
  <c r="AG1774" i="1" s="1"/>
  <c r="AG1775" i="1" s="1"/>
  <c r="AG1776" i="1" s="1"/>
  <c r="AG1777" i="1" s="1"/>
  <c r="AG1778" i="1" s="1"/>
  <c r="AG1779" i="1" s="1"/>
  <c r="AG1780" i="1" s="1"/>
  <c r="AG1781" i="1" s="1"/>
  <c r="AG1782" i="1" s="1"/>
  <c r="AG1783" i="1" s="1"/>
  <c r="AG1784" i="1" s="1"/>
  <c r="AG1785" i="1" s="1"/>
  <c r="AG1786" i="1" s="1"/>
  <c r="AG1787" i="1" s="1"/>
  <c r="AG1788" i="1" s="1"/>
  <c r="AG1789" i="1" s="1"/>
  <c r="AG1790" i="1" s="1"/>
  <c r="AG1791" i="1" s="1"/>
  <c r="AG1792" i="1" s="1"/>
  <c r="AG1793" i="1" s="1"/>
  <c r="AG1794" i="1" s="1"/>
  <c r="AG1795" i="1" s="1"/>
  <c r="AG1796" i="1" s="1"/>
  <c r="AG1797" i="1" s="1"/>
  <c r="AG1798" i="1" s="1"/>
  <c r="AG1799" i="1" s="1"/>
  <c r="AG1800" i="1" s="1"/>
  <c r="AG1801" i="1" s="1"/>
  <c r="AG1802" i="1" s="1"/>
  <c r="AG1803" i="1" s="1"/>
  <c r="AG1804" i="1" s="1"/>
  <c r="AG1805" i="1" s="1"/>
  <c r="AG1806" i="1" s="1"/>
  <c r="AG1807" i="1" s="1"/>
  <c r="AG1808" i="1" s="1"/>
  <c r="AG1809" i="1" s="1"/>
  <c r="AG1810" i="1" s="1"/>
  <c r="AG1811" i="1" s="1"/>
  <c r="AG1812" i="1" s="1"/>
  <c r="AG1813" i="1" s="1"/>
  <c r="AG1814" i="1" s="1"/>
  <c r="AG1815" i="1" s="1"/>
  <c r="AG1816" i="1" s="1"/>
  <c r="AG1817" i="1" s="1"/>
  <c r="AG1818" i="1" s="1"/>
  <c r="AG1819" i="1" s="1"/>
  <c r="AG1820" i="1" s="1"/>
  <c r="AG1821" i="1" s="1"/>
  <c r="AG1822" i="1" s="1"/>
  <c r="AG1823" i="1" s="1"/>
  <c r="AG1824" i="1" s="1"/>
  <c r="AG1825" i="1" s="1"/>
  <c r="AG1826" i="1" s="1"/>
  <c r="AG1827" i="1" s="1"/>
  <c r="AG1828" i="1" s="1"/>
  <c r="AG1829" i="1" s="1"/>
  <c r="AG1830" i="1" s="1"/>
  <c r="AG1831" i="1" s="1"/>
  <c r="AG1832" i="1" s="1"/>
  <c r="AG1833" i="1" s="1"/>
  <c r="AG1834" i="1" s="1"/>
  <c r="AG1835" i="1" s="1"/>
  <c r="AG1836" i="1" s="1"/>
  <c r="AG1837" i="1" s="1"/>
  <c r="AG1838" i="1" s="1"/>
  <c r="AG1839" i="1" s="1"/>
  <c r="AG1840" i="1" s="1"/>
  <c r="AG1841" i="1" s="1"/>
  <c r="AG1842" i="1" s="1"/>
  <c r="AG1843" i="1" s="1"/>
  <c r="AG1844" i="1" s="1"/>
  <c r="AG1845" i="1" s="1"/>
  <c r="AG1846" i="1" s="1"/>
  <c r="AG1847" i="1" s="1"/>
  <c r="AG1848" i="1" s="1"/>
  <c r="AG1849" i="1" s="1"/>
  <c r="AG1850" i="1" s="1"/>
  <c r="AG1851" i="1" s="1"/>
  <c r="AG1852" i="1" s="1"/>
  <c r="AG1853" i="1" s="1"/>
  <c r="AG1854" i="1" s="1"/>
  <c r="AG1855" i="1" s="1"/>
  <c r="AG1856" i="1" s="1"/>
  <c r="AG1857" i="1" s="1"/>
  <c r="AG1858" i="1" s="1"/>
  <c r="AG1859" i="1" s="1"/>
  <c r="AG1860" i="1" s="1"/>
  <c r="AG1861" i="1" s="1"/>
  <c r="AG1862" i="1" s="1"/>
  <c r="AG1863" i="1" s="1"/>
  <c r="AG1864" i="1" s="1"/>
  <c r="AG1865" i="1" s="1"/>
  <c r="AG1866" i="1" s="1"/>
  <c r="AG1867" i="1" s="1"/>
  <c r="AG1868" i="1" s="1"/>
  <c r="AG1869" i="1" s="1"/>
  <c r="AG1870" i="1" s="1"/>
  <c r="AG1871" i="1" s="1"/>
  <c r="AG1872" i="1" s="1"/>
  <c r="AG1873" i="1" s="1"/>
  <c r="AG1874" i="1" s="1"/>
  <c r="AG1875" i="1" s="1"/>
  <c r="AG1876" i="1" s="1"/>
  <c r="AG1877" i="1" s="1"/>
  <c r="AG1878" i="1" s="1"/>
  <c r="AG1879" i="1" s="1"/>
  <c r="AG1880" i="1" s="1"/>
  <c r="AG1881" i="1" s="1"/>
  <c r="AG1882" i="1" s="1"/>
  <c r="AG1883" i="1" s="1"/>
  <c r="AG1884" i="1" s="1"/>
  <c r="AG1885" i="1" s="1"/>
  <c r="AG1886" i="1" s="1"/>
  <c r="AG1887" i="1" s="1"/>
  <c r="AG1888" i="1" s="1"/>
  <c r="AG1889" i="1" s="1"/>
  <c r="AG1890" i="1" s="1"/>
  <c r="AG1891" i="1" s="1"/>
  <c r="AG1892" i="1" s="1"/>
  <c r="AG1893" i="1" s="1"/>
  <c r="AG1894" i="1" s="1"/>
  <c r="AG1895" i="1" s="1"/>
  <c r="AG1896" i="1" s="1"/>
  <c r="AG1897" i="1" s="1"/>
  <c r="AG1898" i="1" s="1"/>
  <c r="AG1899" i="1" s="1"/>
  <c r="AG1900" i="1" s="1"/>
  <c r="AG1901" i="1" s="1"/>
  <c r="AG1902" i="1" s="1"/>
  <c r="AG1903" i="1" s="1"/>
  <c r="AG1904" i="1" s="1"/>
  <c r="AG1905" i="1" s="1"/>
  <c r="AG1906" i="1" s="1"/>
  <c r="AG1907" i="1" s="1"/>
  <c r="AG1908" i="1" s="1"/>
  <c r="AG1909" i="1" s="1"/>
  <c r="AG1910" i="1" s="1"/>
  <c r="AG1911" i="1" s="1"/>
  <c r="AG1912" i="1" s="1"/>
  <c r="AG1913" i="1" s="1"/>
  <c r="AG1914" i="1" s="1"/>
  <c r="AG1915" i="1" s="1"/>
  <c r="AG1916" i="1" s="1"/>
  <c r="AG1917" i="1" s="1"/>
  <c r="AG1918" i="1" s="1"/>
  <c r="AG1919" i="1" s="1"/>
  <c r="AG1920" i="1" s="1"/>
  <c r="AG1921" i="1" s="1"/>
  <c r="AG1922" i="1" s="1"/>
  <c r="AG1923" i="1" s="1"/>
  <c r="AG1924" i="1" s="1"/>
  <c r="AG1925" i="1" s="1"/>
  <c r="AG1926" i="1" s="1"/>
  <c r="AG1927" i="1" s="1"/>
  <c r="AG1928" i="1" s="1"/>
  <c r="AG1929" i="1" s="1"/>
  <c r="AG1930" i="1" s="1"/>
  <c r="AG1931" i="1" s="1"/>
  <c r="AG1932" i="1" s="1"/>
  <c r="AG1933" i="1" s="1"/>
  <c r="AG1934" i="1" s="1"/>
  <c r="AG1935" i="1" s="1"/>
  <c r="AG1936" i="1" s="1"/>
  <c r="AG1937" i="1" s="1"/>
  <c r="AG1938" i="1" s="1"/>
  <c r="AG1939" i="1" s="1"/>
  <c r="AG1940" i="1" s="1"/>
  <c r="AG1941" i="1" s="1"/>
  <c r="AG1942" i="1" s="1"/>
  <c r="AG1943" i="1" s="1"/>
  <c r="AG1944" i="1" s="1"/>
  <c r="AG1945" i="1" s="1"/>
  <c r="AG1946" i="1" s="1"/>
  <c r="AG1947" i="1" s="1"/>
  <c r="AG1948" i="1" s="1"/>
  <c r="AG1949" i="1" s="1"/>
  <c r="AG1950" i="1" s="1"/>
  <c r="AG1951" i="1" s="1"/>
  <c r="AG1952" i="1" s="1"/>
  <c r="AG1953" i="1" s="1"/>
  <c r="AG1954" i="1" s="1"/>
  <c r="AG1955" i="1" s="1"/>
  <c r="AG1956" i="1" s="1"/>
  <c r="AG1957" i="1" s="1"/>
  <c r="AG1958" i="1" s="1"/>
  <c r="AG1959" i="1" s="1"/>
  <c r="AG1960" i="1" s="1"/>
  <c r="AG1961" i="1" s="1"/>
  <c r="AG1962" i="1" s="1"/>
  <c r="AG1963" i="1" s="1"/>
  <c r="AG1964" i="1" s="1"/>
  <c r="AG1965" i="1" s="1"/>
  <c r="AG1966" i="1" s="1"/>
  <c r="AG1967" i="1" s="1"/>
  <c r="AG1968" i="1" s="1"/>
  <c r="AG1969" i="1" s="1"/>
  <c r="AG1970" i="1" s="1"/>
  <c r="AG1971" i="1" s="1"/>
  <c r="AG1972" i="1" s="1"/>
  <c r="AG1973" i="1" s="1"/>
  <c r="AG1974" i="1" s="1"/>
  <c r="AG1975" i="1" s="1"/>
  <c r="AG1976" i="1" s="1"/>
  <c r="AG1977" i="1" s="1"/>
  <c r="AG1978" i="1" s="1"/>
  <c r="AG1979" i="1" s="1"/>
  <c r="AG1980" i="1" s="1"/>
  <c r="AG1981" i="1" s="1"/>
  <c r="AG1982" i="1" s="1"/>
  <c r="AG1983" i="1" s="1"/>
  <c r="AG1984" i="1" s="1"/>
  <c r="AG1985" i="1" s="1"/>
  <c r="AG1986" i="1" s="1"/>
  <c r="AG1987" i="1" s="1"/>
  <c r="AG1988" i="1" s="1"/>
  <c r="AG1989" i="1" s="1"/>
  <c r="AG1990" i="1" s="1"/>
  <c r="AG1991" i="1" s="1"/>
  <c r="AG1992" i="1" s="1"/>
  <c r="AG1993" i="1" s="1"/>
  <c r="AG1994" i="1" s="1"/>
  <c r="AG1995" i="1" s="1"/>
  <c r="AG1996" i="1" s="1"/>
  <c r="AG1997" i="1" s="1"/>
  <c r="AG1998" i="1" s="1"/>
  <c r="AG1999" i="1" s="1"/>
  <c r="AG2000" i="1" s="1"/>
  <c r="AG2001" i="1" s="1"/>
  <c r="AG2002" i="1" s="1"/>
  <c r="AG2003" i="1" s="1"/>
  <c r="AG2004" i="1" s="1"/>
  <c r="AG2005" i="1" s="1"/>
  <c r="AG2006" i="1" s="1"/>
  <c r="AG2007" i="1" s="1"/>
  <c r="AG2008" i="1" s="1"/>
  <c r="AG2009" i="1" s="1"/>
  <c r="AG2010" i="1" s="1"/>
  <c r="AG2011" i="1" s="1"/>
  <c r="AG2012" i="1" s="1"/>
  <c r="AG2013" i="1" s="1"/>
  <c r="AG2014" i="1" s="1"/>
  <c r="AG2015" i="1" s="1"/>
  <c r="AG2016" i="1" s="1"/>
  <c r="AG2017" i="1" s="1"/>
  <c r="AG2018" i="1" s="1"/>
  <c r="AG2019" i="1" s="1"/>
  <c r="AG2020" i="1" s="1"/>
  <c r="AG2021" i="1" s="1"/>
  <c r="AG2022" i="1" s="1"/>
  <c r="AG2023" i="1" s="1"/>
  <c r="AG2024" i="1" s="1"/>
  <c r="AG2025" i="1" s="1"/>
  <c r="AG2026" i="1" s="1"/>
  <c r="AG2027" i="1" s="1"/>
  <c r="AG2028" i="1" s="1"/>
  <c r="AG2029" i="1" s="1"/>
  <c r="AG2030" i="1" s="1"/>
  <c r="AG2031" i="1" s="1"/>
  <c r="AG2032" i="1" s="1"/>
  <c r="AG2033" i="1" s="1"/>
  <c r="AG2034" i="1" s="1"/>
  <c r="AG2035" i="1" s="1"/>
  <c r="AG2036" i="1" s="1"/>
  <c r="AG2037" i="1" s="1"/>
  <c r="AG2038" i="1" s="1"/>
  <c r="AG2039" i="1" s="1"/>
  <c r="AG2040" i="1" s="1"/>
  <c r="AG2041" i="1" s="1"/>
  <c r="AG2042" i="1" s="1"/>
  <c r="AG2043" i="1" s="1"/>
  <c r="AG2044" i="1" s="1"/>
  <c r="AG2045" i="1" s="1"/>
  <c r="AG2046" i="1" s="1"/>
  <c r="AG2047" i="1" s="1"/>
  <c r="AG2048" i="1" s="1"/>
  <c r="AG2049" i="1" s="1"/>
  <c r="AG2050" i="1" s="1"/>
  <c r="AG2051" i="1" s="1"/>
  <c r="AG2052" i="1" s="1"/>
  <c r="AG2053" i="1" s="1"/>
  <c r="AG2054" i="1" s="1"/>
  <c r="AG2055" i="1" s="1"/>
  <c r="AG2056" i="1" s="1"/>
  <c r="AG2057" i="1" s="1"/>
  <c r="AG2058" i="1" s="1"/>
  <c r="AG2059" i="1" s="1"/>
  <c r="AG2060" i="1" s="1"/>
  <c r="AG2061" i="1" s="1"/>
  <c r="AG2062" i="1" s="1"/>
  <c r="AG2063" i="1" s="1"/>
  <c r="AG2064" i="1" s="1"/>
  <c r="AG2065" i="1" s="1"/>
  <c r="AG2066" i="1" s="1"/>
  <c r="AG2067" i="1" s="1"/>
  <c r="AG2068" i="1" s="1"/>
  <c r="AG2069" i="1" s="1"/>
  <c r="AG2070" i="1" s="1"/>
  <c r="AG2071" i="1" s="1"/>
  <c r="AG2072" i="1" s="1"/>
  <c r="AG2073" i="1" s="1"/>
  <c r="AG2074" i="1" s="1"/>
  <c r="AG2075" i="1" s="1"/>
  <c r="AG2076" i="1" s="1"/>
  <c r="AG2077" i="1" s="1"/>
  <c r="AG2078" i="1" s="1"/>
  <c r="AG2079" i="1" s="1"/>
  <c r="AG2080" i="1" s="1"/>
  <c r="AG2081" i="1" s="1"/>
  <c r="AG2082" i="1" s="1"/>
  <c r="AG2083" i="1" s="1"/>
  <c r="AG2084" i="1" s="1"/>
  <c r="AG2085" i="1" s="1"/>
  <c r="AG2086" i="1" s="1"/>
  <c r="AG2087" i="1" s="1"/>
  <c r="AG2088" i="1" s="1"/>
  <c r="AG2089" i="1" s="1"/>
  <c r="AG2090" i="1" s="1"/>
  <c r="AG2091" i="1" s="1"/>
  <c r="AG2092" i="1" s="1"/>
  <c r="AG2093" i="1" s="1"/>
  <c r="AG2094" i="1" s="1"/>
  <c r="AG2095" i="1" s="1"/>
  <c r="AG2096" i="1" s="1"/>
  <c r="AG2097" i="1" s="1"/>
  <c r="AG2098" i="1" s="1"/>
  <c r="AG2099" i="1" s="1"/>
  <c r="AG2100" i="1" s="1"/>
  <c r="AG2101" i="1" s="1"/>
  <c r="AG2102" i="1" s="1"/>
  <c r="AG2103" i="1" s="1"/>
  <c r="AG2104" i="1" s="1"/>
  <c r="AG2105" i="1" s="1"/>
  <c r="AG2106" i="1" s="1"/>
  <c r="AG2107" i="1" s="1"/>
  <c r="AG2108" i="1" s="1"/>
  <c r="AG2109" i="1" s="1"/>
  <c r="AG2110" i="1" s="1"/>
  <c r="AG2111" i="1" s="1"/>
  <c r="AG2112" i="1" s="1"/>
  <c r="AG2113" i="1" s="1"/>
  <c r="AG2114" i="1" s="1"/>
  <c r="AG2115" i="1" s="1"/>
  <c r="AG2116" i="1" s="1"/>
  <c r="AG2117" i="1" s="1"/>
  <c r="AG2118" i="1" s="1"/>
  <c r="AG2119" i="1" s="1"/>
  <c r="AG2120" i="1" s="1"/>
  <c r="AG2121" i="1" s="1"/>
  <c r="AG2122" i="1" s="1"/>
  <c r="AG2123" i="1" s="1"/>
  <c r="AG2124" i="1" s="1"/>
  <c r="AG2125" i="1" s="1"/>
  <c r="AG2126" i="1" s="1"/>
  <c r="AG2127" i="1" s="1"/>
  <c r="AG2128" i="1" s="1"/>
  <c r="AG2129" i="1" s="1"/>
  <c r="AG2130" i="1" s="1"/>
  <c r="AG2131" i="1" s="1"/>
  <c r="AG2132" i="1" s="1"/>
  <c r="AG2133" i="1" s="1"/>
  <c r="AG2134" i="1" s="1"/>
  <c r="AG2135" i="1" s="1"/>
  <c r="AG2136" i="1" s="1"/>
  <c r="AG2137" i="1" s="1"/>
  <c r="AG2138" i="1" s="1"/>
  <c r="AG2139" i="1" s="1"/>
  <c r="AG2140" i="1" s="1"/>
  <c r="AG2141" i="1" s="1"/>
  <c r="AG2142" i="1" s="1"/>
  <c r="AG2143" i="1" s="1"/>
  <c r="AG2144" i="1" s="1"/>
  <c r="AG2145" i="1" s="1"/>
  <c r="AG2146" i="1" s="1"/>
  <c r="AG2147" i="1" s="1"/>
  <c r="AG2148" i="1" s="1"/>
  <c r="AG2149" i="1" s="1"/>
  <c r="AG2150" i="1" s="1"/>
  <c r="AG2151" i="1" s="1"/>
  <c r="AG2152" i="1" s="1"/>
  <c r="AG2153" i="1" s="1"/>
  <c r="AG2154" i="1" s="1"/>
  <c r="AG2155" i="1" s="1"/>
  <c r="AG2156" i="1" s="1"/>
  <c r="AG2157" i="1" s="1"/>
  <c r="AG2158" i="1" s="1"/>
  <c r="AG2159" i="1" s="1"/>
  <c r="AG2160" i="1" s="1"/>
  <c r="AG2161" i="1" s="1"/>
  <c r="AG2162" i="1" s="1"/>
  <c r="AG2163" i="1" s="1"/>
  <c r="AG2164" i="1" s="1"/>
  <c r="AG2165" i="1" s="1"/>
  <c r="AG2166" i="1" s="1"/>
  <c r="AG2167" i="1" s="1"/>
  <c r="AG2168" i="1" s="1"/>
  <c r="AG2169" i="1" s="1"/>
  <c r="AG2170" i="1" s="1"/>
  <c r="AG2171" i="1" s="1"/>
  <c r="AG2172" i="1" s="1"/>
  <c r="AG2173" i="1" s="1"/>
  <c r="AG2174" i="1" s="1"/>
  <c r="AG2175" i="1" s="1"/>
  <c r="AG2176" i="1" s="1"/>
  <c r="AG2177" i="1" s="1"/>
  <c r="AG2178" i="1" s="1"/>
  <c r="AG2179" i="1" s="1"/>
  <c r="AG2180" i="1" s="1"/>
  <c r="AG2181" i="1" s="1"/>
  <c r="AG2182" i="1" s="1"/>
  <c r="AG2183" i="1" s="1"/>
  <c r="AG2184" i="1" s="1"/>
  <c r="AG2185" i="1" s="1"/>
  <c r="AG2186" i="1" s="1"/>
  <c r="AG2187" i="1" s="1"/>
  <c r="AG2188" i="1" s="1"/>
  <c r="AG2189" i="1" s="1"/>
  <c r="AG2190" i="1" s="1"/>
  <c r="AG2191" i="1" s="1"/>
  <c r="AG2192" i="1" s="1"/>
  <c r="AG2193" i="1" s="1"/>
  <c r="AG2194" i="1" s="1"/>
  <c r="AG2195" i="1" s="1"/>
  <c r="AG2196" i="1" s="1"/>
  <c r="AG2197" i="1" s="1"/>
  <c r="AG2198" i="1" s="1"/>
  <c r="AG2199" i="1" s="1"/>
  <c r="AG2200" i="1" s="1"/>
  <c r="AG2201" i="1" s="1"/>
  <c r="AG2202" i="1" s="1"/>
  <c r="AG2203" i="1" s="1"/>
  <c r="AG2204" i="1" s="1"/>
  <c r="AG2205" i="1" s="1"/>
  <c r="AG2206" i="1" s="1"/>
  <c r="AG2207" i="1" s="1"/>
  <c r="AG2208" i="1" s="1"/>
  <c r="AG2209" i="1" s="1"/>
  <c r="AG2210" i="1" s="1"/>
  <c r="AG2211" i="1" s="1"/>
  <c r="AG2212" i="1" s="1"/>
  <c r="AG2213" i="1" s="1"/>
  <c r="AG2214" i="1" s="1"/>
  <c r="AG2215" i="1" s="1"/>
  <c r="AG2216" i="1" s="1"/>
  <c r="AG2217" i="1" s="1"/>
  <c r="AG2218" i="1" s="1"/>
  <c r="AG2219" i="1" s="1"/>
  <c r="AG2220" i="1" s="1"/>
  <c r="AG2221" i="1" s="1"/>
  <c r="AG2222" i="1" s="1"/>
  <c r="AG2223" i="1" s="1"/>
  <c r="AG2224" i="1" s="1"/>
  <c r="AG2225" i="1" s="1"/>
  <c r="AG2226" i="1" s="1"/>
  <c r="AG2227" i="1" s="1"/>
  <c r="AG2228" i="1" s="1"/>
  <c r="AG2229" i="1" s="1"/>
  <c r="AG2230" i="1" s="1"/>
  <c r="AG2231" i="1" s="1"/>
  <c r="AG2232" i="1" s="1"/>
  <c r="AG2233" i="1" s="1"/>
  <c r="AG2234" i="1" s="1"/>
  <c r="AG2235" i="1" s="1"/>
  <c r="AG2236" i="1" s="1"/>
  <c r="AG2237" i="1" s="1"/>
  <c r="AG2238" i="1" s="1"/>
  <c r="AG2239" i="1" s="1"/>
  <c r="AG2240" i="1" s="1"/>
  <c r="AG2241" i="1" s="1"/>
  <c r="AG2242" i="1" s="1"/>
  <c r="AG2243" i="1" s="1"/>
  <c r="AG2244" i="1" s="1"/>
  <c r="AG2245" i="1" s="1"/>
  <c r="AG2246" i="1" s="1"/>
  <c r="AG2247" i="1" s="1"/>
  <c r="AG2248" i="1" s="1"/>
  <c r="AG2249" i="1" s="1"/>
  <c r="AG2250" i="1" s="1"/>
  <c r="AG2251" i="1" s="1"/>
  <c r="AG2252" i="1" s="1"/>
  <c r="AG2253" i="1" s="1"/>
  <c r="AG2254" i="1" s="1"/>
  <c r="AG2255" i="1" s="1"/>
  <c r="AG2256" i="1" s="1"/>
  <c r="AG2257" i="1" s="1"/>
  <c r="AG2258" i="1" s="1"/>
  <c r="AG2259" i="1" s="1"/>
  <c r="AG2260" i="1" s="1"/>
  <c r="AG2261" i="1" s="1"/>
  <c r="AG2262" i="1" s="1"/>
  <c r="AG2263" i="1" s="1"/>
  <c r="AG2264" i="1" s="1"/>
  <c r="AG2265" i="1" s="1"/>
  <c r="AG2266" i="1" s="1"/>
  <c r="AG2267" i="1" s="1"/>
  <c r="AG2268" i="1" s="1"/>
  <c r="AG2269" i="1" s="1"/>
  <c r="AG2270" i="1" s="1"/>
  <c r="AG2271" i="1" s="1"/>
  <c r="AG2272" i="1" s="1"/>
  <c r="AG2273" i="1" s="1"/>
  <c r="AG2274" i="1" s="1"/>
  <c r="AG2275" i="1" s="1"/>
  <c r="AG2276" i="1" s="1"/>
  <c r="AG2277" i="1" s="1"/>
  <c r="AG2278" i="1" s="1"/>
  <c r="AG2279" i="1" s="1"/>
  <c r="AG2280" i="1" s="1"/>
  <c r="AG2281" i="1" s="1"/>
  <c r="AG2282" i="1" s="1"/>
  <c r="AG2283" i="1" s="1"/>
  <c r="AG2284" i="1" s="1"/>
  <c r="AG2285" i="1" s="1"/>
  <c r="AG2286" i="1" s="1"/>
  <c r="AG2287" i="1" s="1"/>
  <c r="AG2288" i="1" s="1"/>
  <c r="AG2289" i="1" s="1"/>
  <c r="AG2290" i="1" s="1"/>
  <c r="AG2291" i="1" s="1"/>
  <c r="AG2292" i="1" s="1"/>
  <c r="AG2293" i="1" s="1"/>
  <c r="AG2294" i="1" s="1"/>
  <c r="AG2295" i="1" s="1"/>
  <c r="AG2296" i="1" s="1"/>
  <c r="AG2297" i="1" s="1"/>
  <c r="AG2298" i="1" s="1"/>
  <c r="AG2299" i="1" s="1"/>
  <c r="AG2300" i="1" s="1"/>
  <c r="AG2301" i="1" s="1"/>
  <c r="AG2302" i="1" s="1"/>
  <c r="AG2303" i="1" s="1"/>
  <c r="AG2304" i="1" s="1"/>
  <c r="AG2305" i="1" s="1"/>
  <c r="AG2306" i="1" s="1"/>
  <c r="AG2307" i="1" s="1"/>
  <c r="AG2308" i="1" s="1"/>
  <c r="AG2309" i="1" s="1"/>
  <c r="AG2310" i="1" s="1"/>
  <c r="AG2311" i="1" s="1"/>
  <c r="AG2312" i="1" s="1"/>
  <c r="AG2313" i="1" s="1"/>
  <c r="AG2314" i="1" s="1"/>
  <c r="AG2315" i="1" s="1"/>
  <c r="AG2316" i="1" s="1"/>
  <c r="AG2317" i="1" s="1"/>
  <c r="AG2318" i="1" s="1"/>
  <c r="AG2319" i="1" s="1"/>
  <c r="AG2320" i="1" s="1"/>
  <c r="AG2321" i="1" s="1"/>
  <c r="AG2322" i="1" s="1"/>
  <c r="AG2323" i="1" s="1"/>
  <c r="AG2324" i="1" s="1"/>
  <c r="AG2325" i="1" s="1"/>
  <c r="AG2326" i="1" s="1"/>
  <c r="AG2327" i="1" s="1"/>
  <c r="AG2328" i="1" s="1"/>
  <c r="AG2329" i="1" s="1"/>
  <c r="AG2330" i="1" s="1"/>
  <c r="AG2331" i="1" s="1"/>
  <c r="AG2332" i="1" s="1"/>
  <c r="AG2333" i="1" s="1"/>
  <c r="AG2334" i="1" s="1"/>
  <c r="AG2335" i="1" s="1"/>
  <c r="AG2336" i="1" s="1"/>
  <c r="AG2337" i="1" s="1"/>
  <c r="AG2338" i="1" s="1"/>
  <c r="AG2339" i="1" s="1"/>
  <c r="AG2340" i="1" s="1"/>
  <c r="AG2341" i="1" s="1"/>
  <c r="AG2342" i="1" s="1"/>
  <c r="AG2343" i="1" s="1"/>
  <c r="AG2344" i="1" s="1"/>
  <c r="AG2345" i="1" s="1"/>
  <c r="AG2346" i="1" s="1"/>
  <c r="AG2347" i="1" s="1"/>
  <c r="AG2348" i="1" s="1"/>
  <c r="AG2349" i="1" s="1"/>
  <c r="AG2350" i="1" s="1"/>
  <c r="AG2351" i="1" s="1"/>
  <c r="AG2352" i="1" s="1"/>
  <c r="AG2353" i="1" s="1"/>
  <c r="AG2354" i="1" s="1"/>
  <c r="AG2355" i="1" s="1"/>
  <c r="AG2356" i="1" s="1"/>
  <c r="AG2357" i="1" s="1"/>
  <c r="AG2358" i="1" s="1"/>
  <c r="AG2359" i="1" s="1"/>
  <c r="AG2360" i="1" s="1"/>
  <c r="AG2361" i="1" s="1"/>
  <c r="AG2362" i="1" s="1"/>
  <c r="AG2363" i="1" s="1"/>
  <c r="AG2364" i="1" s="1"/>
  <c r="AG2365" i="1" s="1"/>
  <c r="AG2366" i="1" s="1"/>
  <c r="AG2367" i="1" s="1"/>
  <c r="AG2368" i="1" s="1"/>
  <c r="AG2369" i="1" s="1"/>
  <c r="AG2370" i="1" s="1"/>
  <c r="AG2371" i="1" s="1"/>
  <c r="AG2372" i="1" s="1"/>
  <c r="AG2373" i="1" s="1"/>
  <c r="AG2374" i="1" s="1"/>
  <c r="AG2375" i="1" s="1"/>
  <c r="AG2376" i="1" s="1"/>
  <c r="AG2377" i="1" s="1"/>
  <c r="AG2378" i="1" s="1"/>
  <c r="AG2379" i="1" s="1"/>
  <c r="AG2380" i="1" s="1"/>
  <c r="AG2381" i="1" s="1"/>
  <c r="AG2382" i="1" s="1"/>
  <c r="AG2383" i="1" s="1"/>
  <c r="AG2384" i="1" s="1"/>
  <c r="AG2385" i="1" s="1"/>
  <c r="AG2386" i="1" s="1"/>
  <c r="AG2387" i="1" s="1"/>
  <c r="AG2388" i="1" s="1"/>
  <c r="AG2389" i="1" s="1"/>
  <c r="AG2390" i="1" s="1"/>
  <c r="AG2391" i="1" s="1"/>
  <c r="AG2392" i="1" s="1"/>
  <c r="AG2393" i="1" s="1"/>
  <c r="AG2394" i="1" s="1"/>
  <c r="AG2395" i="1" s="1"/>
  <c r="AG2396" i="1" s="1"/>
  <c r="AG2397" i="1" s="1"/>
  <c r="AG2398" i="1" s="1"/>
  <c r="AG2399" i="1" s="1"/>
  <c r="AG2400" i="1" s="1"/>
  <c r="AG2401" i="1" s="1"/>
  <c r="AG2402" i="1" s="1"/>
  <c r="AG2403" i="1" s="1"/>
  <c r="AG2404" i="1" s="1"/>
  <c r="AG2405" i="1" s="1"/>
  <c r="AG2406" i="1" s="1"/>
  <c r="AG2407" i="1" s="1"/>
  <c r="AG2408" i="1" s="1"/>
  <c r="AG2409" i="1" s="1"/>
  <c r="AG2410" i="1" s="1"/>
  <c r="AG2411" i="1" s="1"/>
  <c r="AG2412" i="1" s="1"/>
  <c r="AG2413" i="1" s="1"/>
  <c r="AG2414" i="1" s="1"/>
  <c r="AG2415" i="1" s="1"/>
  <c r="AG2416" i="1" s="1"/>
  <c r="AG2417" i="1" s="1"/>
  <c r="AG2418" i="1" s="1"/>
  <c r="AG2419" i="1" s="1"/>
  <c r="AG2420" i="1" s="1"/>
  <c r="AG2421" i="1" s="1"/>
  <c r="AG2422" i="1" s="1"/>
  <c r="AG2423" i="1" s="1"/>
  <c r="AG2424" i="1" s="1"/>
  <c r="AG2425" i="1" s="1"/>
  <c r="AG2426" i="1" s="1"/>
  <c r="AG2427" i="1" s="1"/>
  <c r="AG2428" i="1" s="1"/>
  <c r="AG2429" i="1" s="1"/>
  <c r="AG2430" i="1" s="1"/>
  <c r="AG2431" i="1" s="1"/>
  <c r="AG2432" i="1" s="1"/>
  <c r="AG2433" i="1" s="1"/>
  <c r="AG2434" i="1" s="1"/>
  <c r="AG2435" i="1" s="1"/>
  <c r="AG2436" i="1" s="1"/>
  <c r="AG2437" i="1" s="1"/>
  <c r="AG2438" i="1" s="1"/>
  <c r="AG2439" i="1" s="1"/>
  <c r="AG2440" i="1" s="1"/>
  <c r="AG2441" i="1" s="1"/>
  <c r="AG2442" i="1" s="1"/>
  <c r="AG2443" i="1" s="1"/>
  <c r="AG2444" i="1" s="1"/>
  <c r="AG2445" i="1" s="1"/>
  <c r="AG2446" i="1" s="1"/>
  <c r="AG2447" i="1" s="1"/>
  <c r="AG2448" i="1" s="1"/>
  <c r="AG2449" i="1" s="1"/>
  <c r="AG2450" i="1" s="1"/>
  <c r="AG2451" i="1" s="1"/>
  <c r="AG2452" i="1" s="1"/>
  <c r="AG2453" i="1" s="1"/>
  <c r="AG2454" i="1" s="1"/>
  <c r="AG2455" i="1" s="1"/>
  <c r="AG2456" i="1" s="1"/>
  <c r="AG2457" i="1" s="1"/>
  <c r="AG2458" i="1" s="1"/>
  <c r="AG2459" i="1" s="1"/>
  <c r="AG2460" i="1" s="1"/>
  <c r="AG2461" i="1" s="1"/>
  <c r="AG2462" i="1" s="1"/>
  <c r="AG2463" i="1" s="1"/>
  <c r="AG2464" i="1" s="1"/>
  <c r="AG2465" i="1" s="1"/>
  <c r="AG2466" i="1" s="1"/>
  <c r="AG2467" i="1" s="1"/>
  <c r="AG2468" i="1" s="1"/>
  <c r="AG2469" i="1" s="1"/>
  <c r="AG2470" i="1" s="1"/>
  <c r="AG2471" i="1" s="1"/>
  <c r="AG2472" i="1" s="1"/>
  <c r="AG2473" i="1" s="1"/>
  <c r="AG2474" i="1" s="1"/>
  <c r="AG2475" i="1" s="1"/>
  <c r="AG2476" i="1" s="1"/>
  <c r="AG2477" i="1" s="1"/>
  <c r="AG2478" i="1" s="1"/>
  <c r="AG2479" i="1" s="1"/>
  <c r="AG2480" i="1" s="1"/>
  <c r="AG2481" i="1" s="1"/>
  <c r="AG2482" i="1" s="1"/>
  <c r="AG2483" i="1" s="1"/>
  <c r="AG2484" i="1" s="1"/>
  <c r="AG2485" i="1" s="1"/>
  <c r="AG2486" i="1" s="1"/>
  <c r="AG2487" i="1" s="1"/>
  <c r="AG2488" i="1" s="1"/>
  <c r="AG2489" i="1" s="1"/>
  <c r="AG2490" i="1" s="1"/>
  <c r="AG2491" i="1" s="1"/>
  <c r="AG2492" i="1" s="1"/>
  <c r="AG2493" i="1" s="1"/>
  <c r="AG2494" i="1" s="1"/>
  <c r="AG2495" i="1" s="1"/>
  <c r="AG2496" i="1" s="1"/>
  <c r="AG2497" i="1" s="1"/>
  <c r="AG2498" i="1" s="1"/>
  <c r="AG2499" i="1" s="1"/>
  <c r="AG2500" i="1" s="1"/>
  <c r="AG2501" i="1" s="1"/>
  <c r="AG2502" i="1" s="1"/>
  <c r="AG2503" i="1" s="1"/>
  <c r="AG2504" i="1" s="1"/>
  <c r="AG2505" i="1" s="1"/>
  <c r="AG2506" i="1" s="1"/>
  <c r="AG2507" i="1" s="1"/>
  <c r="AG2508" i="1" s="1"/>
  <c r="AG2509" i="1" s="1"/>
  <c r="AG2510" i="1" s="1"/>
  <c r="AG2511" i="1" s="1"/>
  <c r="AG2512" i="1" s="1"/>
  <c r="AG2513" i="1" s="1"/>
  <c r="AG2514" i="1" s="1"/>
  <c r="AG2515" i="1" s="1"/>
  <c r="AG2516" i="1" s="1"/>
  <c r="AG2517" i="1" s="1"/>
  <c r="AG2518" i="1" s="1"/>
  <c r="AG2519" i="1" s="1"/>
  <c r="AG2520" i="1" s="1"/>
  <c r="AG2521" i="1" s="1"/>
  <c r="AG2522" i="1" s="1"/>
  <c r="AG2523" i="1" s="1"/>
  <c r="AG2524" i="1" s="1"/>
  <c r="AG2525" i="1" s="1"/>
  <c r="AG2526" i="1" s="1"/>
  <c r="AG2527" i="1" s="1"/>
  <c r="AG2528" i="1" s="1"/>
  <c r="AG2529" i="1" s="1"/>
  <c r="AG2530" i="1" s="1"/>
  <c r="AG2531" i="1" s="1"/>
  <c r="AG2532" i="1" s="1"/>
  <c r="AG2533" i="1" s="1"/>
  <c r="AG2534" i="1" s="1"/>
  <c r="AG2535" i="1" s="1"/>
  <c r="AG2536" i="1" s="1"/>
  <c r="AG2537" i="1" s="1"/>
  <c r="AG2538" i="1" s="1"/>
  <c r="AG2539" i="1" s="1"/>
  <c r="AG2540" i="1" s="1"/>
  <c r="AG2541" i="1" s="1"/>
  <c r="AG2542" i="1" s="1"/>
  <c r="AG2543" i="1" s="1"/>
  <c r="AG2544" i="1" s="1"/>
  <c r="AG2545" i="1" s="1"/>
  <c r="AG2546" i="1" s="1"/>
  <c r="AG2547" i="1" s="1"/>
  <c r="AG2548" i="1" s="1"/>
  <c r="AG2549" i="1" s="1"/>
  <c r="AG2550" i="1" s="1"/>
  <c r="AG2551" i="1" s="1"/>
  <c r="AG2552" i="1" s="1"/>
  <c r="AG2553" i="1" s="1"/>
  <c r="AG2554" i="1" s="1"/>
  <c r="AG2555" i="1" s="1"/>
  <c r="AG2556" i="1" s="1"/>
  <c r="AG2557" i="1" s="1"/>
  <c r="AG2558" i="1" s="1"/>
  <c r="AG2559" i="1" s="1"/>
  <c r="AG2560" i="1" s="1"/>
  <c r="AG2561" i="1" s="1"/>
  <c r="AG2562" i="1" s="1"/>
  <c r="AG2563" i="1" s="1"/>
  <c r="AG2564" i="1" s="1"/>
  <c r="AG2565" i="1" s="1"/>
  <c r="AG2566" i="1" s="1"/>
  <c r="AG2567" i="1" s="1"/>
  <c r="AG2568" i="1" s="1"/>
  <c r="AG2569" i="1" s="1"/>
  <c r="AG2570" i="1" s="1"/>
  <c r="AG2571" i="1" s="1"/>
  <c r="AG2572" i="1" s="1"/>
  <c r="AG2573" i="1" s="1"/>
  <c r="AG2574" i="1" s="1"/>
  <c r="AG2575" i="1" s="1"/>
  <c r="AG2576" i="1" s="1"/>
  <c r="AG2577" i="1" s="1"/>
  <c r="AG2578" i="1" s="1"/>
  <c r="AG2579" i="1" s="1"/>
  <c r="AG2580" i="1" s="1"/>
  <c r="AG2581" i="1" s="1"/>
  <c r="AG2582" i="1" s="1"/>
  <c r="AG2583" i="1" s="1"/>
  <c r="AG2584" i="1" s="1"/>
  <c r="AG2585" i="1" s="1"/>
  <c r="AG2586" i="1" s="1"/>
  <c r="AG2587" i="1" s="1"/>
  <c r="AG2588" i="1" s="1"/>
  <c r="AG2589" i="1" s="1"/>
  <c r="AG2590" i="1" s="1"/>
  <c r="AG2591" i="1" s="1"/>
  <c r="AG2592" i="1" s="1"/>
  <c r="AG2593" i="1" s="1"/>
  <c r="AG2594" i="1" s="1"/>
  <c r="AG2595" i="1" s="1"/>
  <c r="AG2596" i="1" s="1"/>
  <c r="AG2597" i="1" s="1"/>
  <c r="AG2598" i="1" s="1"/>
  <c r="AG2599" i="1" s="1"/>
  <c r="AG2600" i="1" s="1"/>
  <c r="AG2601" i="1" s="1"/>
  <c r="AG2602" i="1" s="1"/>
  <c r="AG2603" i="1" s="1"/>
  <c r="AG2604" i="1" s="1"/>
  <c r="AG2605" i="1" s="1"/>
  <c r="AG2606" i="1" s="1"/>
  <c r="AG2607" i="1" s="1"/>
  <c r="AG2608" i="1" s="1"/>
  <c r="AG2609" i="1" s="1"/>
  <c r="AG2610" i="1" s="1"/>
  <c r="AG2611" i="1" s="1"/>
  <c r="AG2612" i="1" s="1"/>
  <c r="AG2613" i="1" s="1"/>
  <c r="AG2614" i="1" s="1"/>
  <c r="AG2615" i="1" s="1"/>
  <c r="AG2616" i="1" s="1"/>
  <c r="AG2617" i="1" s="1"/>
  <c r="AG2618" i="1" s="1"/>
  <c r="AG2619" i="1" s="1"/>
  <c r="AG2620" i="1" s="1"/>
  <c r="AG2621" i="1" s="1"/>
  <c r="AG2622" i="1" s="1"/>
  <c r="AG2623" i="1" s="1"/>
  <c r="AG2624" i="1" s="1"/>
  <c r="AG2625" i="1" s="1"/>
  <c r="AG2626" i="1" s="1"/>
  <c r="AG2627" i="1" s="1"/>
  <c r="AG2628" i="1" s="1"/>
  <c r="AG2629" i="1" s="1"/>
  <c r="AG2630" i="1" s="1"/>
  <c r="AG2631" i="1" s="1"/>
  <c r="AG2632" i="1" s="1"/>
  <c r="AG2633" i="1" s="1"/>
  <c r="AG2634" i="1" s="1"/>
  <c r="AG2635" i="1" s="1"/>
  <c r="AG2636" i="1" s="1"/>
  <c r="AG2637" i="1" s="1"/>
  <c r="AG2638" i="1" s="1"/>
  <c r="AG2639" i="1" s="1"/>
  <c r="AG2640" i="1" s="1"/>
  <c r="AG2641" i="1" s="1"/>
  <c r="AG2642" i="1" s="1"/>
  <c r="AG2643" i="1" s="1"/>
  <c r="AG2644" i="1" s="1"/>
  <c r="AG2645" i="1" s="1"/>
  <c r="AG2646" i="1" s="1"/>
  <c r="AG2647" i="1" s="1"/>
  <c r="AG2648" i="1" s="1"/>
  <c r="AG2649" i="1" s="1"/>
  <c r="AG2650" i="1" s="1"/>
  <c r="AG2651" i="1" s="1"/>
  <c r="AG2652" i="1" s="1"/>
  <c r="AG2653" i="1" s="1"/>
  <c r="AG2654" i="1" s="1"/>
  <c r="AG2655" i="1" s="1"/>
  <c r="AG2656" i="1" s="1"/>
  <c r="AG2657" i="1" s="1"/>
  <c r="AG2658" i="1" s="1"/>
  <c r="AG2659" i="1" s="1"/>
  <c r="AG2660" i="1" s="1"/>
  <c r="AG2661" i="1" s="1"/>
  <c r="AG2662" i="1" s="1"/>
  <c r="AG2663" i="1" s="1"/>
  <c r="AG2664" i="1" s="1"/>
  <c r="AG2665" i="1" s="1"/>
  <c r="AG2666" i="1" s="1"/>
  <c r="AG2667" i="1" s="1"/>
  <c r="AG2668" i="1" s="1"/>
  <c r="AG2669" i="1" s="1"/>
  <c r="AG2670" i="1" s="1"/>
  <c r="AG2671" i="1" s="1"/>
  <c r="AG2672" i="1" s="1"/>
  <c r="AG2673" i="1" s="1"/>
  <c r="AG2674" i="1" s="1"/>
  <c r="AG2675" i="1" s="1"/>
  <c r="AG2676" i="1" s="1"/>
  <c r="AG2677" i="1" s="1"/>
  <c r="AG2678" i="1" s="1"/>
  <c r="AG2679" i="1" s="1"/>
  <c r="AG2680" i="1" s="1"/>
  <c r="AG2681" i="1" s="1"/>
  <c r="AG2682" i="1" s="1"/>
  <c r="AG2683" i="1" s="1"/>
  <c r="AG2684" i="1" s="1"/>
  <c r="AG2685" i="1" s="1"/>
  <c r="AG2686" i="1" s="1"/>
  <c r="AG2687" i="1" s="1"/>
  <c r="AG2688" i="1" s="1"/>
  <c r="AG2689" i="1" s="1"/>
  <c r="AG2690" i="1" s="1"/>
  <c r="AG2691" i="1" s="1"/>
  <c r="AG2692" i="1" s="1"/>
  <c r="AG2693" i="1" s="1"/>
  <c r="AG2694" i="1" s="1"/>
  <c r="AG2695" i="1" s="1"/>
  <c r="AG2696" i="1" s="1"/>
  <c r="AG2697" i="1" s="1"/>
  <c r="AG2698" i="1" s="1"/>
  <c r="AG2699" i="1" s="1"/>
  <c r="AG2700" i="1" s="1"/>
  <c r="AG2701" i="1" s="1"/>
  <c r="AG2702" i="1" s="1"/>
  <c r="AG2703" i="1" s="1"/>
  <c r="AG2704" i="1" s="1"/>
  <c r="AG2705" i="1" s="1"/>
  <c r="AG2706" i="1" s="1"/>
  <c r="AG2707" i="1" s="1"/>
  <c r="AG2708" i="1" s="1"/>
  <c r="AG2709" i="1" s="1"/>
  <c r="AG2710" i="1" s="1"/>
  <c r="AG2711" i="1" s="1"/>
  <c r="AG2712" i="1" s="1"/>
  <c r="AG2713" i="1" s="1"/>
  <c r="AG2714" i="1" s="1"/>
  <c r="AG2715" i="1" s="1"/>
  <c r="AG2716" i="1" s="1"/>
  <c r="AG2717" i="1" s="1"/>
  <c r="AG2718" i="1" s="1"/>
  <c r="AG2719" i="1" s="1"/>
  <c r="AG2720" i="1" s="1"/>
  <c r="AG2721" i="1" s="1"/>
  <c r="AG2722" i="1" s="1"/>
  <c r="AG2723" i="1" s="1"/>
  <c r="AG2724" i="1" s="1"/>
  <c r="AG2725" i="1" s="1"/>
  <c r="AG2726" i="1" s="1"/>
  <c r="AG2727" i="1" s="1"/>
  <c r="AG2728" i="1" s="1"/>
  <c r="AG2729" i="1" s="1"/>
  <c r="AG2730" i="1" s="1"/>
  <c r="AG2731" i="1" s="1"/>
  <c r="AG2732" i="1" s="1"/>
  <c r="AG2733" i="1" s="1"/>
  <c r="AG2734" i="1" s="1"/>
  <c r="AG2735" i="1" s="1"/>
  <c r="AG2736" i="1" s="1"/>
  <c r="AG2737" i="1" s="1"/>
  <c r="AG2738" i="1" s="1"/>
  <c r="AG2739" i="1" s="1"/>
  <c r="AG2740" i="1" s="1"/>
  <c r="AG2741" i="1" s="1"/>
  <c r="AG2742" i="1" s="1"/>
  <c r="AG2743" i="1" s="1"/>
  <c r="AG2744" i="1" s="1"/>
  <c r="AG2745" i="1" s="1"/>
  <c r="AG2746" i="1" s="1"/>
  <c r="AG2747" i="1" s="1"/>
  <c r="AG2748" i="1" s="1"/>
  <c r="AG2749" i="1" s="1"/>
  <c r="AG2750" i="1" s="1"/>
  <c r="AG2751" i="1" s="1"/>
  <c r="AG2752" i="1" s="1"/>
  <c r="AG2753" i="1" s="1"/>
  <c r="AG2754" i="1" s="1"/>
  <c r="AG2755" i="1" s="1"/>
  <c r="AG2756" i="1" s="1"/>
  <c r="AG2757" i="1" s="1"/>
  <c r="AG2758" i="1" s="1"/>
  <c r="AG2759" i="1" s="1"/>
  <c r="AG2760" i="1" s="1"/>
  <c r="AG2761" i="1" s="1"/>
  <c r="AG2762" i="1" s="1"/>
  <c r="AG2763" i="1" s="1"/>
  <c r="AG2764" i="1" s="1"/>
  <c r="AG2765" i="1" s="1"/>
  <c r="AG2766" i="1" s="1"/>
  <c r="AG2767" i="1" s="1"/>
  <c r="AG2768" i="1" s="1"/>
  <c r="AG2769" i="1" s="1"/>
  <c r="AG2770" i="1" s="1"/>
  <c r="AG2771" i="1" s="1"/>
  <c r="AG2772" i="1" s="1"/>
  <c r="AG2773" i="1" s="1"/>
  <c r="AG2774" i="1" s="1"/>
  <c r="AG2775" i="1" s="1"/>
  <c r="AG2776" i="1" s="1"/>
  <c r="AG2777" i="1" s="1"/>
  <c r="AG2778" i="1" s="1"/>
  <c r="AG2779" i="1" s="1"/>
  <c r="AG2780" i="1" s="1"/>
  <c r="AG2781" i="1" s="1"/>
  <c r="AG2782" i="1" s="1"/>
  <c r="AG2783" i="1" s="1"/>
  <c r="AG2784" i="1" s="1"/>
  <c r="AG2785" i="1" s="1"/>
  <c r="AG2786" i="1" s="1"/>
  <c r="AG2787" i="1" s="1"/>
  <c r="AG2788" i="1" s="1"/>
  <c r="AG2789" i="1" s="1"/>
  <c r="AG2790" i="1" s="1"/>
  <c r="AG2791" i="1" s="1"/>
  <c r="AG2792" i="1" s="1"/>
  <c r="AG2793" i="1" s="1"/>
  <c r="AG2794" i="1" s="1"/>
  <c r="AG2795" i="1" s="1"/>
  <c r="AG2796" i="1" s="1"/>
  <c r="AG2797" i="1" s="1"/>
  <c r="AG2798" i="1" s="1"/>
  <c r="AG2799" i="1" s="1"/>
  <c r="AG2800" i="1" s="1"/>
  <c r="AG2801" i="1" s="1"/>
  <c r="AG2802" i="1" s="1"/>
  <c r="AG2803" i="1" s="1"/>
  <c r="AG2804" i="1" s="1"/>
  <c r="AG2805" i="1" s="1"/>
  <c r="AG2806" i="1" s="1"/>
  <c r="AG2807" i="1" s="1"/>
  <c r="AG2808" i="1" s="1"/>
  <c r="AG2809" i="1" s="1"/>
  <c r="AG2810" i="1" s="1"/>
  <c r="AG2811" i="1" s="1"/>
  <c r="AG2812" i="1" s="1"/>
  <c r="AG2813" i="1" s="1"/>
  <c r="AG2814" i="1" s="1"/>
  <c r="AG2815" i="1" s="1"/>
  <c r="AG2816" i="1" s="1"/>
  <c r="AG2817" i="1" s="1"/>
  <c r="AG2818" i="1" s="1"/>
  <c r="AG2819" i="1" s="1"/>
  <c r="AG2820" i="1" s="1"/>
  <c r="AG2821" i="1" s="1"/>
  <c r="AG2822" i="1" s="1"/>
  <c r="AG2823" i="1" s="1"/>
  <c r="AG2824" i="1" s="1"/>
  <c r="AG2825" i="1" s="1"/>
  <c r="AG2826" i="1" s="1"/>
  <c r="AG2827" i="1" s="1"/>
  <c r="AG2828" i="1" s="1"/>
  <c r="AG2829" i="1" s="1"/>
  <c r="AG2830" i="1" s="1"/>
  <c r="AG2831" i="1" s="1"/>
  <c r="AG2832" i="1" s="1"/>
  <c r="AG2833" i="1" s="1"/>
  <c r="AG2834" i="1" s="1"/>
  <c r="AG2835" i="1" s="1"/>
  <c r="AG2836" i="1" s="1"/>
  <c r="AG2837" i="1" s="1"/>
  <c r="AG2838" i="1" s="1"/>
  <c r="AG2839" i="1" s="1"/>
  <c r="AG2840" i="1" s="1"/>
  <c r="AG2841" i="1" s="1"/>
  <c r="AG2842" i="1" s="1"/>
  <c r="AG2843" i="1" s="1"/>
  <c r="AG2844" i="1" s="1"/>
  <c r="AG2845" i="1" s="1"/>
  <c r="AG2846" i="1" s="1"/>
  <c r="AG2847" i="1" s="1"/>
  <c r="AG2848" i="1" s="1"/>
  <c r="AG2849" i="1" s="1"/>
  <c r="AG2850" i="1" s="1"/>
  <c r="AG2851" i="1" s="1"/>
  <c r="AG2852" i="1" s="1"/>
  <c r="AG2853" i="1" s="1"/>
  <c r="AG2854" i="1" s="1"/>
  <c r="AG2855" i="1" s="1"/>
  <c r="AG2856" i="1" s="1"/>
  <c r="AG2857" i="1" s="1"/>
  <c r="AG2858" i="1" s="1"/>
  <c r="AG2859" i="1" s="1"/>
  <c r="AG2860" i="1" s="1"/>
  <c r="AG2861" i="1" s="1"/>
  <c r="AG2862" i="1" s="1"/>
  <c r="AG2863" i="1" s="1"/>
  <c r="AG2864" i="1" s="1"/>
  <c r="AG2865" i="1" s="1"/>
  <c r="AG2866" i="1" s="1"/>
  <c r="AG2867" i="1" s="1"/>
  <c r="AG2868" i="1" s="1"/>
  <c r="AG2869" i="1" s="1"/>
  <c r="AG2870" i="1" s="1"/>
  <c r="AG2871" i="1" s="1"/>
  <c r="AG2872" i="1" s="1"/>
  <c r="AG2873" i="1" s="1"/>
  <c r="AG2874" i="1" s="1"/>
  <c r="AG2875" i="1" s="1"/>
  <c r="AG2876" i="1" s="1"/>
  <c r="AG2877" i="1" s="1"/>
  <c r="AG2878" i="1" s="1"/>
  <c r="AG2879" i="1" s="1"/>
  <c r="AG2880" i="1" s="1"/>
  <c r="AG2881" i="1" s="1"/>
  <c r="AG2882" i="1" s="1"/>
  <c r="AG2883" i="1" s="1"/>
  <c r="AG2884" i="1" s="1"/>
  <c r="AG2885" i="1" s="1"/>
  <c r="AG2886" i="1" s="1"/>
  <c r="AG2887" i="1" s="1"/>
  <c r="AG2888" i="1" s="1"/>
  <c r="AG2889" i="1" s="1"/>
  <c r="AG2890" i="1" s="1"/>
  <c r="AG2891" i="1" s="1"/>
  <c r="AG2892" i="1" s="1"/>
  <c r="AG2893" i="1" s="1"/>
  <c r="AG2894" i="1" s="1"/>
  <c r="AG2895" i="1" s="1"/>
  <c r="AG2896" i="1" s="1"/>
  <c r="AG2897" i="1" s="1"/>
  <c r="AG2898" i="1" s="1"/>
  <c r="AG2899" i="1" s="1"/>
  <c r="AG2900" i="1" s="1"/>
  <c r="AG2901" i="1" s="1"/>
  <c r="AG2902" i="1" s="1"/>
  <c r="AG2903" i="1" s="1"/>
  <c r="AG2904" i="1" s="1"/>
  <c r="AG2905" i="1" s="1"/>
  <c r="AG2906" i="1" s="1"/>
  <c r="AG2907" i="1" s="1"/>
  <c r="AG2908" i="1" s="1"/>
  <c r="AG2909" i="1" s="1"/>
  <c r="AG2910" i="1" s="1"/>
  <c r="AG2911" i="1" s="1"/>
  <c r="AG2912" i="1" s="1"/>
  <c r="AG2913" i="1" s="1"/>
  <c r="AG2914" i="1" s="1"/>
  <c r="AG2915" i="1" s="1"/>
  <c r="AG2916" i="1" s="1"/>
  <c r="AG2917" i="1" s="1"/>
  <c r="AG2918" i="1" s="1"/>
  <c r="AG2919" i="1" s="1"/>
  <c r="AG2920" i="1" s="1"/>
  <c r="AG2921" i="1" s="1"/>
  <c r="AG2922" i="1" s="1"/>
  <c r="AG2923" i="1" s="1"/>
  <c r="AG2924" i="1" s="1"/>
  <c r="AG2925" i="1" s="1"/>
  <c r="AG2926" i="1" s="1"/>
  <c r="AG2927" i="1" s="1"/>
  <c r="AG2928" i="1" s="1"/>
  <c r="AG2929" i="1" s="1"/>
  <c r="AG2930" i="1" s="1"/>
  <c r="AG2931" i="1" s="1"/>
  <c r="AG2932" i="1" s="1"/>
  <c r="AG2933" i="1" s="1"/>
  <c r="AG2934" i="1" s="1"/>
  <c r="AG2935" i="1" s="1"/>
  <c r="AG2936" i="1" s="1"/>
  <c r="AG2937" i="1" s="1"/>
  <c r="AG2938" i="1" s="1"/>
  <c r="AG2939" i="1" s="1"/>
  <c r="AG2940" i="1" s="1"/>
  <c r="AG2941" i="1" s="1"/>
  <c r="AG2942" i="1" s="1"/>
  <c r="AG2943" i="1" s="1"/>
  <c r="AG2944" i="1" s="1"/>
  <c r="AG2945" i="1" s="1"/>
  <c r="AG2946" i="1" s="1"/>
  <c r="AG2947" i="1" s="1"/>
  <c r="AG2948" i="1" s="1"/>
  <c r="AG2949" i="1" s="1"/>
  <c r="AG2950" i="1" s="1"/>
  <c r="AG2951" i="1" s="1"/>
  <c r="AG2952" i="1" s="1"/>
  <c r="AG2953" i="1" s="1"/>
  <c r="AG2954" i="1" s="1"/>
  <c r="AG2955" i="1" s="1"/>
  <c r="AG2956" i="1" s="1"/>
  <c r="AG2957" i="1" s="1"/>
  <c r="AG2958" i="1" s="1"/>
  <c r="AG2959" i="1" s="1"/>
  <c r="AG2960" i="1" s="1"/>
  <c r="AG2961" i="1" s="1"/>
  <c r="AG2962" i="1" s="1"/>
  <c r="AG2963" i="1" s="1"/>
  <c r="AG2964" i="1" s="1"/>
  <c r="AG2965" i="1" s="1"/>
  <c r="AG2966" i="1" s="1"/>
  <c r="AG2967" i="1" s="1"/>
  <c r="AG2968" i="1" s="1"/>
  <c r="AG2969" i="1" s="1"/>
  <c r="AG2970" i="1" s="1"/>
  <c r="AG2971" i="1" s="1"/>
  <c r="AG2972" i="1" s="1"/>
  <c r="AG2973" i="1" s="1"/>
  <c r="AG2974" i="1" s="1"/>
  <c r="AG2975" i="1" s="1"/>
  <c r="AG2976" i="1" s="1"/>
  <c r="AG2977" i="1" s="1"/>
  <c r="AG2978" i="1" s="1"/>
  <c r="AG2979" i="1" s="1"/>
  <c r="AG2980" i="1" s="1"/>
  <c r="AG2981" i="1" s="1"/>
  <c r="AG2982" i="1" s="1"/>
  <c r="AG2983" i="1" s="1"/>
  <c r="AG2984" i="1" s="1"/>
  <c r="AG2985" i="1" s="1"/>
  <c r="AG2986" i="1" s="1"/>
  <c r="AG2987" i="1" s="1"/>
  <c r="AG2988" i="1" s="1"/>
  <c r="AG2989" i="1" s="1"/>
  <c r="AG2990" i="1" s="1"/>
  <c r="AG2991" i="1" s="1"/>
  <c r="AG2992" i="1" s="1"/>
  <c r="AG2993" i="1" s="1"/>
  <c r="AG2994" i="1" s="1"/>
  <c r="AG2995" i="1" s="1"/>
  <c r="AG2996" i="1" s="1"/>
  <c r="AG2997" i="1" s="1"/>
  <c r="AG2998" i="1" s="1"/>
  <c r="AG2999" i="1" s="1"/>
  <c r="AG3000" i="1" s="1"/>
  <c r="AG3001" i="1" s="1"/>
  <c r="AG3002" i="1" s="1"/>
  <c r="AG3003" i="1" s="1"/>
  <c r="AG3004" i="1" s="1"/>
  <c r="AG3005" i="1" s="1"/>
  <c r="AG3006" i="1" s="1"/>
  <c r="AG3007" i="1" s="1"/>
  <c r="AG3008" i="1" s="1"/>
  <c r="AG3009" i="1" s="1"/>
  <c r="AG3010" i="1" s="1"/>
  <c r="AG3011" i="1" s="1"/>
  <c r="AG3012" i="1" s="1"/>
  <c r="AG3013" i="1" s="1"/>
  <c r="AG3014" i="1" s="1"/>
  <c r="AG3015" i="1" s="1"/>
  <c r="AG3016" i="1" s="1"/>
  <c r="AG3017" i="1" s="1"/>
  <c r="AG3018" i="1" s="1"/>
  <c r="AG3019" i="1" s="1"/>
  <c r="AG3020" i="1" s="1"/>
  <c r="AG3021" i="1" s="1"/>
  <c r="AG3022" i="1" s="1"/>
  <c r="AG3023" i="1" s="1"/>
  <c r="AG3024" i="1" s="1"/>
  <c r="AG3025" i="1" s="1"/>
  <c r="AG3026" i="1" s="1"/>
  <c r="AG3027" i="1" s="1"/>
  <c r="AG3028" i="1" s="1"/>
  <c r="AG3029" i="1" s="1"/>
  <c r="AG3030" i="1" s="1"/>
  <c r="AG3031" i="1" s="1"/>
  <c r="AG3032" i="1" s="1"/>
  <c r="AG3033" i="1" s="1"/>
  <c r="AG3034" i="1" s="1"/>
  <c r="AG3035" i="1" s="1"/>
  <c r="AG3036" i="1" s="1"/>
  <c r="AG3037" i="1" s="1"/>
  <c r="AG3038" i="1" s="1"/>
  <c r="AG3039" i="1" s="1"/>
  <c r="AG3040" i="1" s="1"/>
  <c r="AG3041" i="1" s="1"/>
  <c r="AG3042" i="1" s="1"/>
  <c r="AG3043" i="1" s="1"/>
  <c r="AG3044" i="1" s="1"/>
  <c r="AG3045" i="1" s="1"/>
  <c r="AG3046" i="1" s="1"/>
  <c r="AG3047" i="1" s="1"/>
  <c r="AG3048" i="1" s="1"/>
  <c r="AG3049" i="1" s="1"/>
  <c r="AG3050" i="1" s="1"/>
  <c r="AG3051" i="1" s="1"/>
  <c r="AG3052" i="1" s="1"/>
  <c r="AG3053" i="1" s="1"/>
  <c r="AG3054" i="1" s="1"/>
  <c r="AG3055" i="1" s="1"/>
  <c r="AG3056" i="1" s="1"/>
  <c r="AG3057" i="1" s="1"/>
  <c r="AG3058" i="1" s="1"/>
  <c r="AG3059" i="1" s="1"/>
  <c r="AG3060" i="1" s="1"/>
  <c r="AG3061" i="1" s="1"/>
  <c r="AG3062" i="1" s="1"/>
  <c r="AG3063" i="1" s="1"/>
  <c r="AG3064" i="1" s="1"/>
  <c r="AG3065" i="1" s="1"/>
  <c r="AG3066" i="1" s="1"/>
  <c r="AG3067" i="1" s="1"/>
  <c r="AG3068" i="1" s="1"/>
  <c r="AG3069" i="1" s="1"/>
  <c r="AG3070" i="1" s="1"/>
  <c r="AG3071" i="1" s="1"/>
  <c r="AG3072" i="1" s="1"/>
  <c r="AG3073" i="1" s="1"/>
  <c r="AG3074" i="1" s="1"/>
  <c r="AG3075" i="1" s="1"/>
  <c r="AG3076" i="1" s="1"/>
  <c r="AG3077" i="1" s="1"/>
  <c r="AG3078" i="1" s="1"/>
  <c r="AG3079" i="1" s="1"/>
  <c r="AG3080" i="1" s="1"/>
  <c r="AG3081" i="1" s="1"/>
  <c r="AG3082" i="1" s="1"/>
  <c r="AG3083" i="1" s="1"/>
  <c r="AG3084" i="1" s="1"/>
  <c r="AG3085" i="1" s="1"/>
  <c r="AG3086" i="1" s="1"/>
  <c r="AG3087" i="1" s="1"/>
  <c r="AG3088" i="1" s="1"/>
  <c r="AG3089" i="1" s="1"/>
  <c r="AG3090" i="1" s="1"/>
  <c r="AG3091" i="1" s="1"/>
  <c r="AG3092" i="1" s="1"/>
  <c r="AG3093" i="1" s="1"/>
  <c r="AG3094" i="1" s="1"/>
  <c r="AG3095" i="1" s="1"/>
  <c r="AG3096" i="1" s="1"/>
  <c r="AG3097" i="1" s="1"/>
  <c r="AG3098" i="1" s="1"/>
  <c r="AG3099" i="1" s="1"/>
  <c r="AG3100" i="1" s="1"/>
  <c r="AG3101" i="1" s="1"/>
  <c r="AG3102" i="1" s="1"/>
  <c r="AG3103" i="1" s="1"/>
  <c r="AG3104" i="1" s="1"/>
  <c r="AG3105" i="1" s="1"/>
  <c r="AG3106" i="1" s="1"/>
  <c r="AG3107" i="1" s="1"/>
  <c r="AG3108" i="1" s="1"/>
  <c r="AG3109" i="1" s="1"/>
  <c r="AG3110" i="1" s="1"/>
  <c r="AG3111" i="1" s="1"/>
  <c r="AG3112" i="1" s="1"/>
  <c r="AG3113" i="1" s="1"/>
  <c r="AG3114" i="1" s="1"/>
  <c r="AG3115" i="1" s="1"/>
  <c r="AG3116" i="1" s="1"/>
  <c r="AG3117" i="1" s="1"/>
  <c r="AG3118" i="1" s="1"/>
  <c r="AG3119" i="1" s="1"/>
  <c r="AG3120" i="1" s="1"/>
  <c r="AG3121" i="1" s="1"/>
  <c r="AG3122" i="1" s="1"/>
  <c r="AG3123" i="1" s="1"/>
  <c r="AG3124" i="1" s="1"/>
  <c r="AG3125" i="1" s="1"/>
  <c r="AG3126" i="1" s="1"/>
  <c r="AG3127" i="1" s="1"/>
  <c r="AG3128" i="1" s="1"/>
  <c r="AG3129" i="1" s="1"/>
  <c r="AG3130" i="1" s="1"/>
  <c r="AG3131" i="1" s="1"/>
  <c r="AG3132" i="1" s="1"/>
  <c r="AG3133" i="1" s="1"/>
  <c r="AG3134" i="1" s="1"/>
  <c r="AG3135" i="1" s="1"/>
  <c r="AG3136" i="1" s="1"/>
  <c r="AG3137" i="1" s="1"/>
  <c r="AG3138" i="1" s="1"/>
  <c r="AG3139" i="1" s="1"/>
  <c r="AG3140" i="1" s="1"/>
  <c r="AG3141" i="1" s="1"/>
  <c r="AG3142" i="1" s="1"/>
  <c r="AG3143" i="1" s="1"/>
  <c r="AG3144" i="1" s="1"/>
  <c r="AG3145" i="1" s="1"/>
  <c r="AG3146" i="1" s="1"/>
  <c r="AG3147" i="1" s="1"/>
  <c r="AG3148" i="1" s="1"/>
  <c r="AG3149" i="1" s="1"/>
  <c r="AG3150" i="1" s="1"/>
  <c r="AG3151" i="1" s="1"/>
  <c r="AG3152" i="1" s="1"/>
  <c r="AG3153" i="1" s="1"/>
  <c r="AG3154" i="1" s="1"/>
  <c r="AG3155" i="1" s="1"/>
  <c r="AG3156" i="1" s="1"/>
  <c r="AG3157" i="1" s="1"/>
  <c r="AG3158" i="1" s="1"/>
  <c r="AG3159" i="1" s="1"/>
  <c r="AG3160" i="1" s="1"/>
  <c r="AG3161" i="1" s="1"/>
  <c r="AG3162" i="1" s="1"/>
  <c r="AG3163" i="1" s="1"/>
  <c r="AG3164" i="1" s="1"/>
  <c r="AG3165" i="1" s="1"/>
  <c r="AG3166" i="1" s="1"/>
  <c r="AG3167" i="1" s="1"/>
  <c r="AG3168" i="1" s="1"/>
  <c r="AG3169" i="1" s="1"/>
  <c r="AG3170" i="1" s="1"/>
  <c r="AG3171" i="1" s="1"/>
  <c r="AG3172" i="1" s="1"/>
  <c r="AG3173" i="1" s="1"/>
  <c r="AG3174" i="1" s="1"/>
  <c r="AG3175" i="1" s="1"/>
  <c r="AG3176" i="1" s="1"/>
  <c r="AG3177" i="1" s="1"/>
  <c r="AG3178" i="1" s="1"/>
  <c r="AG3179" i="1" s="1"/>
  <c r="AG3180" i="1" s="1"/>
  <c r="AG3181" i="1" s="1"/>
  <c r="AG3182" i="1" s="1"/>
  <c r="AG3183" i="1" s="1"/>
  <c r="AG3184" i="1" s="1"/>
  <c r="AG3185" i="1" s="1"/>
  <c r="AG3186" i="1" s="1"/>
  <c r="AG3187" i="1" s="1"/>
  <c r="AG3188" i="1" s="1"/>
  <c r="AG3189" i="1" s="1"/>
  <c r="AG3190" i="1" s="1"/>
  <c r="AG3191" i="1" s="1"/>
  <c r="AG3192" i="1" s="1"/>
  <c r="AG3193" i="1" s="1"/>
  <c r="AG3194" i="1" s="1"/>
  <c r="AG3195" i="1" s="1"/>
  <c r="AG3196" i="1" s="1"/>
  <c r="AG3197" i="1" s="1"/>
  <c r="AG3198" i="1" s="1"/>
  <c r="AG3199" i="1" s="1"/>
  <c r="AG3200" i="1" s="1"/>
  <c r="AG3201" i="1" s="1"/>
  <c r="AG3202" i="1" s="1"/>
  <c r="AG3203" i="1" s="1"/>
  <c r="AG3204" i="1" s="1"/>
  <c r="AG3205" i="1" s="1"/>
  <c r="AG3206" i="1" s="1"/>
  <c r="AG3207" i="1" s="1"/>
  <c r="AG3208" i="1" s="1"/>
  <c r="AG3209" i="1" s="1"/>
  <c r="AG3210" i="1" s="1"/>
  <c r="AG3211" i="1" s="1"/>
  <c r="AG3212" i="1" s="1"/>
  <c r="AG3213" i="1" s="1"/>
  <c r="AG3214" i="1" s="1"/>
  <c r="AG3215" i="1" s="1"/>
  <c r="AG3216" i="1" s="1"/>
  <c r="AG3217" i="1" s="1"/>
  <c r="AG3218" i="1" s="1"/>
  <c r="AG3219" i="1" s="1"/>
  <c r="AG3220" i="1" s="1"/>
  <c r="AG3221" i="1" s="1"/>
  <c r="AG3222" i="1" s="1"/>
  <c r="AG3223" i="1" s="1"/>
  <c r="AG3224" i="1" s="1"/>
  <c r="AG3225" i="1" s="1"/>
  <c r="AG3226" i="1" s="1"/>
  <c r="AG3227" i="1" s="1"/>
  <c r="AG3228" i="1" s="1"/>
  <c r="AG3229" i="1" s="1"/>
  <c r="AG3230" i="1" s="1"/>
  <c r="AG3231" i="1" s="1"/>
  <c r="AG3232" i="1" s="1"/>
  <c r="AG3233" i="1" s="1"/>
  <c r="AG3234" i="1" s="1"/>
  <c r="AG3235" i="1" s="1"/>
  <c r="AG3236" i="1" s="1"/>
  <c r="AG3237" i="1" s="1"/>
  <c r="AG3238" i="1" s="1"/>
  <c r="AG3239" i="1" s="1"/>
  <c r="AG3240" i="1" s="1"/>
  <c r="AG3241" i="1" s="1"/>
  <c r="AG3242" i="1" s="1"/>
  <c r="AG3243" i="1" s="1"/>
  <c r="AG3244" i="1" s="1"/>
  <c r="AG3245" i="1" s="1"/>
  <c r="AG3246" i="1" s="1"/>
  <c r="AG3247" i="1" s="1"/>
  <c r="AG3248" i="1" s="1"/>
  <c r="AG3249" i="1" s="1"/>
  <c r="AG3250" i="1" s="1"/>
  <c r="AG3251" i="1" s="1"/>
  <c r="AG3252" i="1" s="1"/>
  <c r="AG3253" i="1" s="1"/>
  <c r="AG3254" i="1" s="1"/>
  <c r="AG3255" i="1" s="1"/>
  <c r="AG3256" i="1" s="1"/>
  <c r="AG3257" i="1" s="1"/>
  <c r="AG3258" i="1" s="1"/>
  <c r="AG3259" i="1" s="1"/>
  <c r="AG3260" i="1" s="1"/>
  <c r="AG3261" i="1" s="1"/>
  <c r="AG3262" i="1" s="1"/>
  <c r="AG3263" i="1" s="1"/>
  <c r="AG3264" i="1" s="1"/>
  <c r="AG3265" i="1" s="1"/>
  <c r="AG3266" i="1" s="1"/>
  <c r="AG3267" i="1" s="1"/>
  <c r="AG3268" i="1" s="1"/>
  <c r="AG3269" i="1" s="1"/>
  <c r="AG3270" i="1" s="1"/>
  <c r="AG3271" i="1" s="1"/>
  <c r="AG3272" i="1" s="1"/>
  <c r="AG3273" i="1" s="1"/>
  <c r="AG3274" i="1" s="1"/>
  <c r="AG3275" i="1" s="1"/>
  <c r="AG3276" i="1" s="1"/>
  <c r="AG3277" i="1" s="1"/>
  <c r="AG3278" i="1" s="1"/>
  <c r="AG3279" i="1" s="1"/>
  <c r="AG3280" i="1" s="1"/>
  <c r="AG3281" i="1" s="1"/>
  <c r="AG3282" i="1" s="1"/>
  <c r="AG3283" i="1" s="1"/>
  <c r="AG3284" i="1" s="1"/>
  <c r="AG3285" i="1" s="1"/>
  <c r="AG3286" i="1" s="1"/>
  <c r="AG3287" i="1" s="1"/>
  <c r="AG3288" i="1" s="1"/>
  <c r="AG3289" i="1" s="1"/>
  <c r="AG3290" i="1" s="1"/>
  <c r="AG3291" i="1" s="1"/>
  <c r="AG3292" i="1" s="1"/>
  <c r="AG3293" i="1" s="1"/>
  <c r="AG3294" i="1" s="1"/>
  <c r="AG3295" i="1" s="1"/>
  <c r="AG3296" i="1" s="1"/>
  <c r="AG3297" i="1" s="1"/>
  <c r="AG3298" i="1" s="1"/>
  <c r="AG3299" i="1" s="1"/>
  <c r="AG3300" i="1" s="1"/>
  <c r="AG3301" i="1" s="1"/>
  <c r="AG3302" i="1" s="1"/>
  <c r="AG3303" i="1" s="1"/>
  <c r="AG3304" i="1" s="1"/>
  <c r="AG3305" i="1" s="1"/>
  <c r="AG3306" i="1" s="1"/>
  <c r="AG3307" i="1" s="1"/>
  <c r="AG3308" i="1" s="1"/>
  <c r="AG3309" i="1" s="1"/>
  <c r="AG3310" i="1" s="1"/>
  <c r="AG3311" i="1" s="1"/>
  <c r="AG3312" i="1" s="1"/>
  <c r="AG3313" i="1" s="1"/>
  <c r="AG3314" i="1" s="1"/>
  <c r="AG3315" i="1" s="1"/>
  <c r="AG3316" i="1" s="1"/>
  <c r="AG3317" i="1" s="1"/>
  <c r="AG3318" i="1" s="1"/>
  <c r="AG3319" i="1" s="1"/>
  <c r="AG3320" i="1" s="1"/>
  <c r="AG3321" i="1" s="1"/>
  <c r="AG3322" i="1" s="1"/>
  <c r="AG3323" i="1" s="1"/>
  <c r="AG3324" i="1" s="1"/>
  <c r="AG3325" i="1" s="1"/>
  <c r="AG3326" i="1" s="1"/>
  <c r="AG3327" i="1" s="1"/>
  <c r="AG3328" i="1" s="1"/>
  <c r="AG3329" i="1" s="1"/>
  <c r="AG3330" i="1" s="1"/>
  <c r="AG3331" i="1" s="1"/>
  <c r="AG3332" i="1" s="1"/>
  <c r="AG3333" i="1" s="1"/>
  <c r="AG3334" i="1" s="1"/>
  <c r="AG3335" i="1" s="1"/>
  <c r="AG3336" i="1" s="1"/>
  <c r="AG3337" i="1" s="1"/>
  <c r="AG3338" i="1" s="1"/>
  <c r="AG3339" i="1" s="1"/>
  <c r="AG3340" i="1" s="1"/>
  <c r="AG3341" i="1" s="1"/>
  <c r="AG3342" i="1" s="1"/>
  <c r="AG3343" i="1" s="1"/>
  <c r="AG3344" i="1" s="1"/>
  <c r="AG3345" i="1" s="1"/>
  <c r="AG3346" i="1" s="1"/>
  <c r="AG3347" i="1" s="1"/>
  <c r="AG3348" i="1" s="1"/>
  <c r="AG3349" i="1" s="1"/>
  <c r="AG3350" i="1" s="1"/>
  <c r="AG3351" i="1" s="1"/>
  <c r="AG3352" i="1" s="1"/>
  <c r="AG3353" i="1" s="1"/>
  <c r="AG3354" i="1" s="1"/>
  <c r="AG3355" i="1" s="1"/>
  <c r="AG3356" i="1" s="1"/>
  <c r="AG3357" i="1" s="1"/>
  <c r="AG3358" i="1" s="1"/>
  <c r="AG3359" i="1" s="1"/>
  <c r="AG3360" i="1" s="1"/>
  <c r="AG3361" i="1" s="1"/>
  <c r="AG3362" i="1" s="1"/>
  <c r="AG3363" i="1" s="1"/>
  <c r="AG3364" i="1" s="1"/>
  <c r="AG3365" i="1" s="1"/>
  <c r="AG3366" i="1" s="1"/>
  <c r="AG3367" i="1" s="1"/>
  <c r="AG3368" i="1" s="1"/>
  <c r="AG3369" i="1" s="1"/>
  <c r="AG3370" i="1" s="1"/>
  <c r="AG3371" i="1" s="1"/>
  <c r="AG3372" i="1" s="1"/>
  <c r="AG3373" i="1" s="1"/>
  <c r="AG3374" i="1" s="1"/>
  <c r="AG3375" i="1" s="1"/>
  <c r="AG3376" i="1" s="1"/>
  <c r="AG3377" i="1" s="1"/>
  <c r="AG3378" i="1" s="1"/>
  <c r="AG3379" i="1" s="1"/>
  <c r="AG3380" i="1" s="1"/>
  <c r="AG3381" i="1" s="1"/>
  <c r="AG3382" i="1" s="1"/>
  <c r="AG3383" i="1" s="1"/>
  <c r="AG3384" i="1" s="1"/>
  <c r="AG3385" i="1" s="1"/>
  <c r="AG3386" i="1" s="1"/>
  <c r="AG3387" i="1" s="1"/>
  <c r="AG3388" i="1" s="1"/>
  <c r="AG3389" i="1" s="1"/>
  <c r="AG3390" i="1" s="1"/>
  <c r="AG3391" i="1" s="1"/>
  <c r="AG3392" i="1" s="1"/>
  <c r="AG3393" i="1" s="1"/>
  <c r="AG3394" i="1" s="1"/>
  <c r="AG3395" i="1" s="1"/>
  <c r="AG3396" i="1" s="1"/>
  <c r="AG3397" i="1" s="1"/>
  <c r="AG3398" i="1" s="1"/>
  <c r="AG3399" i="1" s="1"/>
  <c r="AG3400" i="1" s="1"/>
  <c r="AG3401" i="1" s="1"/>
  <c r="AG3402" i="1" s="1"/>
  <c r="AG3403" i="1" s="1"/>
  <c r="AG3404" i="1" s="1"/>
  <c r="AG3405" i="1" s="1"/>
  <c r="AG3406" i="1" s="1"/>
  <c r="AG3407" i="1" s="1"/>
  <c r="AG3408" i="1" s="1"/>
  <c r="AG3409" i="1" s="1"/>
  <c r="AG3410" i="1" s="1"/>
  <c r="AG3411" i="1" s="1"/>
  <c r="AG3412" i="1" s="1"/>
  <c r="AG3413" i="1" s="1"/>
  <c r="AG3414" i="1" s="1"/>
  <c r="AG3415" i="1" s="1"/>
  <c r="AG3416" i="1" s="1"/>
  <c r="AG3417" i="1" s="1"/>
  <c r="AG3418" i="1" s="1"/>
  <c r="AG3419" i="1" s="1"/>
  <c r="AG3420" i="1" s="1"/>
  <c r="AG3421" i="1" s="1"/>
  <c r="AG3422" i="1" s="1"/>
  <c r="AG3423" i="1" s="1"/>
  <c r="AG3424" i="1" s="1"/>
  <c r="AG3425" i="1" s="1"/>
  <c r="AG3426" i="1" s="1"/>
  <c r="AG3427" i="1" s="1"/>
  <c r="AG3428" i="1" s="1"/>
  <c r="AG3429" i="1" s="1"/>
  <c r="AG3430" i="1" s="1"/>
  <c r="AG3431" i="1" s="1"/>
  <c r="AG3432" i="1" s="1"/>
  <c r="AG3433" i="1" s="1"/>
  <c r="AG3434" i="1" s="1"/>
  <c r="AG3435" i="1" s="1"/>
  <c r="AG3436" i="1" s="1"/>
  <c r="AG3437" i="1" s="1"/>
  <c r="AG3438" i="1" s="1"/>
  <c r="AG3439" i="1" s="1"/>
  <c r="AG3440" i="1" s="1"/>
  <c r="AG3441" i="1" s="1"/>
  <c r="AG3442" i="1" s="1"/>
  <c r="AG3443" i="1" s="1"/>
  <c r="AG3444" i="1" s="1"/>
  <c r="AG3445" i="1" s="1"/>
  <c r="AG3446" i="1" s="1"/>
  <c r="AG3447" i="1" s="1"/>
  <c r="AG3448" i="1" s="1"/>
  <c r="AG3449" i="1" s="1"/>
  <c r="AG3450" i="1" s="1"/>
  <c r="AG3451" i="1" s="1"/>
  <c r="AG3452" i="1" s="1"/>
  <c r="AG3453" i="1" s="1"/>
  <c r="AG3454" i="1" s="1"/>
  <c r="AG3455" i="1" s="1"/>
  <c r="AG3456" i="1" s="1"/>
  <c r="AG3457" i="1" s="1"/>
  <c r="AG3458" i="1" s="1"/>
  <c r="AG3459" i="1" s="1"/>
  <c r="AG3460" i="1" s="1"/>
  <c r="AG3461" i="1" s="1"/>
  <c r="AG3462" i="1" s="1"/>
  <c r="AG3463" i="1" s="1"/>
  <c r="AG3464" i="1" s="1"/>
  <c r="AG3465" i="1" s="1"/>
  <c r="AG3466" i="1" s="1"/>
  <c r="AG3467" i="1" s="1"/>
  <c r="AG3468" i="1" s="1"/>
  <c r="AG3469" i="1" s="1"/>
  <c r="AG3470" i="1" s="1"/>
  <c r="AG3471" i="1" s="1"/>
  <c r="AG3472" i="1" s="1"/>
  <c r="AG3473" i="1" s="1"/>
  <c r="AG3474" i="1" s="1"/>
  <c r="AG3475" i="1" s="1"/>
  <c r="AG3476" i="1" s="1"/>
  <c r="AG3477" i="1" s="1"/>
  <c r="AG3478" i="1" s="1"/>
  <c r="AG3479" i="1" s="1"/>
  <c r="AG3480" i="1" s="1"/>
  <c r="AG3481" i="1" s="1"/>
  <c r="AG3482" i="1" s="1"/>
  <c r="AG3483" i="1" s="1"/>
  <c r="AG3484" i="1" s="1"/>
  <c r="AG3485" i="1" s="1"/>
  <c r="AG3486" i="1" s="1"/>
  <c r="AG3487" i="1" s="1"/>
  <c r="AG3488" i="1" s="1"/>
  <c r="AG3489" i="1" s="1"/>
  <c r="AG3490" i="1" s="1"/>
  <c r="AG3491" i="1" s="1"/>
  <c r="AG3492" i="1" s="1"/>
  <c r="AG3493" i="1" s="1"/>
  <c r="AG3494" i="1" s="1"/>
  <c r="AG3495" i="1" s="1"/>
  <c r="AG3496" i="1" s="1"/>
  <c r="AG3497" i="1" s="1"/>
  <c r="AG3498" i="1" s="1"/>
  <c r="AG3499" i="1" s="1"/>
  <c r="AG3500" i="1" s="1"/>
  <c r="AG3501" i="1" s="1"/>
  <c r="AG3502" i="1" s="1"/>
  <c r="AG3503" i="1" s="1"/>
  <c r="AG3504" i="1" s="1"/>
  <c r="AG3505" i="1" s="1"/>
  <c r="AG3506" i="1" s="1"/>
  <c r="AG3507" i="1" s="1"/>
  <c r="AG3508" i="1" s="1"/>
  <c r="AG3509" i="1" s="1"/>
  <c r="AG3510" i="1" s="1"/>
  <c r="AG3511" i="1" s="1"/>
  <c r="AG3512" i="1" s="1"/>
  <c r="AG3513" i="1" s="1"/>
  <c r="AG3514" i="1" s="1"/>
  <c r="AG3515" i="1" s="1"/>
  <c r="AG3516" i="1" s="1"/>
  <c r="AG3517" i="1" s="1"/>
  <c r="AG3518" i="1" s="1"/>
  <c r="AG3519" i="1" s="1"/>
  <c r="AG3520" i="1" s="1"/>
  <c r="AG3521" i="1" s="1"/>
  <c r="AG3522" i="1" s="1"/>
  <c r="AG3523" i="1" s="1"/>
  <c r="AG3524" i="1" s="1"/>
  <c r="AG3525" i="1" s="1"/>
  <c r="AG3526" i="1" s="1"/>
  <c r="AG3527" i="1" s="1"/>
  <c r="AG3528" i="1" s="1"/>
  <c r="AG3529" i="1" s="1"/>
  <c r="AG3530" i="1" s="1"/>
  <c r="AG3531" i="1" s="1"/>
  <c r="AG3532" i="1" s="1"/>
  <c r="AG3533" i="1" s="1"/>
  <c r="AG3534" i="1" s="1"/>
  <c r="AG3535" i="1" s="1"/>
  <c r="AG3536" i="1" s="1"/>
  <c r="AG3537" i="1" s="1"/>
  <c r="AG3538" i="1" s="1"/>
  <c r="AG3539" i="1" s="1"/>
  <c r="AG3540" i="1" s="1"/>
  <c r="AG3541" i="1" s="1"/>
  <c r="AG3542" i="1" s="1"/>
  <c r="AG3543" i="1" s="1"/>
  <c r="AG3544" i="1" s="1"/>
  <c r="AG3545" i="1" s="1"/>
  <c r="AG3546" i="1" s="1"/>
  <c r="AG3547" i="1" s="1"/>
  <c r="AG3548" i="1" s="1"/>
  <c r="AG3549" i="1" s="1"/>
  <c r="AG3550" i="1" s="1"/>
  <c r="AG3551" i="1" s="1"/>
  <c r="AG3552" i="1" s="1"/>
  <c r="AG3553" i="1" s="1"/>
  <c r="AG3554" i="1" s="1"/>
  <c r="AG3555" i="1" s="1"/>
  <c r="AG3556" i="1" s="1"/>
  <c r="AG3557" i="1" s="1"/>
  <c r="AG3558" i="1" s="1"/>
  <c r="AG3559" i="1" s="1"/>
  <c r="AG3560" i="1" s="1"/>
  <c r="AG3561" i="1" s="1"/>
  <c r="AG3562" i="1" s="1"/>
  <c r="AG3563" i="1" s="1"/>
  <c r="AG3564" i="1" s="1"/>
  <c r="AG3565" i="1" s="1"/>
  <c r="AG3566" i="1" s="1"/>
  <c r="AG3567" i="1" s="1"/>
  <c r="AG3568" i="1" s="1"/>
  <c r="AG3569" i="1" s="1"/>
  <c r="AG3570" i="1" s="1"/>
  <c r="AG3571" i="1" s="1"/>
  <c r="AG3572" i="1" s="1"/>
  <c r="AG3573" i="1" s="1"/>
  <c r="AG3574" i="1" s="1"/>
  <c r="AG3575" i="1" s="1"/>
  <c r="AG3576" i="1" s="1"/>
  <c r="AG3577" i="1" s="1"/>
  <c r="AG3578" i="1" s="1"/>
  <c r="AG3579" i="1" s="1"/>
  <c r="AG3580" i="1" s="1"/>
  <c r="AG3581" i="1" s="1"/>
  <c r="AG3582" i="1" s="1"/>
  <c r="AG3583" i="1" s="1"/>
  <c r="AG3584" i="1" s="1"/>
  <c r="AG3585" i="1" s="1"/>
  <c r="AG3586" i="1" s="1"/>
  <c r="AG3587" i="1" s="1"/>
  <c r="AG3588" i="1" s="1"/>
  <c r="AG3589" i="1" s="1"/>
  <c r="AG3590" i="1" s="1"/>
  <c r="AG3591" i="1" s="1"/>
  <c r="AG3592" i="1" s="1"/>
  <c r="AG3593" i="1" s="1"/>
  <c r="AG3594" i="1" s="1"/>
  <c r="AG3595" i="1" s="1"/>
  <c r="AG3596" i="1" s="1"/>
  <c r="AG3597" i="1" s="1"/>
  <c r="AG3598" i="1" s="1"/>
  <c r="AG3599" i="1" s="1"/>
  <c r="AG3600" i="1" s="1"/>
  <c r="AG3601" i="1" s="1"/>
  <c r="AG3602" i="1" s="1"/>
  <c r="AG3603" i="1" s="1"/>
  <c r="AG3604" i="1" s="1"/>
  <c r="AG3605" i="1" s="1"/>
  <c r="AG3606" i="1" s="1"/>
  <c r="AG3607" i="1" s="1"/>
  <c r="AG3608" i="1" s="1"/>
  <c r="AG3609" i="1" s="1"/>
  <c r="AG3610" i="1" s="1"/>
  <c r="AG3611" i="1" s="1"/>
  <c r="AG3612" i="1" s="1"/>
  <c r="AG3613" i="1" s="1"/>
  <c r="AG3614" i="1" s="1"/>
  <c r="AG3615" i="1" s="1"/>
  <c r="AG3616" i="1" s="1"/>
  <c r="AG3617" i="1" s="1"/>
  <c r="AG3618" i="1" s="1"/>
  <c r="AG3619" i="1" s="1"/>
  <c r="AG3620" i="1" s="1"/>
  <c r="AG3621" i="1" s="1"/>
  <c r="AG3622" i="1" s="1"/>
  <c r="AG3623" i="1" s="1"/>
  <c r="AG3624" i="1" s="1"/>
  <c r="AG3625" i="1" s="1"/>
  <c r="AG3626" i="1" s="1"/>
  <c r="AG3627" i="1" s="1"/>
  <c r="AG3628" i="1" s="1"/>
  <c r="AG3629" i="1" s="1"/>
  <c r="AG3630" i="1" s="1"/>
  <c r="AG3631" i="1" s="1"/>
  <c r="AG3632" i="1" s="1"/>
  <c r="AG3633" i="1" s="1"/>
  <c r="AG3634" i="1" s="1"/>
  <c r="AG3635" i="1" s="1"/>
  <c r="AG3636" i="1" s="1"/>
  <c r="AG3637" i="1" s="1"/>
  <c r="AG3638" i="1" s="1"/>
  <c r="AG3639" i="1" s="1"/>
  <c r="AG3640" i="1" s="1"/>
  <c r="AG3641" i="1" s="1"/>
  <c r="AG3642" i="1" s="1"/>
  <c r="AG3643" i="1" s="1"/>
  <c r="AG3644" i="1" s="1"/>
  <c r="AG3645" i="1" s="1"/>
  <c r="AG3646" i="1" s="1"/>
  <c r="AG3647" i="1" s="1"/>
  <c r="AG3648" i="1" s="1"/>
  <c r="AG3649" i="1" s="1"/>
  <c r="AG3650" i="1" s="1"/>
  <c r="AG3651" i="1" s="1"/>
  <c r="AG3652" i="1" s="1"/>
  <c r="AG3653" i="1" s="1"/>
  <c r="AG3654" i="1" s="1"/>
  <c r="AG3655" i="1" s="1"/>
  <c r="AG3656" i="1" s="1"/>
  <c r="AG3657" i="1" s="1"/>
  <c r="AG3658" i="1" s="1"/>
  <c r="AG3659" i="1" s="1"/>
  <c r="AG3660" i="1" s="1"/>
  <c r="AG3661" i="1" s="1"/>
  <c r="AG3662" i="1" s="1"/>
  <c r="AG3663" i="1" s="1"/>
  <c r="AG3664" i="1" s="1"/>
  <c r="AG3665" i="1" s="1"/>
  <c r="AG3666" i="1" s="1"/>
  <c r="AG3667" i="1" s="1"/>
  <c r="AG3668" i="1" s="1"/>
  <c r="AG3669" i="1" s="1"/>
  <c r="AG3670" i="1" s="1"/>
  <c r="AG3671" i="1" s="1"/>
  <c r="AG3672" i="1" s="1"/>
  <c r="AG3673" i="1" s="1"/>
  <c r="AG3674" i="1" s="1"/>
  <c r="AG3675" i="1" s="1"/>
  <c r="AG3676" i="1" s="1"/>
  <c r="AG3677" i="1" s="1"/>
  <c r="AG3678" i="1" s="1"/>
  <c r="AG3679" i="1" s="1"/>
  <c r="AG3680" i="1" s="1"/>
  <c r="AG3681" i="1" s="1"/>
  <c r="AG3682" i="1" s="1"/>
  <c r="AG3683" i="1" s="1"/>
  <c r="AG3684" i="1" s="1"/>
  <c r="AG3685" i="1" s="1"/>
  <c r="AG3686" i="1" s="1"/>
  <c r="AG3687" i="1" s="1"/>
  <c r="AG3688" i="1" s="1"/>
  <c r="AG3689" i="1" s="1"/>
  <c r="AG3690" i="1" s="1"/>
  <c r="AG3691" i="1" s="1"/>
  <c r="AG3692" i="1" s="1"/>
  <c r="AG3693" i="1" s="1"/>
  <c r="AG3694" i="1" s="1"/>
  <c r="AG3695" i="1" s="1"/>
  <c r="AG3696" i="1" s="1"/>
  <c r="AG3697" i="1" s="1"/>
  <c r="AG3698" i="1" s="1"/>
  <c r="AG3699" i="1" s="1"/>
  <c r="AG3700" i="1" s="1"/>
  <c r="AG3701" i="1" s="1"/>
  <c r="AG3702" i="1" s="1"/>
  <c r="AG3703" i="1" s="1"/>
  <c r="AG3704" i="1" s="1"/>
  <c r="AG3705" i="1" s="1"/>
  <c r="AG3706" i="1" s="1"/>
  <c r="AG3707" i="1" s="1"/>
  <c r="AG3708" i="1" s="1"/>
  <c r="AG3709" i="1" s="1"/>
  <c r="AG3710" i="1" s="1"/>
  <c r="AG3711" i="1" s="1"/>
  <c r="AG3712" i="1" s="1"/>
  <c r="AG3713" i="1" s="1"/>
  <c r="AG3714" i="1" s="1"/>
  <c r="AG3715" i="1" s="1"/>
  <c r="AG3716" i="1" s="1"/>
  <c r="AG3717" i="1" s="1"/>
  <c r="AG3718" i="1" s="1"/>
  <c r="AG3719" i="1" s="1"/>
  <c r="AG3720" i="1" s="1"/>
  <c r="AG3721" i="1" s="1"/>
  <c r="AG3722" i="1" s="1"/>
  <c r="AG3723" i="1" s="1"/>
  <c r="AG3724" i="1" s="1"/>
  <c r="AG3725" i="1" s="1"/>
  <c r="AG3726" i="1" s="1"/>
  <c r="AG3727" i="1" s="1"/>
  <c r="AG3728" i="1" s="1"/>
  <c r="AG3729" i="1" s="1"/>
  <c r="AG3730" i="1" s="1"/>
  <c r="AG3731" i="1" s="1"/>
  <c r="AG3732" i="1" s="1"/>
  <c r="AG3733" i="1" s="1"/>
  <c r="AG3734" i="1" s="1"/>
  <c r="AG3735" i="1" s="1"/>
  <c r="AG3736" i="1" s="1"/>
  <c r="AG3737" i="1" s="1"/>
  <c r="AG3738" i="1" s="1"/>
  <c r="AG3739" i="1" s="1"/>
  <c r="AG3740" i="1" s="1"/>
  <c r="AG3741" i="1" s="1"/>
  <c r="AG3742" i="1" s="1"/>
  <c r="AG3743" i="1" s="1"/>
  <c r="AG3744" i="1" s="1"/>
  <c r="AG3745" i="1" s="1"/>
  <c r="AG3746" i="1" s="1"/>
  <c r="AG3747" i="1" s="1"/>
  <c r="AG3748" i="1" s="1"/>
  <c r="AG3749" i="1" s="1"/>
  <c r="AG3750" i="1" s="1"/>
  <c r="AG3751" i="1" s="1"/>
  <c r="AG3752" i="1" s="1"/>
  <c r="AG3753" i="1" s="1"/>
  <c r="AG3754" i="1" s="1"/>
  <c r="AG3755" i="1" s="1"/>
  <c r="AG3756" i="1" s="1"/>
  <c r="AG3757" i="1" s="1"/>
  <c r="AG3758" i="1" s="1"/>
  <c r="AG3759" i="1" s="1"/>
  <c r="AG3760" i="1" s="1"/>
  <c r="AG3761" i="1" s="1"/>
  <c r="AG3762" i="1" s="1"/>
  <c r="AG3763" i="1" s="1"/>
  <c r="AG3764" i="1" s="1"/>
  <c r="AG3765" i="1" s="1"/>
  <c r="AG3766" i="1" s="1"/>
  <c r="AG3767" i="1" s="1"/>
  <c r="AG3768" i="1" s="1"/>
  <c r="AG3769" i="1" s="1"/>
  <c r="AG3770" i="1" s="1"/>
  <c r="AG3771" i="1" s="1"/>
  <c r="AG3772" i="1" s="1"/>
  <c r="AG3773" i="1" s="1"/>
  <c r="AG3774" i="1" s="1"/>
  <c r="AG3775" i="1" s="1"/>
  <c r="AG3776" i="1" s="1"/>
  <c r="AG3777" i="1" s="1"/>
  <c r="AG3778" i="1" s="1"/>
  <c r="AG3779" i="1" s="1"/>
  <c r="AG3780" i="1" s="1"/>
  <c r="AG3781" i="1" s="1"/>
  <c r="AG3782" i="1" s="1"/>
  <c r="AG3783" i="1" s="1"/>
  <c r="AG3784" i="1" s="1"/>
  <c r="AG3785" i="1" s="1"/>
  <c r="AG3786" i="1" s="1"/>
  <c r="AG3787" i="1" s="1"/>
  <c r="AG3788" i="1" s="1"/>
  <c r="AG3789" i="1" s="1"/>
  <c r="AG3790" i="1" s="1"/>
  <c r="AG3791" i="1" s="1"/>
  <c r="AG3792" i="1" s="1"/>
  <c r="AG3793" i="1" s="1"/>
  <c r="AG3794" i="1" s="1"/>
  <c r="AG3795" i="1" s="1"/>
  <c r="AG3796" i="1" s="1"/>
  <c r="AG3797" i="1" s="1"/>
  <c r="AG3798" i="1" s="1"/>
  <c r="AG3799" i="1" s="1"/>
  <c r="AG3800" i="1" s="1"/>
  <c r="AG3801" i="1" s="1"/>
  <c r="AG3802" i="1" s="1"/>
  <c r="AG3803" i="1" s="1"/>
  <c r="AG3804" i="1" s="1"/>
  <c r="AG3805" i="1" s="1"/>
  <c r="AG3806" i="1" s="1"/>
  <c r="AG3807" i="1" s="1"/>
  <c r="AG3808" i="1" s="1"/>
  <c r="AG3809" i="1" s="1"/>
  <c r="AG3810" i="1" s="1"/>
  <c r="AG3811" i="1" s="1"/>
  <c r="AG3812" i="1" s="1"/>
  <c r="AG3813" i="1" s="1"/>
  <c r="AG3814" i="1" s="1"/>
  <c r="AG3815" i="1" s="1"/>
  <c r="AG3816" i="1" s="1"/>
  <c r="AG3817" i="1" s="1"/>
  <c r="AG3818" i="1" s="1"/>
  <c r="AG3819" i="1" s="1"/>
  <c r="AG3820" i="1" s="1"/>
  <c r="AG3821" i="1" s="1"/>
  <c r="AG3822" i="1" s="1"/>
  <c r="AG3823" i="1" s="1"/>
  <c r="AG3824" i="1" s="1"/>
  <c r="AG3825" i="1" s="1"/>
  <c r="AG3826" i="1" s="1"/>
  <c r="AG3827" i="1" s="1"/>
  <c r="AG3828" i="1" s="1"/>
  <c r="AG3829" i="1" s="1"/>
  <c r="AG3830" i="1" s="1"/>
  <c r="AG3831" i="1" s="1"/>
  <c r="AG3832" i="1" s="1"/>
  <c r="AG3833" i="1" s="1"/>
  <c r="AG3834" i="1" s="1"/>
  <c r="AG3835" i="1" s="1"/>
  <c r="AG3836" i="1" s="1"/>
  <c r="AG3837" i="1" s="1"/>
  <c r="AG3838" i="1" s="1"/>
  <c r="AG3839" i="1" s="1"/>
  <c r="AG3840" i="1" s="1"/>
  <c r="AG3841" i="1" s="1"/>
  <c r="AG3842" i="1" s="1"/>
  <c r="AG3843" i="1" s="1"/>
  <c r="AG3844" i="1" s="1"/>
  <c r="AG3845" i="1" s="1"/>
  <c r="AG3846" i="1" s="1"/>
  <c r="AG3847" i="1" s="1"/>
  <c r="AG3848" i="1" s="1"/>
  <c r="AG3849" i="1" s="1"/>
  <c r="AG3850" i="1" s="1"/>
  <c r="AG3851" i="1" s="1"/>
  <c r="AG3852" i="1" s="1"/>
  <c r="AG3853" i="1" s="1"/>
  <c r="AG3854" i="1" s="1"/>
  <c r="AG3855" i="1" s="1"/>
  <c r="AG3856" i="1" s="1"/>
  <c r="AG3857" i="1" s="1"/>
  <c r="AG3858" i="1" s="1"/>
  <c r="AG3859" i="1" s="1"/>
  <c r="AG3860" i="1" s="1"/>
  <c r="AG3861" i="1" s="1"/>
  <c r="AG3862" i="1" s="1"/>
  <c r="AG3863" i="1" s="1"/>
  <c r="AG3864" i="1" s="1"/>
  <c r="AG3865" i="1" s="1"/>
  <c r="AG3866" i="1" s="1"/>
  <c r="AG3867" i="1" s="1"/>
  <c r="AG3868" i="1" s="1"/>
  <c r="AG3869" i="1" s="1"/>
  <c r="AG3870" i="1" s="1"/>
  <c r="AG3871" i="1" s="1"/>
  <c r="AG3872" i="1" s="1"/>
  <c r="AG3873" i="1" s="1"/>
  <c r="AG3874" i="1" s="1"/>
  <c r="AG3875" i="1" s="1"/>
  <c r="AG3876" i="1" s="1"/>
  <c r="AG3877" i="1" s="1"/>
  <c r="AG3878" i="1" s="1"/>
  <c r="AG3879" i="1" s="1"/>
  <c r="AG3880" i="1" s="1"/>
  <c r="AG3881" i="1" s="1"/>
  <c r="AG3882" i="1" s="1"/>
  <c r="AG3883" i="1" s="1"/>
  <c r="AG3884" i="1" s="1"/>
  <c r="AG3885" i="1" s="1"/>
  <c r="AG3886" i="1" s="1"/>
  <c r="AG3887" i="1" s="1"/>
  <c r="AG3888" i="1" s="1"/>
  <c r="AG3889" i="1" s="1"/>
  <c r="AG3890" i="1" s="1"/>
  <c r="AG3891" i="1" s="1"/>
  <c r="AG3892" i="1" s="1"/>
  <c r="AG3893" i="1" s="1"/>
  <c r="AG3894" i="1" s="1"/>
  <c r="AG3895" i="1" s="1"/>
  <c r="AG3896" i="1" s="1"/>
  <c r="AG3897" i="1" s="1"/>
  <c r="AG3898" i="1" s="1"/>
  <c r="AG3899" i="1" s="1"/>
  <c r="AG3900" i="1" s="1"/>
  <c r="AG3901" i="1" s="1"/>
  <c r="AG3902" i="1" s="1"/>
  <c r="AG3903" i="1" s="1"/>
  <c r="AG3904" i="1" s="1"/>
  <c r="AG3905" i="1" s="1"/>
  <c r="AG3906" i="1" s="1"/>
  <c r="AG3907" i="1" s="1"/>
  <c r="AG3908" i="1" s="1"/>
  <c r="AG3909" i="1" s="1"/>
  <c r="AG3910" i="1" s="1"/>
  <c r="AG3911" i="1" s="1"/>
  <c r="AG3912" i="1" s="1"/>
  <c r="AG3913" i="1" s="1"/>
  <c r="AG3914" i="1" s="1"/>
  <c r="AG3915" i="1" s="1"/>
  <c r="AG3916" i="1" s="1"/>
  <c r="AG3917" i="1" s="1"/>
  <c r="AG3918" i="1" s="1"/>
  <c r="AG3919" i="1" s="1"/>
  <c r="AG3920" i="1" s="1"/>
  <c r="AG3921" i="1" s="1"/>
  <c r="AG3922" i="1" s="1"/>
  <c r="AG3923" i="1" s="1"/>
  <c r="AG3924" i="1" s="1"/>
  <c r="AG3925" i="1" s="1"/>
  <c r="AG3926" i="1" s="1"/>
  <c r="AG3927" i="1" s="1"/>
  <c r="AG3928" i="1" s="1"/>
  <c r="AG3929" i="1" s="1"/>
  <c r="AG3930" i="1" s="1"/>
  <c r="AG3931" i="1" s="1"/>
  <c r="AG3932" i="1" s="1"/>
  <c r="AG3933" i="1" s="1"/>
  <c r="AG3934" i="1" s="1"/>
  <c r="AG3935" i="1" s="1"/>
  <c r="AG3936" i="1" s="1"/>
  <c r="AG3937" i="1" s="1"/>
  <c r="AG3938" i="1" s="1"/>
  <c r="AG3939" i="1" s="1"/>
  <c r="AG3940" i="1" s="1"/>
  <c r="AG3941" i="1" s="1"/>
  <c r="AG3942" i="1" s="1"/>
  <c r="AG3943" i="1" s="1"/>
  <c r="AG3944" i="1" s="1"/>
  <c r="AG3945" i="1" s="1"/>
  <c r="AG3946" i="1" s="1"/>
  <c r="AG3947" i="1" s="1"/>
  <c r="AG3948" i="1" s="1"/>
  <c r="AG3949" i="1" s="1"/>
  <c r="AG3950" i="1" s="1"/>
  <c r="AG3951" i="1" s="1"/>
  <c r="AG3952" i="1" s="1"/>
  <c r="AG3953" i="1" s="1"/>
  <c r="AG3954" i="1" s="1"/>
  <c r="AG3955" i="1" s="1"/>
  <c r="AG3956" i="1" s="1"/>
  <c r="AG3957" i="1" s="1"/>
  <c r="AG3958" i="1" s="1"/>
  <c r="AG3959" i="1" s="1"/>
  <c r="AG3960" i="1" s="1"/>
  <c r="AG3961" i="1" s="1"/>
  <c r="AG3962" i="1" s="1"/>
  <c r="AG3963" i="1" s="1"/>
  <c r="AG3964" i="1" s="1"/>
  <c r="AG3965" i="1" s="1"/>
  <c r="AG3966" i="1" s="1"/>
  <c r="AG3967" i="1" s="1"/>
  <c r="AG3968" i="1" s="1"/>
  <c r="AG3969" i="1" s="1"/>
  <c r="AG3970" i="1" s="1"/>
  <c r="AG3971" i="1" s="1"/>
  <c r="AG3972" i="1" s="1"/>
  <c r="AG3973" i="1" s="1"/>
  <c r="AG3974" i="1" s="1"/>
  <c r="AG3975" i="1" s="1"/>
  <c r="AG3976" i="1" s="1"/>
  <c r="AG3977" i="1" s="1"/>
  <c r="AG3978" i="1" s="1"/>
  <c r="AG3979" i="1" s="1"/>
  <c r="AG3980" i="1" s="1"/>
  <c r="AG3981" i="1" s="1"/>
  <c r="AG3982" i="1" s="1"/>
  <c r="AG3983" i="1" s="1"/>
  <c r="AG3984" i="1" s="1"/>
  <c r="AG3985" i="1" s="1"/>
  <c r="AG3986" i="1" s="1"/>
  <c r="AG3987" i="1" s="1"/>
  <c r="AG3988" i="1" s="1"/>
  <c r="AG3989" i="1" s="1"/>
  <c r="AG3990" i="1" s="1"/>
  <c r="AG3991" i="1" s="1"/>
  <c r="AG3992" i="1" s="1"/>
  <c r="AG3993" i="1" s="1"/>
  <c r="AG3994" i="1" s="1"/>
  <c r="AG3995" i="1" s="1"/>
  <c r="AG3996" i="1" s="1"/>
  <c r="AG3997" i="1" s="1"/>
  <c r="AG3998" i="1" s="1"/>
  <c r="AG3999" i="1" s="1"/>
  <c r="AG4000" i="1" s="1"/>
  <c r="AE2070" i="1"/>
  <c r="B1656" i="1"/>
  <c r="AG1656" i="1"/>
  <c r="AF1656" i="1"/>
  <c r="AN1656" i="1" s="1"/>
  <c r="AN1655" i="1"/>
  <c r="AF1658" i="1" l="1"/>
  <c r="AN1658" i="1" s="1"/>
  <c r="AE2071" i="1"/>
  <c r="AF1659" i="1" l="1"/>
  <c r="AN1659" i="1" s="1"/>
  <c r="AE2072" i="1"/>
  <c r="AF1660" i="1" l="1"/>
  <c r="AE2073" i="1"/>
  <c r="AF1661" i="1" l="1"/>
  <c r="AN1660" i="1"/>
  <c r="AE2074" i="1"/>
  <c r="AF1662" i="1" l="1"/>
  <c r="AN1661" i="1"/>
  <c r="AE2075" i="1"/>
  <c r="AF1663" i="1" l="1"/>
  <c r="AN1662" i="1"/>
  <c r="AE2076" i="1"/>
  <c r="AF1664" i="1" l="1"/>
  <c r="AN1663" i="1"/>
  <c r="AE2077" i="1"/>
  <c r="AF1665" i="1" l="1"/>
  <c r="AN1664" i="1"/>
  <c r="AE2078" i="1"/>
  <c r="AF1666" i="1" l="1"/>
  <c r="AN1665" i="1"/>
  <c r="AE2079" i="1"/>
  <c r="AF1667" i="1" l="1"/>
  <c r="AN1666" i="1"/>
  <c r="AE2080" i="1"/>
  <c r="AF1668" i="1" l="1"/>
  <c r="AN1667" i="1"/>
  <c r="AE2081" i="1"/>
  <c r="AF1669" i="1" l="1"/>
  <c r="AN1668" i="1"/>
  <c r="AE2082" i="1"/>
  <c r="AF1670" i="1" l="1"/>
  <c r="AN1669" i="1"/>
  <c r="AE2083" i="1"/>
  <c r="AF1671" i="1" l="1"/>
  <c r="AN1670" i="1"/>
  <c r="AE2084" i="1"/>
  <c r="AF1672" i="1" l="1"/>
  <c r="AN1671" i="1"/>
  <c r="AE2085" i="1"/>
  <c r="AF1673" i="1" l="1"/>
  <c r="AN1672" i="1"/>
  <c r="AE2086" i="1"/>
  <c r="AF1674" i="1" l="1"/>
  <c r="AN1673" i="1"/>
  <c r="AE2087" i="1"/>
  <c r="AF1675" i="1" l="1"/>
  <c r="AN1674" i="1"/>
  <c r="AE2088" i="1"/>
  <c r="AF1676" i="1" l="1"/>
  <c r="AN1675" i="1"/>
  <c r="AE2089" i="1"/>
  <c r="AF1677" i="1" l="1"/>
  <c r="AN1676" i="1"/>
  <c r="AE2090" i="1"/>
  <c r="AF1678" i="1" l="1"/>
  <c r="AN1677" i="1"/>
  <c r="AE2091" i="1"/>
  <c r="AF1679" i="1" l="1"/>
  <c r="AN1678" i="1"/>
  <c r="AE2092" i="1"/>
  <c r="AF1680" i="1" l="1"/>
  <c r="AN1679" i="1"/>
  <c r="AE2093" i="1"/>
  <c r="AF1681" i="1" l="1"/>
  <c r="AN1680" i="1"/>
  <c r="AE2094" i="1"/>
  <c r="AF1682" i="1" l="1"/>
  <c r="AN1681" i="1"/>
  <c r="AE2095" i="1"/>
  <c r="AF1683" i="1" l="1"/>
  <c r="AN1682" i="1"/>
  <c r="AE2096" i="1"/>
  <c r="AF1684" i="1" l="1"/>
  <c r="AN1683" i="1"/>
  <c r="AE2097" i="1"/>
  <c r="AF1685" i="1" l="1"/>
  <c r="AN1684" i="1"/>
  <c r="AE2098" i="1"/>
  <c r="AF1686" i="1" l="1"/>
  <c r="AN1685" i="1"/>
  <c r="AE2099" i="1"/>
  <c r="AF1687" i="1" l="1"/>
  <c r="AN1686" i="1"/>
  <c r="AE2100" i="1"/>
  <c r="AF1688" i="1" l="1"/>
  <c r="AN1687" i="1"/>
  <c r="AE2101" i="1"/>
  <c r="AF1689" i="1" l="1"/>
  <c r="AN1688" i="1"/>
  <c r="AE2102" i="1"/>
  <c r="AF1690" i="1" l="1"/>
  <c r="AN1689" i="1"/>
  <c r="AE2103" i="1"/>
  <c r="AF1691" i="1" l="1"/>
  <c r="AN1690" i="1"/>
  <c r="AE2104" i="1"/>
  <c r="AF1692" i="1" l="1"/>
  <c r="AN1691" i="1"/>
  <c r="AE2105" i="1"/>
  <c r="AF1693" i="1" l="1"/>
  <c r="AN1692" i="1"/>
  <c r="AE2106" i="1"/>
  <c r="AF1694" i="1" l="1"/>
  <c r="AN1693" i="1"/>
  <c r="AE2107" i="1"/>
  <c r="AF1695" i="1" l="1"/>
  <c r="AN1694" i="1"/>
  <c r="AE2108" i="1"/>
  <c r="AF1696" i="1" l="1"/>
  <c r="AN1695" i="1"/>
  <c r="AE2109" i="1"/>
  <c r="AF1697" i="1" l="1"/>
  <c r="AN1696" i="1"/>
  <c r="AE2110" i="1"/>
  <c r="AF1698" i="1" l="1"/>
  <c r="AN1697" i="1"/>
  <c r="AE2111" i="1"/>
  <c r="AF1699" i="1" l="1"/>
  <c r="AN1698" i="1"/>
  <c r="AE2112" i="1"/>
  <c r="AF1700" i="1" l="1"/>
  <c r="AN1699" i="1"/>
  <c r="AE2113" i="1"/>
  <c r="AF1701" i="1" l="1"/>
  <c r="AN1700" i="1"/>
  <c r="AE2114" i="1"/>
  <c r="AF1702" i="1" l="1"/>
  <c r="AN1701" i="1"/>
  <c r="AE2115" i="1"/>
  <c r="AF1703" i="1" l="1"/>
  <c r="AN1702" i="1"/>
  <c r="AE2116" i="1"/>
  <c r="AF1704" i="1" l="1"/>
  <c r="AN1703" i="1"/>
  <c r="AE2117" i="1"/>
  <c r="AF1705" i="1" l="1"/>
  <c r="AN1704" i="1"/>
  <c r="AE2118" i="1"/>
  <c r="AF1706" i="1" l="1"/>
  <c r="AN1705" i="1"/>
  <c r="AE2119" i="1"/>
  <c r="AF1707" i="1" l="1"/>
  <c r="AN1706" i="1"/>
  <c r="AE2120" i="1"/>
  <c r="AF1708" i="1" l="1"/>
  <c r="AN1707" i="1"/>
  <c r="AE2121" i="1"/>
  <c r="AF1709" i="1" l="1"/>
  <c r="AN1708" i="1"/>
  <c r="AE2122" i="1"/>
  <c r="AF1710" i="1" l="1"/>
  <c r="AN1709" i="1"/>
  <c r="AE2123" i="1"/>
  <c r="AF1711" i="1" l="1"/>
  <c r="AN1710" i="1"/>
  <c r="AE2124" i="1"/>
  <c r="AF1712" i="1" l="1"/>
  <c r="AN1711" i="1"/>
  <c r="AE2125" i="1"/>
  <c r="AF1713" i="1" l="1"/>
  <c r="AN1712" i="1"/>
  <c r="AE2126" i="1"/>
  <c r="AF1714" i="1" l="1"/>
  <c r="AN1713" i="1"/>
  <c r="AE2127" i="1"/>
  <c r="AF1715" i="1" l="1"/>
  <c r="AN1714" i="1"/>
  <c r="AE2128" i="1"/>
  <c r="AF1716" i="1" l="1"/>
  <c r="AN1715" i="1"/>
  <c r="AE2129" i="1"/>
  <c r="AF1717" i="1" l="1"/>
  <c r="AN1716" i="1"/>
  <c r="AE2130" i="1"/>
  <c r="AF1718" i="1" l="1"/>
  <c r="AN1717" i="1"/>
  <c r="AE2131" i="1"/>
  <c r="AF1719" i="1" l="1"/>
  <c r="AN1718" i="1"/>
  <c r="AE2132" i="1"/>
  <c r="AF1720" i="1" l="1"/>
  <c r="AN1719" i="1"/>
  <c r="AE2133" i="1"/>
  <c r="AF1721" i="1" l="1"/>
  <c r="AN1720" i="1"/>
  <c r="AE2134" i="1"/>
  <c r="AF1722" i="1" l="1"/>
  <c r="AN1721" i="1"/>
  <c r="AE2135" i="1"/>
  <c r="AF1723" i="1" l="1"/>
  <c r="AN1722" i="1"/>
  <c r="AE2136" i="1"/>
  <c r="AF1724" i="1" l="1"/>
  <c r="AN1723" i="1"/>
  <c r="AE2137" i="1"/>
  <c r="AF1725" i="1" l="1"/>
  <c r="AN1724" i="1"/>
  <c r="AE2138" i="1"/>
  <c r="AF1726" i="1" l="1"/>
  <c r="AN1725" i="1"/>
  <c r="AE2139" i="1"/>
  <c r="AF1727" i="1" l="1"/>
  <c r="AN1726" i="1"/>
  <c r="AE2140" i="1"/>
  <c r="AF1728" i="1" l="1"/>
  <c r="AN1727" i="1"/>
  <c r="AE2141" i="1"/>
  <c r="AF1729" i="1" l="1"/>
  <c r="AN1728" i="1"/>
  <c r="AE2142" i="1"/>
  <c r="AF1730" i="1" l="1"/>
  <c r="AN1729" i="1"/>
  <c r="AE2143" i="1"/>
  <c r="AF1731" i="1" l="1"/>
  <c r="AN1730" i="1"/>
  <c r="AE2144" i="1"/>
  <c r="AF1732" i="1" l="1"/>
  <c r="AN1731" i="1"/>
  <c r="AE2145" i="1"/>
  <c r="AF1733" i="1" l="1"/>
  <c r="AN1732" i="1"/>
  <c r="AE2146" i="1"/>
  <c r="AF1734" i="1" l="1"/>
  <c r="AN1733" i="1"/>
  <c r="AE2147" i="1"/>
  <c r="AF1735" i="1" l="1"/>
  <c r="AN1734" i="1"/>
  <c r="AE2148" i="1"/>
  <c r="AF1736" i="1" l="1"/>
  <c r="AN1735" i="1"/>
  <c r="AE2149" i="1"/>
  <c r="AF1737" i="1" l="1"/>
  <c r="AN1736" i="1"/>
  <c r="AE2150" i="1"/>
  <c r="AF1738" i="1" l="1"/>
  <c r="AN1737" i="1"/>
  <c r="AE2151" i="1"/>
  <c r="AF1739" i="1" l="1"/>
  <c r="AN1738" i="1"/>
  <c r="AE2152" i="1"/>
  <c r="AF1740" i="1" l="1"/>
  <c r="AN1739" i="1"/>
  <c r="AE2153" i="1"/>
  <c r="AF1741" i="1" l="1"/>
  <c r="AN1740" i="1"/>
  <c r="AE2154" i="1"/>
  <c r="AF1742" i="1" l="1"/>
  <c r="AN1741" i="1"/>
  <c r="AE2155" i="1"/>
  <c r="AF1743" i="1" l="1"/>
  <c r="AN1742" i="1"/>
  <c r="AE2156" i="1"/>
  <c r="AF1744" i="1" l="1"/>
  <c r="AN1743" i="1"/>
  <c r="AE2157" i="1"/>
  <c r="AF1745" i="1" l="1"/>
  <c r="AN1744" i="1"/>
  <c r="AE2158" i="1"/>
  <c r="AF1746" i="1" l="1"/>
  <c r="AN1745" i="1"/>
  <c r="AE2159" i="1"/>
  <c r="AF1747" i="1" l="1"/>
  <c r="AN1746" i="1"/>
  <c r="AE2160" i="1"/>
  <c r="AF1748" i="1" l="1"/>
  <c r="AN1747" i="1"/>
  <c r="AE2161" i="1"/>
  <c r="AF1749" i="1" l="1"/>
  <c r="AN1748" i="1"/>
  <c r="AE2162" i="1"/>
  <c r="AF1750" i="1" l="1"/>
  <c r="AN1749" i="1"/>
  <c r="AE2163" i="1"/>
  <c r="AF1751" i="1" l="1"/>
  <c r="AN1750" i="1"/>
  <c r="AE2164" i="1"/>
  <c r="AF1752" i="1" l="1"/>
  <c r="AN1751" i="1"/>
  <c r="AE2165" i="1"/>
  <c r="AF1753" i="1" l="1"/>
  <c r="AN1752" i="1"/>
  <c r="AE2166" i="1"/>
  <c r="AF1754" i="1" l="1"/>
  <c r="AN1753" i="1"/>
  <c r="AE2167" i="1"/>
  <c r="AF1755" i="1" l="1"/>
  <c r="AN1754" i="1"/>
  <c r="AE2168" i="1"/>
  <c r="AF1756" i="1" l="1"/>
  <c r="AN1755" i="1"/>
  <c r="AE2169" i="1"/>
  <c r="AF1757" i="1" l="1"/>
  <c r="AN1756" i="1"/>
  <c r="AE2170" i="1"/>
  <c r="AF1758" i="1" l="1"/>
  <c r="AN1757" i="1"/>
  <c r="AE2171" i="1"/>
  <c r="AF1759" i="1" l="1"/>
  <c r="AN1758" i="1"/>
  <c r="AE2172" i="1"/>
  <c r="AF1760" i="1" l="1"/>
  <c r="AN1759" i="1"/>
  <c r="AE2173" i="1"/>
  <c r="AF1761" i="1" l="1"/>
  <c r="AN1760" i="1"/>
  <c r="AE2174" i="1"/>
  <c r="AF1762" i="1" l="1"/>
  <c r="AN1761" i="1"/>
  <c r="AE2175" i="1"/>
  <c r="AF1763" i="1" l="1"/>
  <c r="AN1762" i="1"/>
  <c r="AE2176" i="1"/>
  <c r="AF1764" i="1" l="1"/>
  <c r="AN1763" i="1"/>
  <c r="AE2177" i="1"/>
  <c r="AF1765" i="1" l="1"/>
  <c r="AN1764" i="1"/>
  <c r="AE2178" i="1"/>
  <c r="AF1766" i="1" l="1"/>
  <c r="AN1765" i="1"/>
  <c r="AE2179" i="1"/>
  <c r="AF1767" i="1" l="1"/>
  <c r="AN1766" i="1"/>
  <c r="AE2180" i="1"/>
  <c r="AF1768" i="1" l="1"/>
  <c r="AN1767" i="1"/>
  <c r="AE2181" i="1"/>
  <c r="AF1769" i="1" l="1"/>
  <c r="AN1768" i="1"/>
  <c r="AE2182" i="1"/>
  <c r="AF1770" i="1" l="1"/>
  <c r="AN1769" i="1"/>
  <c r="AE2183" i="1"/>
  <c r="AF1771" i="1" l="1"/>
  <c r="AN1770" i="1"/>
  <c r="AE2184" i="1"/>
  <c r="AF1772" i="1" l="1"/>
  <c r="AN1771" i="1"/>
  <c r="AE2185" i="1"/>
  <c r="AF1773" i="1" l="1"/>
  <c r="AN1772" i="1"/>
  <c r="AE2186" i="1"/>
  <c r="AF1774" i="1" l="1"/>
  <c r="AN1773" i="1"/>
  <c r="AE2187" i="1"/>
  <c r="AF1775" i="1" l="1"/>
  <c r="AN1774" i="1"/>
  <c r="AE2188" i="1"/>
  <c r="AF1776" i="1" l="1"/>
  <c r="AN1775" i="1"/>
  <c r="AE2189" i="1"/>
  <c r="AF1777" i="1" l="1"/>
  <c r="AN1776" i="1"/>
  <c r="AE2190" i="1"/>
  <c r="AF1778" i="1" l="1"/>
  <c r="AN1777" i="1"/>
  <c r="AE2191" i="1"/>
  <c r="AF1779" i="1" l="1"/>
  <c r="AN1778" i="1"/>
  <c r="AE2192" i="1"/>
  <c r="AF1780" i="1" l="1"/>
  <c r="AN1779" i="1"/>
  <c r="AE2193" i="1"/>
  <c r="AF1781" i="1" l="1"/>
  <c r="AN1780" i="1"/>
  <c r="AE2194" i="1"/>
  <c r="AF1782" i="1" l="1"/>
  <c r="AN1781" i="1"/>
  <c r="AE2195" i="1"/>
  <c r="AF1783" i="1" l="1"/>
  <c r="AN1782" i="1"/>
  <c r="AE2196" i="1"/>
  <c r="AF1784" i="1" l="1"/>
  <c r="AN1783" i="1"/>
  <c r="AE2197" i="1"/>
  <c r="AF1785" i="1" l="1"/>
  <c r="AN1784" i="1"/>
  <c r="AE2198" i="1"/>
  <c r="AF1786" i="1" l="1"/>
  <c r="AN1785" i="1"/>
  <c r="AE2199" i="1"/>
  <c r="AF1787" i="1" l="1"/>
  <c r="AN1786" i="1"/>
  <c r="AE2200" i="1"/>
  <c r="AF1788" i="1" l="1"/>
  <c r="AN1787" i="1"/>
  <c r="AE2201" i="1"/>
  <c r="AF1789" i="1" l="1"/>
  <c r="AN1788" i="1"/>
  <c r="AE2202" i="1"/>
  <c r="AF1790" i="1" l="1"/>
  <c r="AN1789" i="1"/>
  <c r="AE2203" i="1"/>
  <c r="AF1791" i="1" l="1"/>
  <c r="AN1790" i="1"/>
  <c r="AE2204" i="1"/>
  <c r="AF1792" i="1" l="1"/>
  <c r="AN1791" i="1"/>
  <c r="AE2205" i="1"/>
  <c r="AF1793" i="1" l="1"/>
  <c r="AN1792" i="1"/>
  <c r="AE2206" i="1"/>
  <c r="AF1794" i="1" l="1"/>
  <c r="AN1793" i="1"/>
  <c r="AE2207" i="1"/>
  <c r="AF1795" i="1" l="1"/>
  <c r="AN1794" i="1"/>
  <c r="AE2208" i="1"/>
  <c r="AF1796" i="1" l="1"/>
  <c r="AN1795" i="1"/>
  <c r="AE2209" i="1"/>
  <c r="AF1797" i="1" l="1"/>
  <c r="AN1796" i="1"/>
  <c r="AE2210" i="1"/>
  <c r="AF1798" i="1" l="1"/>
  <c r="AN1797" i="1"/>
  <c r="AE2211" i="1"/>
  <c r="AF1799" i="1" l="1"/>
  <c r="AN1798" i="1"/>
  <c r="AE2212" i="1"/>
  <c r="AF1800" i="1" l="1"/>
  <c r="AN1799" i="1"/>
  <c r="AE2213" i="1"/>
  <c r="AF1801" i="1" l="1"/>
  <c r="AN1800" i="1"/>
  <c r="AE2214" i="1"/>
  <c r="AF1802" i="1" l="1"/>
  <c r="AN1801" i="1"/>
  <c r="AE2215" i="1"/>
  <c r="AF1803" i="1" l="1"/>
  <c r="AN1802" i="1"/>
  <c r="AE2216" i="1"/>
  <c r="AF1804" i="1" l="1"/>
  <c r="AN1803" i="1"/>
  <c r="AE2217" i="1"/>
  <c r="AF1805" i="1" l="1"/>
  <c r="AN1804" i="1"/>
  <c r="AE2218" i="1"/>
  <c r="AF1806" i="1" l="1"/>
  <c r="AN1805" i="1"/>
  <c r="AE2219" i="1"/>
  <c r="AF1807" i="1" l="1"/>
  <c r="AN1806" i="1"/>
  <c r="AE2220" i="1"/>
  <c r="AF1808" i="1" l="1"/>
  <c r="AN1807" i="1"/>
  <c r="AE2221" i="1"/>
  <c r="AF1809" i="1" l="1"/>
  <c r="AN1808" i="1"/>
  <c r="AE2222" i="1"/>
  <c r="AF1810" i="1" l="1"/>
  <c r="AN1809" i="1"/>
  <c r="AE2223" i="1"/>
  <c r="AF1811" i="1" l="1"/>
  <c r="AN1810" i="1"/>
  <c r="AE2224" i="1"/>
  <c r="AF1812" i="1" l="1"/>
  <c r="AN1811" i="1"/>
  <c r="AE2225" i="1"/>
  <c r="AF1813" i="1" l="1"/>
  <c r="AN1812" i="1"/>
  <c r="AE2226" i="1"/>
  <c r="AF1814" i="1" l="1"/>
  <c r="AN1813" i="1"/>
  <c r="AE2227" i="1"/>
  <c r="AF1815" i="1" l="1"/>
  <c r="AN1814" i="1"/>
  <c r="AE2228" i="1"/>
  <c r="AF1816" i="1" l="1"/>
  <c r="AN1815" i="1"/>
  <c r="AE2229" i="1"/>
  <c r="AF1817" i="1" l="1"/>
  <c r="AN1816" i="1"/>
  <c r="AE2230" i="1"/>
  <c r="AF1818" i="1" l="1"/>
  <c r="AN1817" i="1"/>
  <c r="AE2231" i="1"/>
  <c r="AF1819" i="1" l="1"/>
  <c r="AN1818" i="1"/>
  <c r="AE2232" i="1"/>
  <c r="AF1820" i="1" l="1"/>
  <c r="AN1819" i="1"/>
  <c r="AE2233" i="1"/>
  <c r="AF1821" i="1" l="1"/>
  <c r="AN1820" i="1"/>
  <c r="AE2234" i="1"/>
  <c r="AF1822" i="1" l="1"/>
  <c r="AN1821" i="1"/>
  <c r="AE2235" i="1"/>
  <c r="AF1823" i="1" l="1"/>
  <c r="AN1822" i="1"/>
  <c r="AE2236" i="1"/>
  <c r="AF1824" i="1" l="1"/>
  <c r="AN1823" i="1"/>
  <c r="AE2237" i="1"/>
  <c r="AF1825" i="1" l="1"/>
  <c r="AN1824" i="1"/>
  <c r="AE2238" i="1"/>
  <c r="AF1826" i="1" l="1"/>
  <c r="AN1825" i="1"/>
  <c r="AE2239" i="1"/>
  <c r="AF1827" i="1" l="1"/>
  <c r="AN1826" i="1"/>
  <c r="AE2240" i="1"/>
  <c r="AF1828" i="1" l="1"/>
  <c r="AN1827" i="1"/>
  <c r="AE2241" i="1"/>
  <c r="AF1829" i="1" l="1"/>
  <c r="AN1828" i="1"/>
  <c r="AE2242" i="1"/>
  <c r="AF1830" i="1" l="1"/>
  <c r="AN1829" i="1"/>
  <c r="AE2243" i="1"/>
  <c r="AF1831" i="1" l="1"/>
  <c r="AN1830" i="1"/>
  <c r="AE2244" i="1"/>
  <c r="AF1832" i="1" l="1"/>
  <c r="AN1831" i="1"/>
  <c r="AE2245" i="1"/>
  <c r="AF1833" i="1" l="1"/>
  <c r="AN1832" i="1"/>
  <c r="AE2246" i="1"/>
  <c r="AF1834" i="1" l="1"/>
  <c r="AN1833" i="1"/>
  <c r="AE2247" i="1"/>
  <c r="AF1835" i="1" l="1"/>
  <c r="AN1834" i="1"/>
  <c r="AE2248" i="1"/>
  <c r="AF1836" i="1" l="1"/>
  <c r="AN1835" i="1"/>
  <c r="AE2249" i="1"/>
  <c r="AF1837" i="1" l="1"/>
  <c r="AN1836" i="1"/>
  <c r="AE2250" i="1"/>
  <c r="AF1838" i="1" l="1"/>
  <c r="AN1837" i="1"/>
  <c r="AE2251" i="1"/>
  <c r="AF1839" i="1" l="1"/>
  <c r="AN1838" i="1"/>
  <c r="AE2252" i="1"/>
  <c r="AF1840" i="1" l="1"/>
  <c r="AN1839" i="1"/>
  <c r="AE2253" i="1"/>
  <c r="AF1841" i="1" l="1"/>
  <c r="AN1840" i="1"/>
  <c r="AE2254" i="1"/>
  <c r="AF1842" i="1" l="1"/>
  <c r="AN1841" i="1"/>
  <c r="AE2255" i="1"/>
  <c r="AF1843" i="1" l="1"/>
  <c r="AN1842" i="1"/>
  <c r="AE2256" i="1"/>
  <c r="AF1844" i="1" l="1"/>
  <c r="AN1843" i="1"/>
  <c r="AE2257" i="1"/>
  <c r="AF1845" i="1" l="1"/>
  <c r="AN1844" i="1"/>
  <c r="AE2258" i="1"/>
  <c r="AF1846" i="1" l="1"/>
  <c r="AN1845" i="1"/>
  <c r="AE2259" i="1"/>
  <c r="AF1847" i="1" l="1"/>
  <c r="AN1846" i="1"/>
  <c r="AE2260" i="1"/>
  <c r="AF1848" i="1" l="1"/>
  <c r="AN1847" i="1"/>
  <c r="AE2261" i="1"/>
  <c r="AF1849" i="1" l="1"/>
  <c r="AN1848" i="1"/>
  <c r="AE2262" i="1"/>
  <c r="AF1850" i="1" l="1"/>
  <c r="AN1849" i="1"/>
  <c r="AE2263" i="1"/>
  <c r="AF1851" i="1" l="1"/>
  <c r="AN1850" i="1"/>
  <c r="AE2264" i="1"/>
  <c r="AF1852" i="1" l="1"/>
  <c r="AN1851" i="1"/>
  <c r="AE2265" i="1"/>
  <c r="AF1853" i="1" l="1"/>
  <c r="AN1852" i="1"/>
  <c r="AE2266" i="1"/>
  <c r="AF1854" i="1" l="1"/>
  <c r="AN1853" i="1"/>
  <c r="AE2267" i="1"/>
  <c r="AF1855" i="1" l="1"/>
  <c r="AN1854" i="1"/>
  <c r="AE2268" i="1"/>
  <c r="AF1856" i="1" l="1"/>
  <c r="AN1855" i="1"/>
  <c r="AE2269" i="1"/>
  <c r="AF1857" i="1" l="1"/>
  <c r="AN1856" i="1"/>
  <c r="AE2270" i="1"/>
  <c r="AF1858" i="1" l="1"/>
  <c r="AN1857" i="1"/>
  <c r="AE2271" i="1"/>
  <c r="AF1859" i="1" l="1"/>
  <c r="AN1858" i="1"/>
  <c r="AE2272" i="1"/>
  <c r="AF1860" i="1" l="1"/>
  <c r="AN1859" i="1"/>
  <c r="AE2273" i="1"/>
  <c r="AF1861" i="1" l="1"/>
  <c r="AN1860" i="1"/>
  <c r="AE2274" i="1"/>
  <c r="AF1862" i="1" l="1"/>
  <c r="AN1861" i="1"/>
  <c r="AE2275" i="1"/>
  <c r="AF1863" i="1" l="1"/>
  <c r="AN1862" i="1"/>
  <c r="AE2276" i="1"/>
  <c r="AF1864" i="1" l="1"/>
  <c r="AN1863" i="1"/>
  <c r="AE2277" i="1"/>
  <c r="AF1865" i="1" l="1"/>
  <c r="AN1864" i="1"/>
  <c r="AE2278" i="1"/>
  <c r="AF1866" i="1" l="1"/>
  <c r="AN1865" i="1"/>
  <c r="AE2279" i="1"/>
  <c r="AF1867" i="1" l="1"/>
  <c r="AN1866" i="1"/>
  <c r="AE2280" i="1"/>
  <c r="AF1868" i="1" l="1"/>
  <c r="AN1867" i="1"/>
  <c r="AE2281" i="1"/>
  <c r="AF1869" i="1" l="1"/>
  <c r="AN1868" i="1"/>
  <c r="AE2282" i="1"/>
  <c r="AF1870" i="1" l="1"/>
  <c r="AN1869" i="1"/>
  <c r="AE2283" i="1"/>
  <c r="AF1871" i="1" l="1"/>
  <c r="AN1870" i="1"/>
  <c r="AE2284" i="1"/>
  <c r="AF1872" i="1" l="1"/>
  <c r="AN1871" i="1"/>
  <c r="AE2285" i="1"/>
  <c r="AF1873" i="1" l="1"/>
  <c r="AN1872" i="1"/>
  <c r="AE2286" i="1"/>
  <c r="AF1874" i="1" l="1"/>
  <c r="AN1873" i="1"/>
  <c r="AE2287" i="1"/>
  <c r="AF1875" i="1" l="1"/>
  <c r="AN1874" i="1"/>
  <c r="AE2288" i="1"/>
  <c r="AF1876" i="1" l="1"/>
  <c r="AN1875" i="1"/>
  <c r="AE2289" i="1"/>
  <c r="AF1877" i="1" l="1"/>
  <c r="AN1876" i="1"/>
  <c r="AE2290" i="1"/>
  <c r="AF1878" i="1" l="1"/>
  <c r="AN1877" i="1"/>
  <c r="AE2291" i="1"/>
  <c r="AF1879" i="1" l="1"/>
  <c r="AN1878" i="1"/>
  <c r="AE2292" i="1"/>
  <c r="AF1880" i="1" l="1"/>
  <c r="AN1879" i="1"/>
  <c r="AE2293" i="1"/>
  <c r="AF1881" i="1" l="1"/>
  <c r="AN1880" i="1"/>
  <c r="AE2294" i="1"/>
  <c r="AF1882" i="1" l="1"/>
  <c r="AN1881" i="1"/>
  <c r="AE2295" i="1"/>
  <c r="AF1883" i="1" l="1"/>
  <c r="AN1882" i="1"/>
  <c r="AE2296" i="1"/>
  <c r="AF1884" i="1" l="1"/>
  <c r="AN1883" i="1"/>
  <c r="AE2297" i="1"/>
  <c r="AF1885" i="1" l="1"/>
  <c r="AN1884" i="1"/>
  <c r="AE2298" i="1"/>
  <c r="AF1886" i="1" l="1"/>
  <c r="AN1885" i="1"/>
  <c r="AE2299" i="1"/>
  <c r="AF1887" i="1" l="1"/>
  <c r="AN1886" i="1"/>
  <c r="AE2300" i="1"/>
  <c r="AF1888" i="1" l="1"/>
  <c r="AN1887" i="1"/>
  <c r="AE2301" i="1"/>
  <c r="AF1889" i="1" l="1"/>
  <c r="AN1888" i="1"/>
  <c r="AE2302" i="1"/>
  <c r="AF1890" i="1" l="1"/>
  <c r="AN1889" i="1"/>
  <c r="AE2303" i="1"/>
  <c r="AF1891" i="1" l="1"/>
  <c r="AN1890" i="1"/>
  <c r="AE2304" i="1"/>
  <c r="AF1892" i="1" l="1"/>
  <c r="AN1891" i="1"/>
  <c r="AE2305" i="1"/>
  <c r="AF1893" i="1" l="1"/>
  <c r="AN1892" i="1"/>
  <c r="AE2306" i="1"/>
  <c r="AF1894" i="1" l="1"/>
  <c r="AN1893" i="1"/>
  <c r="AE2307" i="1"/>
  <c r="AF1895" i="1" l="1"/>
  <c r="AN1894" i="1"/>
  <c r="AE2308" i="1"/>
  <c r="AF1896" i="1" l="1"/>
  <c r="AN1895" i="1"/>
  <c r="AE2309" i="1"/>
  <c r="AF1897" i="1" l="1"/>
  <c r="AN1896" i="1"/>
  <c r="AE2310" i="1"/>
  <c r="AF1898" i="1" l="1"/>
  <c r="AN1897" i="1"/>
  <c r="AE2311" i="1"/>
  <c r="AF1899" i="1" l="1"/>
  <c r="AN1898" i="1"/>
  <c r="AE2312" i="1"/>
  <c r="AF1900" i="1" l="1"/>
  <c r="AN1899" i="1"/>
  <c r="AE2313" i="1"/>
  <c r="AF1901" i="1" l="1"/>
  <c r="AN1900" i="1"/>
  <c r="AE2314" i="1"/>
  <c r="AF1902" i="1" l="1"/>
  <c r="AN1901" i="1"/>
  <c r="AE2315" i="1"/>
  <c r="AF1903" i="1" l="1"/>
  <c r="AN1902" i="1"/>
  <c r="AE2316" i="1"/>
  <c r="AF1904" i="1" l="1"/>
  <c r="AN1903" i="1"/>
  <c r="AE2317" i="1"/>
  <c r="AF1905" i="1" l="1"/>
  <c r="AN1904" i="1"/>
  <c r="AE2318" i="1"/>
  <c r="AF1906" i="1" l="1"/>
  <c r="AN1905" i="1"/>
  <c r="AE2319" i="1"/>
  <c r="AF1907" i="1" l="1"/>
  <c r="AN1906" i="1"/>
  <c r="AE2320" i="1"/>
  <c r="AF1908" i="1" l="1"/>
  <c r="AN1907" i="1"/>
  <c r="AE2321" i="1"/>
  <c r="AF1909" i="1" l="1"/>
  <c r="AN1908" i="1"/>
  <c r="AE2322" i="1"/>
  <c r="AF1910" i="1" l="1"/>
  <c r="AN1909" i="1"/>
  <c r="AE2323" i="1"/>
  <c r="AF1911" i="1" l="1"/>
  <c r="AN1910" i="1"/>
  <c r="AE2324" i="1"/>
  <c r="AF1912" i="1" l="1"/>
  <c r="AN1911" i="1"/>
  <c r="AE2325" i="1"/>
  <c r="AF1913" i="1" l="1"/>
  <c r="AN1912" i="1"/>
  <c r="AE2326" i="1"/>
  <c r="AF1914" i="1" l="1"/>
  <c r="AN1913" i="1"/>
  <c r="AE2327" i="1"/>
  <c r="AF1915" i="1" l="1"/>
  <c r="AN1914" i="1"/>
  <c r="AE2328" i="1"/>
  <c r="AF1916" i="1" l="1"/>
  <c r="AN1915" i="1"/>
  <c r="AE2329" i="1"/>
  <c r="AF1917" i="1" l="1"/>
  <c r="AN1916" i="1"/>
  <c r="AE2330" i="1"/>
  <c r="AF1918" i="1" l="1"/>
  <c r="AN1917" i="1"/>
  <c r="AE2331" i="1"/>
  <c r="AF1919" i="1" l="1"/>
  <c r="AN1918" i="1"/>
  <c r="AE2332" i="1"/>
  <c r="AF1920" i="1" l="1"/>
  <c r="AN1919" i="1"/>
  <c r="AE2333" i="1"/>
  <c r="AF1921" i="1" l="1"/>
  <c r="AN1920" i="1"/>
  <c r="AE2334" i="1"/>
  <c r="AF1922" i="1" l="1"/>
  <c r="AN1921" i="1"/>
  <c r="AE2335" i="1"/>
  <c r="AF1923" i="1" l="1"/>
  <c r="AN1922" i="1"/>
  <c r="AE2336" i="1"/>
  <c r="AF1924" i="1" l="1"/>
  <c r="AN1923" i="1"/>
  <c r="AE2337" i="1"/>
  <c r="AF1925" i="1" l="1"/>
  <c r="AN1924" i="1"/>
  <c r="AE2338" i="1"/>
  <c r="AF1926" i="1" l="1"/>
  <c r="AN1925" i="1"/>
  <c r="AE2339" i="1"/>
  <c r="AF1927" i="1" l="1"/>
  <c r="AN1926" i="1"/>
  <c r="AE2340" i="1"/>
  <c r="AF1928" i="1" l="1"/>
  <c r="AN1927" i="1"/>
  <c r="AE2341" i="1"/>
  <c r="AF1929" i="1" l="1"/>
  <c r="AN1928" i="1"/>
  <c r="AE2342" i="1"/>
  <c r="AF1930" i="1" l="1"/>
  <c r="AN1929" i="1"/>
  <c r="AE2343" i="1"/>
  <c r="AF1931" i="1" l="1"/>
  <c r="AN1930" i="1"/>
  <c r="AE2344" i="1"/>
  <c r="AF1932" i="1" l="1"/>
  <c r="AN1931" i="1"/>
  <c r="AE2345" i="1"/>
  <c r="AF1933" i="1" l="1"/>
  <c r="AN1932" i="1"/>
  <c r="AE2346" i="1"/>
  <c r="AF1934" i="1" l="1"/>
  <c r="AN1933" i="1"/>
  <c r="AE2347" i="1"/>
  <c r="AF1935" i="1" l="1"/>
  <c r="AN1934" i="1"/>
  <c r="AE2348" i="1"/>
  <c r="AF1936" i="1" l="1"/>
  <c r="AN1935" i="1"/>
  <c r="AE2349" i="1"/>
  <c r="AF1937" i="1" l="1"/>
  <c r="AN1936" i="1"/>
  <c r="AE2350" i="1"/>
  <c r="AF1938" i="1" l="1"/>
  <c r="AN1937" i="1"/>
  <c r="AE2351" i="1"/>
  <c r="AF1939" i="1" l="1"/>
  <c r="AN1938" i="1"/>
  <c r="AE2352" i="1"/>
  <c r="AF1940" i="1" l="1"/>
  <c r="AN1939" i="1"/>
  <c r="AE2353" i="1"/>
  <c r="AF1941" i="1" l="1"/>
  <c r="AN1940" i="1"/>
  <c r="AE2354" i="1"/>
  <c r="AF1942" i="1" l="1"/>
  <c r="AN1941" i="1"/>
  <c r="AE2355" i="1"/>
  <c r="AF1943" i="1" l="1"/>
  <c r="AN1942" i="1"/>
  <c r="AE2356" i="1"/>
  <c r="AF1944" i="1" l="1"/>
  <c r="AN1943" i="1"/>
  <c r="AE2357" i="1"/>
  <c r="AF1945" i="1" l="1"/>
  <c r="AN1944" i="1"/>
  <c r="AE2358" i="1"/>
  <c r="AF1946" i="1" l="1"/>
  <c r="AN1945" i="1"/>
  <c r="AE2359" i="1"/>
  <c r="AF1947" i="1" l="1"/>
  <c r="AN1946" i="1"/>
  <c r="AE2360" i="1"/>
  <c r="AF1948" i="1" l="1"/>
  <c r="AN1947" i="1"/>
  <c r="AE2361" i="1"/>
  <c r="AF1949" i="1" l="1"/>
  <c r="AN1948" i="1"/>
  <c r="AE2362" i="1"/>
  <c r="AF1950" i="1" l="1"/>
  <c r="AN1949" i="1"/>
  <c r="AE2363" i="1"/>
  <c r="AF1951" i="1" l="1"/>
  <c r="AN1950" i="1"/>
  <c r="AE2364" i="1"/>
  <c r="AF1952" i="1" l="1"/>
  <c r="AN1951" i="1"/>
  <c r="AE2365" i="1"/>
  <c r="AF1953" i="1" l="1"/>
  <c r="AN1952" i="1"/>
  <c r="AE2366" i="1"/>
  <c r="AF1954" i="1" l="1"/>
  <c r="AN1953" i="1"/>
  <c r="AE2367" i="1"/>
  <c r="AF1955" i="1" l="1"/>
  <c r="AN1954" i="1"/>
  <c r="AE2368" i="1"/>
  <c r="AF1956" i="1" l="1"/>
  <c r="AN1955" i="1"/>
  <c r="AE2369" i="1"/>
  <c r="AF1957" i="1" l="1"/>
  <c r="AN1956" i="1"/>
  <c r="AE2370" i="1"/>
  <c r="AF1958" i="1" l="1"/>
  <c r="AN1957" i="1"/>
  <c r="AE2371" i="1"/>
  <c r="AF1959" i="1" l="1"/>
  <c r="AN1958" i="1"/>
  <c r="AE2372" i="1"/>
  <c r="AF1960" i="1" l="1"/>
  <c r="AN1959" i="1"/>
  <c r="AE2373" i="1"/>
  <c r="AF1961" i="1" l="1"/>
  <c r="AN1960" i="1"/>
  <c r="AE2374" i="1"/>
  <c r="AF1962" i="1" l="1"/>
  <c r="AN1961" i="1"/>
  <c r="AE2375" i="1"/>
  <c r="AF1963" i="1" l="1"/>
  <c r="AN1962" i="1"/>
  <c r="AE2376" i="1"/>
  <c r="AF1964" i="1" l="1"/>
  <c r="AN1963" i="1"/>
  <c r="AE2377" i="1"/>
  <c r="AF1965" i="1" l="1"/>
  <c r="AN1964" i="1"/>
  <c r="AE2378" i="1"/>
  <c r="AF1966" i="1" l="1"/>
  <c r="AN1965" i="1"/>
  <c r="AE2379" i="1"/>
  <c r="AF1967" i="1" l="1"/>
  <c r="AN1966" i="1"/>
  <c r="AE2380" i="1"/>
  <c r="AF1968" i="1" l="1"/>
  <c r="AN1967" i="1"/>
  <c r="AE2381" i="1"/>
  <c r="AF1969" i="1" l="1"/>
  <c r="AN1968" i="1"/>
  <c r="AE2382" i="1"/>
  <c r="AF1970" i="1" l="1"/>
  <c r="AN1969" i="1"/>
  <c r="AE2383" i="1"/>
  <c r="AF1971" i="1" l="1"/>
  <c r="AN1970" i="1"/>
  <c r="AE2384" i="1"/>
  <c r="AF1972" i="1" l="1"/>
  <c r="AN1971" i="1"/>
  <c r="AE2385" i="1"/>
  <c r="AF1973" i="1" l="1"/>
  <c r="AN1972" i="1"/>
  <c r="AE2386" i="1"/>
  <c r="AF1974" i="1" l="1"/>
  <c r="AN1973" i="1"/>
  <c r="AE2387" i="1"/>
  <c r="AF1975" i="1" l="1"/>
  <c r="AN1974" i="1"/>
  <c r="AE2388" i="1"/>
  <c r="AF1976" i="1" l="1"/>
  <c r="AN1975" i="1"/>
  <c r="AE2389" i="1"/>
  <c r="AF1977" i="1" l="1"/>
  <c r="AN1976" i="1"/>
  <c r="AE2390" i="1"/>
  <c r="AF1978" i="1" l="1"/>
  <c r="AN1977" i="1"/>
  <c r="AE2391" i="1"/>
  <c r="AF1979" i="1" l="1"/>
  <c r="AN1978" i="1"/>
  <c r="AE2392" i="1"/>
  <c r="AF1980" i="1" l="1"/>
  <c r="AN1979" i="1"/>
  <c r="AE2393" i="1"/>
  <c r="AF1981" i="1" l="1"/>
  <c r="AN1980" i="1"/>
  <c r="AE2394" i="1"/>
  <c r="AF1982" i="1" l="1"/>
  <c r="AN1981" i="1"/>
  <c r="AE2395" i="1"/>
  <c r="AF1983" i="1" l="1"/>
  <c r="AN1982" i="1"/>
  <c r="AE2396" i="1"/>
  <c r="AF1984" i="1" l="1"/>
  <c r="AN1983" i="1"/>
  <c r="AE2397" i="1"/>
  <c r="AF1985" i="1" l="1"/>
  <c r="AN1984" i="1"/>
  <c r="AE2398" i="1"/>
  <c r="AF1986" i="1" l="1"/>
  <c r="AN1985" i="1"/>
  <c r="AE2399" i="1"/>
  <c r="AF1987" i="1" l="1"/>
  <c r="AN1986" i="1"/>
  <c r="AE2400" i="1"/>
  <c r="AF1988" i="1" l="1"/>
  <c r="AN1987" i="1"/>
  <c r="AE2401" i="1"/>
  <c r="AF1989" i="1" l="1"/>
  <c r="AN1988" i="1"/>
  <c r="AE2402" i="1"/>
  <c r="AF1990" i="1" l="1"/>
  <c r="AN1989" i="1"/>
  <c r="AE2403" i="1"/>
  <c r="AF1991" i="1" l="1"/>
  <c r="AN1990" i="1"/>
  <c r="AE2404" i="1"/>
  <c r="AF1992" i="1" l="1"/>
  <c r="AN1991" i="1"/>
  <c r="AE2405" i="1"/>
  <c r="AF1993" i="1" l="1"/>
  <c r="AN1992" i="1"/>
  <c r="AE2406" i="1"/>
  <c r="AF1994" i="1" l="1"/>
  <c r="AN1993" i="1"/>
  <c r="AE2407" i="1"/>
  <c r="AF1995" i="1" l="1"/>
  <c r="AN1994" i="1"/>
  <c r="AE2408" i="1"/>
  <c r="AF1996" i="1" l="1"/>
  <c r="AN1995" i="1"/>
  <c r="AE2409" i="1"/>
  <c r="AF1997" i="1" l="1"/>
  <c r="AN1996" i="1"/>
  <c r="AE2410" i="1"/>
  <c r="AF1998" i="1" l="1"/>
  <c r="AN1997" i="1"/>
  <c r="AE2411" i="1"/>
  <c r="AF1999" i="1" l="1"/>
  <c r="AN1998" i="1"/>
  <c r="AE2412" i="1"/>
  <c r="AF2000" i="1" l="1"/>
  <c r="AN1999" i="1"/>
  <c r="AE2413" i="1"/>
  <c r="AF2001" i="1" l="1"/>
  <c r="AN2000" i="1"/>
  <c r="AE2414" i="1"/>
  <c r="AF2002" i="1" l="1"/>
  <c r="AN2001" i="1"/>
  <c r="AE2415" i="1"/>
  <c r="AF2003" i="1" l="1"/>
  <c r="AN2002" i="1"/>
  <c r="AE2416" i="1"/>
  <c r="AF2004" i="1" l="1"/>
  <c r="AN2003" i="1"/>
  <c r="AE2417" i="1"/>
  <c r="AF2005" i="1" l="1"/>
  <c r="AN2004" i="1"/>
  <c r="AE2418" i="1"/>
  <c r="AF2006" i="1" l="1"/>
  <c r="AN2005" i="1"/>
  <c r="AE2419" i="1"/>
  <c r="AF2007" i="1" l="1"/>
  <c r="AN2006" i="1"/>
  <c r="AE2420" i="1"/>
  <c r="AF2008" i="1" l="1"/>
  <c r="AN2007" i="1"/>
  <c r="AE2421" i="1"/>
  <c r="AF2009" i="1" l="1"/>
  <c r="AN2008" i="1"/>
  <c r="AE2422" i="1"/>
  <c r="AF2010" i="1" l="1"/>
  <c r="AN2009" i="1"/>
  <c r="AE2423" i="1"/>
  <c r="AF2011" i="1" l="1"/>
  <c r="AN2010" i="1"/>
  <c r="AE2424" i="1"/>
  <c r="AF2012" i="1" l="1"/>
  <c r="AN2011" i="1"/>
  <c r="AE2425" i="1"/>
  <c r="AF2013" i="1" l="1"/>
  <c r="AN2012" i="1"/>
  <c r="AE2426" i="1"/>
  <c r="AF2014" i="1" l="1"/>
  <c r="AN2013" i="1"/>
  <c r="AE2427" i="1"/>
  <c r="AF2015" i="1" l="1"/>
  <c r="AN2014" i="1"/>
  <c r="AE2428" i="1"/>
  <c r="AF2016" i="1" l="1"/>
  <c r="AN2015" i="1"/>
  <c r="AE2429" i="1"/>
  <c r="AF2017" i="1" l="1"/>
  <c r="AN2016" i="1"/>
  <c r="AE2430" i="1"/>
  <c r="AF2018" i="1" l="1"/>
  <c r="AN2017" i="1"/>
  <c r="AE2431" i="1"/>
  <c r="AF2019" i="1" l="1"/>
  <c r="AN2018" i="1"/>
  <c r="AE2432" i="1"/>
  <c r="AF2020" i="1" l="1"/>
  <c r="AN2019" i="1"/>
  <c r="AE2433" i="1"/>
  <c r="AF2021" i="1" l="1"/>
  <c r="AN2020" i="1"/>
  <c r="AE2434" i="1"/>
  <c r="AF2022" i="1" l="1"/>
  <c r="AN2021" i="1"/>
  <c r="AE2435" i="1"/>
  <c r="AF2023" i="1" l="1"/>
  <c r="AN2022" i="1"/>
  <c r="AE2436" i="1"/>
  <c r="AF2024" i="1" l="1"/>
  <c r="AN2023" i="1"/>
  <c r="AE2437" i="1"/>
  <c r="AF2025" i="1" l="1"/>
  <c r="AN2024" i="1"/>
  <c r="AE2438" i="1"/>
  <c r="AF2026" i="1" l="1"/>
  <c r="AN2025" i="1"/>
  <c r="AE2439" i="1"/>
  <c r="AF2027" i="1" l="1"/>
  <c r="AN2026" i="1"/>
  <c r="AE2440" i="1"/>
  <c r="AF2028" i="1" l="1"/>
  <c r="AN2027" i="1"/>
  <c r="AE2441" i="1"/>
  <c r="AF2029" i="1" l="1"/>
  <c r="AN2028" i="1"/>
  <c r="AE2442" i="1"/>
  <c r="AF2030" i="1" l="1"/>
  <c r="AN2029" i="1"/>
  <c r="AE2443" i="1"/>
  <c r="AF2031" i="1" l="1"/>
  <c r="AN2030" i="1"/>
  <c r="AE2444" i="1"/>
  <c r="AF2032" i="1" l="1"/>
  <c r="AN2031" i="1"/>
  <c r="AE2445" i="1"/>
  <c r="AF2033" i="1" l="1"/>
  <c r="AN2032" i="1"/>
  <c r="AE2446" i="1"/>
  <c r="AF2034" i="1" l="1"/>
  <c r="AN2033" i="1"/>
  <c r="AE2447" i="1"/>
  <c r="AF2035" i="1" l="1"/>
  <c r="AN2034" i="1"/>
  <c r="AE2448" i="1"/>
  <c r="AF2036" i="1" l="1"/>
  <c r="AN2035" i="1"/>
  <c r="AE2449" i="1"/>
  <c r="AF2037" i="1" l="1"/>
  <c r="AN2036" i="1"/>
  <c r="AE2450" i="1"/>
  <c r="AF2038" i="1" l="1"/>
  <c r="AN2037" i="1"/>
  <c r="AE2451" i="1"/>
  <c r="AF2039" i="1" l="1"/>
  <c r="AN2038" i="1"/>
  <c r="AE2452" i="1"/>
  <c r="AF2040" i="1" l="1"/>
  <c r="AN2039" i="1"/>
  <c r="AE2453" i="1"/>
  <c r="AF2041" i="1" l="1"/>
  <c r="AN2040" i="1"/>
  <c r="AE2454" i="1"/>
  <c r="AF2042" i="1" l="1"/>
  <c r="AN2041" i="1"/>
  <c r="AE2455" i="1"/>
  <c r="AF2043" i="1" l="1"/>
  <c r="AN2042" i="1"/>
  <c r="AE2456" i="1"/>
  <c r="AF2044" i="1" l="1"/>
  <c r="AN2043" i="1"/>
  <c r="AE2457" i="1"/>
  <c r="AF2045" i="1" l="1"/>
  <c r="AN2044" i="1"/>
  <c r="AE2458" i="1"/>
  <c r="AF2046" i="1" l="1"/>
  <c r="AN2045" i="1"/>
  <c r="AE2459" i="1"/>
  <c r="AF2047" i="1" l="1"/>
  <c r="AN2046" i="1"/>
  <c r="AE2460" i="1"/>
  <c r="AF2048" i="1" l="1"/>
  <c r="AN2047" i="1"/>
  <c r="AE2461" i="1"/>
  <c r="AF2049" i="1" l="1"/>
  <c r="AN2048" i="1"/>
  <c r="AE2462" i="1"/>
  <c r="AF2050" i="1" l="1"/>
  <c r="AN2049" i="1"/>
  <c r="AE2463" i="1"/>
  <c r="AF2051" i="1" l="1"/>
  <c r="AN2050" i="1"/>
  <c r="AE2464" i="1"/>
  <c r="AF2052" i="1" l="1"/>
  <c r="AN2051" i="1"/>
  <c r="AE2465" i="1"/>
  <c r="AF2053" i="1" l="1"/>
  <c r="AN2052" i="1"/>
  <c r="AE2466" i="1"/>
  <c r="AF2054" i="1" l="1"/>
  <c r="AN2053" i="1"/>
  <c r="AE2467" i="1"/>
  <c r="AF2055" i="1" l="1"/>
  <c r="AN2054" i="1"/>
  <c r="AE2468" i="1"/>
  <c r="AF2056" i="1" l="1"/>
  <c r="AN2055" i="1"/>
  <c r="AE2469" i="1"/>
  <c r="AF2057" i="1" l="1"/>
  <c r="AN2056" i="1"/>
  <c r="AE2470" i="1"/>
  <c r="AF2058" i="1" l="1"/>
  <c r="AN2057" i="1"/>
  <c r="AE2471" i="1"/>
  <c r="AF2059" i="1" l="1"/>
  <c r="AN2058" i="1"/>
  <c r="AE2472" i="1"/>
  <c r="AF2060" i="1" l="1"/>
  <c r="AN2059" i="1"/>
  <c r="AE2473" i="1"/>
  <c r="AF2061" i="1" l="1"/>
  <c r="AN2060" i="1"/>
  <c r="AE2474" i="1"/>
  <c r="AF2062" i="1" l="1"/>
  <c r="AN2061" i="1"/>
  <c r="AE2475" i="1"/>
  <c r="AF2063" i="1" l="1"/>
  <c r="AN2062" i="1"/>
  <c r="AE2476" i="1"/>
  <c r="AF2064" i="1" l="1"/>
  <c r="AN2063" i="1"/>
  <c r="AE2477" i="1"/>
  <c r="AF2065" i="1" l="1"/>
  <c r="AN2064" i="1"/>
  <c r="AE2478" i="1"/>
  <c r="AF2066" i="1" l="1"/>
  <c r="AN2065" i="1"/>
  <c r="AE2479" i="1"/>
  <c r="AF2067" i="1" l="1"/>
  <c r="AN2066" i="1"/>
  <c r="AE2480" i="1"/>
  <c r="AF2068" i="1" l="1"/>
  <c r="AN2067" i="1"/>
  <c r="AE2481" i="1"/>
  <c r="AF2069" i="1" l="1"/>
  <c r="AN2068" i="1"/>
  <c r="AE2482" i="1"/>
  <c r="AF2070" i="1" l="1"/>
  <c r="AN2069" i="1"/>
  <c r="AE2483" i="1"/>
  <c r="AF2071" i="1" l="1"/>
  <c r="AN2070" i="1"/>
  <c r="AE2484" i="1"/>
  <c r="AF2072" i="1" l="1"/>
  <c r="AN2071" i="1"/>
  <c r="AE2485" i="1"/>
  <c r="AF2073" i="1" l="1"/>
  <c r="AN2072" i="1"/>
  <c r="AE2486" i="1"/>
  <c r="AF2074" i="1" l="1"/>
  <c r="AN2073" i="1"/>
  <c r="AE2487" i="1"/>
  <c r="AF2075" i="1" l="1"/>
  <c r="AN2074" i="1"/>
  <c r="AE2488" i="1"/>
  <c r="AF2076" i="1" l="1"/>
  <c r="AN2075" i="1"/>
  <c r="AE2489" i="1"/>
  <c r="AF2077" i="1" l="1"/>
  <c r="AN2076" i="1"/>
  <c r="AE2490" i="1"/>
  <c r="AF2078" i="1" l="1"/>
  <c r="AN2077" i="1"/>
  <c r="AE2491" i="1"/>
  <c r="AF2079" i="1" l="1"/>
  <c r="AN2078" i="1"/>
  <c r="AE2492" i="1"/>
  <c r="AF2080" i="1" l="1"/>
  <c r="AN2079" i="1"/>
  <c r="AE2493" i="1"/>
  <c r="AF2081" i="1" l="1"/>
  <c r="AN2080" i="1"/>
  <c r="AE2494" i="1"/>
  <c r="AF2082" i="1" l="1"/>
  <c r="AN2081" i="1"/>
  <c r="AE2495" i="1"/>
  <c r="AF2083" i="1" l="1"/>
  <c r="AN2082" i="1"/>
  <c r="AE2496" i="1"/>
  <c r="AF2084" i="1" l="1"/>
  <c r="AN2083" i="1"/>
  <c r="AE2497" i="1"/>
  <c r="AF2085" i="1" l="1"/>
  <c r="AN2084" i="1"/>
  <c r="AE2498" i="1"/>
  <c r="AF2086" i="1" l="1"/>
  <c r="AN2085" i="1"/>
  <c r="AE2499" i="1"/>
  <c r="AF2087" i="1" l="1"/>
  <c r="AN2086" i="1"/>
  <c r="AE2500" i="1"/>
  <c r="AF2088" i="1" l="1"/>
  <c r="AN2087" i="1"/>
  <c r="AE2501" i="1"/>
  <c r="AF2089" i="1" l="1"/>
  <c r="AN2088" i="1"/>
  <c r="AE2502" i="1"/>
  <c r="AF2090" i="1" l="1"/>
  <c r="AN2089" i="1"/>
  <c r="AE2503" i="1"/>
  <c r="AF2091" i="1" l="1"/>
  <c r="AN2090" i="1"/>
  <c r="AE2504" i="1"/>
  <c r="AF2092" i="1" l="1"/>
  <c r="AN2091" i="1"/>
  <c r="AE2505" i="1"/>
  <c r="AF2093" i="1" l="1"/>
  <c r="AN2092" i="1"/>
  <c r="AE2506" i="1"/>
  <c r="AF2094" i="1" l="1"/>
  <c r="AN2093" i="1"/>
  <c r="AE2507" i="1"/>
  <c r="AF2095" i="1" l="1"/>
  <c r="AN2094" i="1"/>
  <c r="AE2508" i="1"/>
  <c r="AF2096" i="1" l="1"/>
  <c r="AN2095" i="1"/>
  <c r="AE2509" i="1"/>
  <c r="AF2097" i="1" l="1"/>
  <c r="AN2096" i="1"/>
  <c r="AE2510" i="1"/>
  <c r="AF2098" i="1" l="1"/>
  <c r="AN2097" i="1"/>
  <c r="AE2511" i="1"/>
  <c r="AF2099" i="1" l="1"/>
  <c r="AN2098" i="1"/>
  <c r="AE2512" i="1"/>
  <c r="AF2100" i="1" l="1"/>
  <c r="AN2099" i="1"/>
  <c r="AE2513" i="1"/>
  <c r="AF2101" i="1" l="1"/>
  <c r="AN2100" i="1"/>
  <c r="AE2514" i="1"/>
  <c r="AF2102" i="1" l="1"/>
  <c r="AN2101" i="1"/>
  <c r="AE2515" i="1"/>
  <c r="AF2103" i="1" l="1"/>
  <c r="AN2102" i="1"/>
  <c r="AE2516" i="1"/>
  <c r="AF2104" i="1" l="1"/>
  <c r="AN2103" i="1"/>
  <c r="AE2517" i="1"/>
  <c r="AF2105" i="1" l="1"/>
  <c r="AN2104" i="1"/>
  <c r="AE2518" i="1"/>
  <c r="AF2106" i="1" l="1"/>
  <c r="AN2105" i="1"/>
  <c r="AE2519" i="1"/>
  <c r="AF2107" i="1" l="1"/>
  <c r="AN2106" i="1"/>
  <c r="AE2520" i="1"/>
  <c r="AF2108" i="1" l="1"/>
  <c r="AN2107" i="1"/>
  <c r="AE2521" i="1"/>
  <c r="AF2109" i="1" l="1"/>
  <c r="AN2108" i="1"/>
  <c r="AE2522" i="1"/>
  <c r="AF2110" i="1" l="1"/>
  <c r="AN2109" i="1"/>
  <c r="AE2523" i="1"/>
  <c r="AF2111" i="1" l="1"/>
  <c r="AN2110" i="1"/>
  <c r="AE2524" i="1"/>
  <c r="AF2112" i="1" l="1"/>
  <c r="AN2111" i="1"/>
  <c r="AE2525" i="1"/>
  <c r="AF2113" i="1" l="1"/>
  <c r="AN2112" i="1"/>
  <c r="AE2526" i="1"/>
  <c r="AF2114" i="1" l="1"/>
  <c r="AN2113" i="1"/>
  <c r="AE2527" i="1"/>
  <c r="AF2115" i="1" l="1"/>
  <c r="AN2114" i="1"/>
  <c r="AE2528" i="1"/>
  <c r="AF2116" i="1" l="1"/>
  <c r="AN2115" i="1"/>
  <c r="AE2529" i="1"/>
  <c r="AF2117" i="1" l="1"/>
  <c r="AN2116" i="1"/>
  <c r="AE2530" i="1"/>
  <c r="AF2118" i="1" l="1"/>
  <c r="AN2117" i="1"/>
  <c r="AE2531" i="1"/>
  <c r="AF2119" i="1" l="1"/>
  <c r="AN2118" i="1"/>
  <c r="AE2532" i="1"/>
  <c r="AF2120" i="1" l="1"/>
  <c r="AN2119" i="1"/>
  <c r="AE2533" i="1"/>
  <c r="AF2121" i="1" l="1"/>
  <c r="AN2120" i="1"/>
  <c r="AE2534" i="1"/>
  <c r="AF2122" i="1" l="1"/>
  <c r="AN2121" i="1"/>
  <c r="AE2535" i="1"/>
  <c r="AF2123" i="1" l="1"/>
  <c r="AN2122" i="1"/>
  <c r="AE2536" i="1"/>
  <c r="AF2124" i="1" l="1"/>
  <c r="AN2123" i="1"/>
  <c r="AE2537" i="1"/>
  <c r="AF2125" i="1" l="1"/>
  <c r="AN2124" i="1"/>
  <c r="AE2538" i="1"/>
  <c r="AF2126" i="1" l="1"/>
  <c r="AN2125" i="1"/>
  <c r="AE2539" i="1"/>
  <c r="AF2127" i="1" l="1"/>
  <c r="AN2126" i="1"/>
  <c r="AE2540" i="1"/>
  <c r="AF2128" i="1" l="1"/>
  <c r="AN2127" i="1"/>
  <c r="AE2541" i="1"/>
  <c r="AF2129" i="1" l="1"/>
  <c r="AN2128" i="1"/>
  <c r="AE2542" i="1"/>
  <c r="AF2130" i="1" l="1"/>
  <c r="AN2129" i="1"/>
  <c r="AE2543" i="1"/>
  <c r="AF2131" i="1" l="1"/>
  <c r="AN2130" i="1"/>
  <c r="AE2544" i="1"/>
  <c r="AF2132" i="1" l="1"/>
  <c r="AN2131" i="1"/>
  <c r="AE2545" i="1"/>
  <c r="AF2133" i="1" l="1"/>
  <c r="AN2132" i="1"/>
  <c r="AE2546" i="1"/>
  <c r="AF2134" i="1" l="1"/>
  <c r="AN2133" i="1"/>
  <c r="AE2547" i="1"/>
  <c r="AF2135" i="1" l="1"/>
  <c r="AN2134" i="1"/>
  <c r="AE2548" i="1"/>
  <c r="AF2136" i="1" l="1"/>
  <c r="AN2135" i="1"/>
  <c r="AE2549" i="1"/>
  <c r="AF2137" i="1" l="1"/>
  <c r="AN2136" i="1"/>
  <c r="AE2550" i="1"/>
  <c r="AF2138" i="1" l="1"/>
  <c r="AN2137" i="1"/>
  <c r="AE2551" i="1"/>
  <c r="AF2139" i="1" l="1"/>
  <c r="AN2138" i="1"/>
  <c r="AE2552" i="1"/>
  <c r="AF2140" i="1" l="1"/>
  <c r="AN2139" i="1"/>
  <c r="AE2553" i="1"/>
  <c r="AF2141" i="1" l="1"/>
  <c r="AN2140" i="1"/>
  <c r="AE2554" i="1"/>
  <c r="AF2142" i="1" l="1"/>
  <c r="AN2141" i="1"/>
  <c r="AE2555" i="1"/>
  <c r="AF2143" i="1" l="1"/>
  <c r="AN2142" i="1"/>
  <c r="AE2556" i="1"/>
  <c r="AF2144" i="1" l="1"/>
  <c r="AN2143" i="1"/>
  <c r="AE2557" i="1"/>
  <c r="AF2145" i="1" l="1"/>
  <c r="AN2144" i="1"/>
  <c r="AE2558" i="1"/>
  <c r="AF2146" i="1" l="1"/>
  <c r="AN2145" i="1"/>
  <c r="AE2559" i="1"/>
  <c r="AF2147" i="1" l="1"/>
  <c r="AN2146" i="1"/>
  <c r="AE2560" i="1"/>
  <c r="AF2148" i="1" l="1"/>
  <c r="AN2147" i="1"/>
  <c r="AE2561" i="1"/>
  <c r="AF2149" i="1" l="1"/>
  <c r="AN2148" i="1"/>
  <c r="AE2562" i="1"/>
  <c r="AF2150" i="1" l="1"/>
  <c r="AN2149" i="1"/>
  <c r="AE2563" i="1"/>
  <c r="AF2151" i="1" l="1"/>
  <c r="AN2150" i="1"/>
  <c r="AE2564" i="1"/>
  <c r="AF2152" i="1" l="1"/>
  <c r="AN2151" i="1"/>
  <c r="AE2565" i="1"/>
  <c r="AF2153" i="1" l="1"/>
  <c r="AN2152" i="1"/>
  <c r="AE2566" i="1"/>
  <c r="AF2154" i="1" l="1"/>
  <c r="AN2153" i="1"/>
  <c r="AE2567" i="1"/>
  <c r="AF2155" i="1" l="1"/>
  <c r="AN2154" i="1"/>
  <c r="AE2568" i="1"/>
  <c r="AF2156" i="1" l="1"/>
  <c r="AN2155" i="1"/>
  <c r="AE2569" i="1"/>
  <c r="AF2157" i="1" l="1"/>
  <c r="AN2156" i="1"/>
  <c r="AE2570" i="1"/>
  <c r="AF2158" i="1" l="1"/>
  <c r="AN2157" i="1"/>
  <c r="AE2571" i="1"/>
  <c r="AF2159" i="1" l="1"/>
  <c r="AN2158" i="1"/>
  <c r="AE2572" i="1"/>
  <c r="AF2160" i="1" l="1"/>
  <c r="AN2159" i="1"/>
  <c r="AE2573" i="1"/>
  <c r="AF2161" i="1" l="1"/>
  <c r="AN2160" i="1"/>
  <c r="AE2574" i="1"/>
  <c r="AF2162" i="1" l="1"/>
  <c r="AN2161" i="1"/>
  <c r="AE2575" i="1"/>
  <c r="AF2163" i="1" l="1"/>
  <c r="AN2162" i="1"/>
  <c r="AE2576" i="1"/>
  <c r="AF2164" i="1" l="1"/>
  <c r="AN2163" i="1"/>
  <c r="AE2577" i="1"/>
  <c r="AF2165" i="1" l="1"/>
  <c r="AN2164" i="1"/>
  <c r="AE2578" i="1"/>
  <c r="AF2166" i="1" l="1"/>
  <c r="AN2165" i="1"/>
  <c r="AE2579" i="1"/>
  <c r="AF2167" i="1" l="1"/>
  <c r="AN2166" i="1"/>
  <c r="AE2580" i="1"/>
  <c r="AF2168" i="1" l="1"/>
  <c r="AN2167" i="1"/>
  <c r="AE2581" i="1"/>
  <c r="AF2169" i="1" l="1"/>
  <c r="AN2168" i="1"/>
  <c r="AE2582" i="1"/>
  <c r="AF2170" i="1" l="1"/>
  <c r="AN2169" i="1"/>
  <c r="AE2583" i="1"/>
  <c r="AF2171" i="1" l="1"/>
  <c r="AN2170" i="1"/>
  <c r="AE2584" i="1"/>
  <c r="AF2172" i="1" l="1"/>
  <c r="AN2171" i="1"/>
  <c r="AE2585" i="1"/>
  <c r="AF2173" i="1" l="1"/>
  <c r="AN2172" i="1"/>
  <c r="AE2586" i="1"/>
  <c r="AF2174" i="1" l="1"/>
  <c r="AN2173" i="1"/>
  <c r="AE2587" i="1"/>
  <c r="AF2175" i="1" l="1"/>
  <c r="AN2174" i="1"/>
  <c r="AE2588" i="1"/>
  <c r="AF2176" i="1" l="1"/>
  <c r="AN2175" i="1"/>
  <c r="AE2589" i="1"/>
  <c r="AF2177" i="1" l="1"/>
  <c r="AN2176" i="1"/>
  <c r="AE2590" i="1"/>
  <c r="AF2178" i="1" l="1"/>
  <c r="AN2177" i="1"/>
  <c r="AE2591" i="1"/>
  <c r="AF2179" i="1" l="1"/>
  <c r="AN2178" i="1"/>
  <c r="AE2592" i="1"/>
  <c r="AF2180" i="1" l="1"/>
  <c r="AN2179" i="1"/>
  <c r="AE2593" i="1"/>
  <c r="AF2181" i="1" l="1"/>
  <c r="AN2180" i="1"/>
  <c r="AE2594" i="1"/>
  <c r="AF2182" i="1" l="1"/>
  <c r="AN2181" i="1"/>
  <c r="AE2595" i="1"/>
  <c r="AF2183" i="1" l="1"/>
  <c r="AN2182" i="1"/>
  <c r="AE2596" i="1"/>
  <c r="AF2184" i="1" l="1"/>
  <c r="AN2183" i="1"/>
  <c r="AE2597" i="1"/>
  <c r="AF2185" i="1" l="1"/>
  <c r="AN2184" i="1"/>
  <c r="AE2598" i="1"/>
  <c r="AF2186" i="1" l="1"/>
  <c r="AN2185" i="1"/>
  <c r="AE2599" i="1"/>
  <c r="AF2187" i="1" l="1"/>
  <c r="AN2186" i="1"/>
  <c r="AE2600" i="1"/>
  <c r="AF2188" i="1" l="1"/>
  <c r="AN2187" i="1"/>
  <c r="AE2601" i="1"/>
  <c r="AF2189" i="1" l="1"/>
  <c r="AN2188" i="1"/>
  <c r="AE2602" i="1"/>
  <c r="AF2190" i="1" l="1"/>
  <c r="AN2189" i="1"/>
  <c r="AE2603" i="1"/>
  <c r="AF2191" i="1" l="1"/>
  <c r="AN2190" i="1"/>
  <c r="AE2604" i="1"/>
  <c r="AF2192" i="1" l="1"/>
  <c r="AN2191" i="1"/>
  <c r="AE2605" i="1"/>
  <c r="AF2193" i="1" l="1"/>
  <c r="AN2192" i="1"/>
  <c r="AE2606" i="1"/>
  <c r="AF2194" i="1" l="1"/>
  <c r="AN2193" i="1"/>
  <c r="AE2607" i="1"/>
  <c r="AF2195" i="1" l="1"/>
  <c r="AN2194" i="1"/>
  <c r="AE2608" i="1"/>
  <c r="AF2196" i="1" l="1"/>
  <c r="AN2195" i="1"/>
  <c r="AE2609" i="1"/>
  <c r="AF2197" i="1" l="1"/>
  <c r="AN2196" i="1"/>
  <c r="AE2610" i="1"/>
  <c r="AF2198" i="1" l="1"/>
  <c r="AN2197" i="1"/>
  <c r="AE2611" i="1"/>
  <c r="AF2199" i="1" l="1"/>
  <c r="AN2198" i="1"/>
  <c r="AE2612" i="1"/>
  <c r="AF2200" i="1" l="1"/>
  <c r="AN2199" i="1"/>
  <c r="AE2613" i="1"/>
  <c r="AF2201" i="1" l="1"/>
  <c r="AN2200" i="1"/>
  <c r="AE2614" i="1"/>
  <c r="AF2202" i="1" l="1"/>
  <c r="AN2201" i="1"/>
  <c r="AE2615" i="1"/>
  <c r="AF2203" i="1" l="1"/>
  <c r="AN2202" i="1"/>
  <c r="AE2616" i="1"/>
  <c r="AF2204" i="1" l="1"/>
  <c r="AN2203" i="1"/>
  <c r="AE2617" i="1"/>
  <c r="AF2205" i="1" l="1"/>
  <c r="AN2204" i="1"/>
  <c r="AE2618" i="1"/>
  <c r="AF2206" i="1" l="1"/>
  <c r="AN2205" i="1"/>
  <c r="AE2619" i="1"/>
  <c r="AF2207" i="1" l="1"/>
  <c r="AN2206" i="1"/>
  <c r="AE2620" i="1"/>
  <c r="AF2208" i="1" l="1"/>
  <c r="AN2207" i="1"/>
  <c r="AE2621" i="1"/>
  <c r="AF2209" i="1" l="1"/>
  <c r="AN2208" i="1"/>
  <c r="AE2622" i="1"/>
  <c r="AF2210" i="1" l="1"/>
  <c r="AN2209" i="1"/>
  <c r="AE2623" i="1"/>
  <c r="AF2211" i="1" l="1"/>
  <c r="AN2210" i="1"/>
  <c r="AE2624" i="1"/>
  <c r="AF2212" i="1" l="1"/>
  <c r="AN2211" i="1"/>
  <c r="AE2625" i="1"/>
  <c r="AF2213" i="1" l="1"/>
  <c r="AN2212" i="1"/>
  <c r="AE2626" i="1"/>
  <c r="AF2214" i="1" l="1"/>
  <c r="AN2213" i="1"/>
  <c r="AE2627" i="1"/>
  <c r="AF2215" i="1" l="1"/>
  <c r="AN2214" i="1"/>
  <c r="AE2628" i="1"/>
  <c r="AF2216" i="1" l="1"/>
  <c r="AN2215" i="1"/>
  <c r="AE2629" i="1"/>
  <c r="AF2217" i="1" l="1"/>
  <c r="AN2216" i="1"/>
  <c r="AE2630" i="1"/>
  <c r="AF2218" i="1" l="1"/>
  <c r="AN2217" i="1"/>
  <c r="AE2631" i="1"/>
  <c r="AF2219" i="1" l="1"/>
  <c r="AN2218" i="1"/>
  <c r="AE2632" i="1"/>
  <c r="AF2220" i="1" l="1"/>
  <c r="AN2219" i="1"/>
  <c r="AE2633" i="1"/>
  <c r="AF2221" i="1" l="1"/>
  <c r="AN2220" i="1"/>
  <c r="AE2634" i="1"/>
  <c r="AF2222" i="1" l="1"/>
  <c r="AN2221" i="1"/>
  <c r="AE2635" i="1"/>
  <c r="AF2223" i="1" l="1"/>
  <c r="AN2222" i="1"/>
  <c r="AE2636" i="1"/>
  <c r="AF2224" i="1" l="1"/>
  <c r="AN2223" i="1"/>
  <c r="AE2637" i="1"/>
  <c r="AF2225" i="1" l="1"/>
  <c r="AN2224" i="1"/>
  <c r="AE2638" i="1"/>
  <c r="AF2226" i="1" l="1"/>
  <c r="AN2225" i="1"/>
  <c r="AE2639" i="1"/>
  <c r="AF2227" i="1" l="1"/>
  <c r="AN2226" i="1"/>
  <c r="AE2640" i="1"/>
  <c r="AF2228" i="1" l="1"/>
  <c r="AN2227" i="1"/>
  <c r="AE2641" i="1"/>
  <c r="AF2229" i="1" l="1"/>
  <c r="AN2228" i="1"/>
  <c r="AE2642" i="1"/>
  <c r="AF2230" i="1" l="1"/>
  <c r="AN2229" i="1"/>
  <c r="AE2643" i="1"/>
  <c r="AF2231" i="1" l="1"/>
  <c r="AN2230" i="1"/>
  <c r="AE2644" i="1"/>
  <c r="AF2232" i="1" l="1"/>
  <c r="AN2231" i="1"/>
  <c r="AE2645" i="1"/>
  <c r="AF2233" i="1" l="1"/>
  <c r="AN2232" i="1"/>
  <c r="AE2646" i="1"/>
  <c r="AF2234" i="1" l="1"/>
  <c r="AN2233" i="1"/>
  <c r="AE2647" i="1"/>
  <c r="AF2235" i="1" l="1"/>
  <c r="AN2234" i="1"/>
  <c r="AE2648" i="1"/>
  <c r="AF2236" i="1" l="1"/>
  <c r="AN2235" i="1"/>
  <c r="AE2649" i="1"/>
  <c r="AF2237" i="1" l="1"/>
  <c r="AN2236" i="1"/>
  <c r="AE2650" i="1"/>
  <c r="AF2238" i="1" l="1"/>
  <c r="AN2237" i="1"/>
  <c r="AE2651" i="1"/>
  <c r="AF2239" i="1" l="1"/>
  <c r="AN2238" i="1"/>
  <c r="AE2652" i="1"/>
  <c r="AF2240" i="1" l="1"/>
  <c r="AN2239" i="1"/>
  <c r="AE2653" i="1"/>
  <c r="AF2241" i="1" l="1"/>
  <c r="AN2240" i="1"/>
  <c r="AE2654" i="1"/>
  <c r="AF2242" i="1" l="1"/>
  <c r="AN2241" i="1"/>
  <c r="AE2655" i="1"/>
  <c r="AF2243" i="1" l="1"/>
  <c r="AN2242" i="1"/>
  <c r="AE2656" i="1"/>
  <c r="AF2244" i="1" l="1"/>
  <c r="AN2243" i="1"/>
  <c r="AE2657" i="1"/>
  <c r="AF2245" i="1" l="1"/>
  <c r="AN2244" i="1"/>
  <c r="AE2658" i="1"/>
  <c r="AF2246" i="1" l="1"/>
  <c r="AN2245" i="1"/>
  <c r="AE2659" i="1"/>
  <c r="AF2247" i="1" l="1"/>
  <c r="AN2246" i="1"/>
  <c r="AE2660" i="1"/>
  <c r="AF2248" i="1" l="1"/>
  <c r="AN2247" i="1"/>
  <c r="AE2661" i="1"/>
  <c r="AF2249" i="1" l="1"/>
  <c r="AN2248" i="1"/>
  <c r="AE2662" i="1"/>
  <c r="AF2250" i="1" l="1"/>
  <c r="AN2249" i="1"/>
  <c r="AE2663" i="1"/>
  <c r="AF2251" i="1" l="1"/>
  <c r="AN2250" i="1"/>
  <c r="AE2664" i="1"/>
  <c r="AF2252" i="1" l="1"/>
  <c r="AN2251" i="1"/>
  <c r="AE2665" i="1"/>
  <c r="AF2253" i="1" l="1"/>
  <c r="AN2252" i="1"/>
  <c r="AE2666" i="1"/>
  <c r="AF2254" i="1" l="1"/>
  <c r="AN2253" i="1"/>
  <c r="AE2667" i="1"/>
  <c r="AF2255" i="1" l="1"/>
  <c r="AN2254" i="1"/>
  <c r="AE2668" i="1"/>
  <c r="AF2256" i="1" l="1"/>
  <c r="AN2255" i="1"/>
  <c r="AE2669" i="1"/>
  <c r="AF2257" i="1" l="1"/>
  <c r="AN2256" i="1"/>
  <c r="AE2670" i="1"/>
  <c r="AF2258" i="1" l="1"/>
  <c r="AN2257" i="1"/>
  <c r="AE2671" i="1"/>
  <c r="AF2259" i="1" l="1"/>
  <c r="AN2258" i="1"/>
  <c r="AE2672" i="1"/>
  <c r="AF2260" i="1" l="1"/>
  <c r="AN2259" i="1"/>
  <c r="AE2673" i="1"/>
  <c r="AF2261" i="1" l="1"/>
  <c r="AN2260" i="1"/>
  <c r="AE2674" i="1"/>
  <c r="AF2262" i="1" l="1"/>
  <c r="AN2261" i="1"/>
  <c r="AE2675" i="1"/>
  <c r="AF2263" i="1" l="1"/>
  <c r="AN2262" i="1"/>
  <c r="AE2676" i="1"/>
  <c r="AF2264" i="1" l="1"/>
  <c r="AN2263" i="1"/>
  <c r="AE2677" i="1"/>
  <c r="AF2265" i="1" l="1"/>
  <c r="AN2264" i="1"/>
  <c r="AE2678" i="1"/>
  <c r="AF2266" i="1" l="1"/>
  <c r="AN2265" i="1"/>
  <c r="AE2679" i="1"/>
  <c r="AF2267" i="1" l="1"/>
  <c r="AN2266" i="1"/>
  <c r="AE2680" i="1"/>
  <c r="AF2268" i="1" l="1"/>
  <c r="AN2267" i="1"/>
  <c r="AE2681" i="1"/>
  <c r="AF2269" i="1" l="1"/>
  <c r="AN2268" i="1"/>
  <c r="AE2682" i="1"/>
  <c r="AF2270" i="1" l="1"/>
  <c r="AN2269" i="1"/>
  <c r="AE2683" i="1"/>
  <c r="AF2271" i="1" l="1"/>
  <c r="AN2270" i="1"/>
  <c r="AE2684" i="1"/>
  <c r="AF2272" i="1" l="1"/>
  <c r="AN2271" i="1"/>
  <c r="AE2685" i="1"/>
  <c r="AF2273" i="1" l="1"/>
  <c r="AN2272" i="1"/>
  <c r="AE2686" i="1"/>
  <c r="AF2274" i="1" l="1"/>
  <c r="AN2273" i="1"/>
  <c r="AE2687" i="1"/>
  <c r="AF2275" i="1" l="1"/>
  <c r="AN2274" i="1"/>
  <c r="AE2688" i="1"/>
  <c r="AF2276" i="1" l="1"/>
  <c r="AN2275" i="1"/>
  <c r="AE2689" i="1"/>
  <c r="AF2277" i="1" l="1"/>
  <c r="AN2276" i="1"/>
  <c r="AE2690" i="1"/>
  <c r="AF2278" i="1" l="1"/>
  <c r="AN2277" i="1"/>
  <c r="AE2691" i="1"/>
  <c r="AF2279" i="1" l="1"/>
  <c r="AN2278" i="1"/>
  <c r="AE2692" i="1"/>
  <c r="AF2280" i="1" l="1"/>
  <c r="AN2279" i="1"/>
  <c r="AE2693" i="1"/>
  <c r="AF2281" i="1" l="1"/>
  <c r="AN2280" i="1"/>
  <c r="AE2694" i="1"/>
  <c r="AF2282" i="1" l="1"/>
  <c r="AN2281" i="1"/>
  <c r="AE2695" i="1"/>
  <c r="AF2283" i="1" l="1"/>
  <c r="AN2282" i="1"/>
  <c r="AE2696" i="1"/>
  <c r="AF2284" i="1" l="1"/>
  <c r="AN2283" i="1"/>
  <c r="AE2697" i="1"/>
  <c r="AF2285" i="1" l="1"/>
  <c r="AN2284" i="1"/>
  <c r="AE2698" i="1"/>
  <c r="AF2286" i="1" l="1"/>
  <c r="AN2285" i="1"/>
  <c r="AE2699" i="1"/>
  <c r="AF2287" i="1" l="1"/>
  <c r="AN2286" i="1"/>
  <c r="AE2700" i="1"/>
  <c r="AF2288" i="1" l="1"/>
  <c r="AN2287" i="1"/>
  <c r="AE2701" i="1"/>
  <c r="AF2289" i="1" l="1"/>
  <c r="AN2288" i="1"/>
  <c r="AE2702" i="1"/>
  <c r="AF2290" i="1" l="1"/>
  <c r="AN2289" i="1"/>
  <c r="AE2703" i="1"/>
  <c r="AF2291" i="1" l="1"/>
  <c r="AN2290" i="1"/>
  <c r="AE2704" i="1"/>
  <c r="AF2292" i="1" l="1"/>
  <c r="AN2291" i="1"/>
  <c r="AE2705" i="1"/>
  <c r="AF2293" i="1" l="1"/>
  <c r="AN2292" i="1"/>
  <c r="AE2706" i="1"/>
  <c r="AF2294" i="1" l="1"/>
  <c r="AN2293" i="1"/>
  <c r="AE2707" i="1"/>
  <c r="AF2295" i="1" l="1"/>
  <c r="AN2294" i="1"/>
  <c r="AE2708" i="1"/>
  <c r="AF2296" i="1" l="1"/>
  <c r="AN2295" i="1"/>
  <c r="AE2709" i="1"/>
  <c r="AF2297" i="1" l="1"/>
  <c r="AN2296" i="1"/>
  <c r="AE2710" i="1"/>
  <c r="AF2298" i="1" l="1"/>
  <c r="AN2297" i="1"/>
  <c r="AE2711" i="1"/>
  <c r="AF2299" i="1" l="1"/>
  <c r="AN2298" i="1"/>
  <c r="AE2712" i="1"/>
  <c r="AF2300" i="1" l="1"/>
  <c r="AN2299" i="1"/>
  <c r="AE2713" i="1"/>
  <c r="AF2301" i="1" l="1"/>
  <c r="AN2300" i="1"/>
  <c r="AE2714" i="1"/>
  <c r="AF2302" i="1" l="1"/>
  <c r="AN2301" i="1"/>
  <c r="AE2715" i="1"/>
  <c r="AF2303" i="1" l="1"/>
  <c r="AN2302" i="1"/>
  <c r="AE2716" i="1"/>
  <c r="AF2304" i="1" l="1"/>
  <c r="AN2303" i="1"/>
  <c r="AE2717" i="1"/>
  <c r="AF2305" i="1" l="1"/>
  <c r="AN2304" i="1"/>
  <c r="AE2718" i="1"/>
  <c r="AF2306" i="1" l="1"/>
  <c r="AN2305" i="1"/>
  <c r="AE2719" i="1"/>
  <c r="AF2307" i="1" l="1"/>
  <c r="AN2306" i="1"/>
  <c r="AE2720" i="1"/>
  <c r="AF2308" i="1" l="1"/>
  <c r="AN2307" i="1"/>
  <c r="AE2721" i="1"/>
  <c r="AF2309" i="1" l="1"/>
  <c r="AN2308" i="1"/>
  <c r="AE2722" i="1"/>
  <c r="AF2310" i="1" l="1"/>
  <c r="AN2309" i="1"/>
  <c r="AE2723" i="1"/>
  <c r="AF2311" i="1" l="1"/>
  <c r="AN2310" i="1"/>
  <c r="AE2724" i="1"/>
  <c r="AF2312" i="1" l="1"/>
  <c r="AN2311" i="1"/>
  <c r="AE2725" i="1"/>
  <c r="AF2313" i="1" l="1"/>
  <c r="AN2312" i="1"/>
  <c r="AE2726" i="1"/>
  <c r="AF2314" i="1" l="1"/>
  <c r="AN2313" i="1"/>
  <c r="AE2727" i="1"/>
  <c r="AF2315" i="1" l="1"/>
  <c r="AN2314" i="1"/>
  <c r="AE2728" i="1"/>
  <c r="AF2316" i="1" l="1"/>
  <c r="AN2315" i="1"/>
  <c r="AE2729" i="1"/>
  <c r="AF2317" i="1" l="1"/>
  <c r="AN2316" i="1"/>
  <c r="AE2730" i="1"/>
  <c r="AF2318" i="1" l="1"/>
  <c r="AN2317" i="1"/>
  <c r="AE2731" i="1"/>
  <c r="AF2319" i="1" l="1"/>
  <c r="AN2318" i="1"/>
  <c r="AE2732" i="1"/>
  <c r="AF2320" i="1" l="1"/>
  <c r="AN2319" i="1"/>
  <c r="AE2733" i="1"/>
  <c r="AF2321" i="1" l="1"/>
  <c r="AN2320" i="1"/>
  <c r="AE2734" i="1"/>
  <c r="AF2322" i="1" l="1"/>
  <c r="AN2321" i="1"/>
  <c r="AE2735" i="1"/>
  <c r="AF2323" i="1" l="1"/>
  <c r="AN2322" i="1"/>
  <c r="AE2736" i="1"/>
  <c r="AF2324" i="1" l="1"/>
  <c r="AN2323" i="1"/>
  <c r="AE2737" i="1"/>
  <c r="AF2325" i="1" l="1"/>
  <c r="AN2324" i="1"/>
  <c r="AE2738" i="1"/>
  <c r="AF2326" i="1" l="1"/>
  <c r="AN2325" i="1"/>
  <c r="AE2739" i="1"/>
  <c r="AF2327" i="1" l="1"/>
  <c r="AN2326" i="1"/>
  <c r="AE2740" i="1"/>
  <c r="AF2328" i="1" l="1"/>
  <c r="AN2327" i="1"/>
  <c r="AE2741" i="1"/>
  <c r="AF2329" i="1" l="1"/>
  <c r="AN2328" i="1"/>
  <c r="AE2742" i="1"/>
  <c r="AF2330" i="1" l="1"/>
  <c r="AN2329" i="1"/>
  <c r="AE2743" i="1"/>
  <c r="AF2331" i="1" l="1"/>
  <c r="AN2330" i="1"/>
  <c r="AE2744" i="1"/>
  <c r="AF2332" i="1" l="1"/>
  <c r="AN2331" i="1"/>
  <c r="AE2745" i="1"/>
  <c r="AF2333" i="1" l="1"/>
  <c r="AN2332" i="1"/>
  <c r="AE2746" i="1"/>
  <c r="AF2334" i="1" l="1"/>
  <c r="AN2333" i="1"/>
  <c r="AE2747" i="1"/>
  <c r="AF2335" i="1" l="1"/>
  <c r="AN2334" i="1"/>
  <c r="AE2748" i="1"/>
  <c r="AF2336" i="1" l="1"/>
  <c r="AN2335" i="1"/>
  <c r="AE2749" i="1"/>
  <c r="AF2337" i="1" l="1"/>
  <c r="AN2336" i="1"/>
  <c r="AE2750" i="1"/>
  <c r="AF2338" i="1" l="1"/>
  <c r="AN2337" i="1"/>
  <c r="AE2751" i="1"/>
  <c r="AF2339" i="1" l="1"/>
  <c r="AN2338" i="1"/>
  <c r="AE2752" i="1"/>
  <c r="AF2340" i="1" l="1"/>
  <c r="AN2339" i="1"/>
  <c r="AE2753" i="1"/>
  <c r="AF2341" i="1" l="1"/>
  <c r="AN2340" i="1"/>
  <c r="AE2754" i="1"/>
  <c r="AF2342" i="1" l="1"/>
  <c r="AN2341" i="1"/>
  <c r="AE2755" i="1"/>
  <c r="AF2343" i="1" l="1"/>
  <c r="AN2342" i="1"/>
  <c r="AE2756" i="1"/>
  <c r="AF2344" i="1" l="1"/>
  <c r="AN2343" i="1"/>
  <c r="AE2757" i="1"/>
  <c r="AF2345" i="1" l="1"/>
  <c r="AN2344" i="1"/>
  <c r="AE2758" i="1"/>
  <c r="AF2346" i="1" l="1"/>
  <c r="AN2345" i="1"/>
  <c r="AE2759" i="1"/>
  <c r="AF2347" i="1" l="1"/>
  <c r="AN2346" i="1"/>
  <c r="AE2760" i="1"/>
  <c r="AF2348" i="1" l="1"/>
  <c r="AN2347" i="1"/>
  <c r="AE2761" i="1"/>
  <c r="AF2349" i="1" l="1"/>
  <c r="AN2348" i="1"/>
  <c r="AE2762" i="1"/>
  <c r="AF2350" i="1" l="1"/>
  <c r="AN2349" i="1"/>
  <c r="AE2763" i="1"/>
  <c r="AF2351" i="1" l="1"/>
  <c r="AN2350" i="1"/>
  <c r="AE2764" i="1"/>
  <c r="AF2352" i="1" l="1"/>
  <c r="AN2351" i="1"/>
  <c r="AE2765" i="1"/>
  <c r="AF2353" i="1" l="1"/>
  <c r="AN2352" i="1"/>
  <c r="AE2766" i="1"/>
  <c r="AF2354" i="1" l="1"/>
  <c r="AN2353" i="1"/>
  <c r="AE2767" i="1"/>
  <c r="AF2355" i="1" l="1"/>
  <c r="AN2354" i="1"/>
  <c r="AE2768" i="1"/>
  <c r="AF2356" i="1" l="1"/>
  <c r="AN2355" i="1"/>
  <c r="AE2769" i="1"/>
  <c r="AF2357" i="1" l="1"/>
  <c r="AN2356" i="1"/>
  <c r="AE2770" i="1"/>
  <c r="AF2358" i="1" l="1"/>
  <c r="AN2357" i="1"/>
  <c r="AE2771" i="1"/>
  <c r="AF2359" i="1" l="1"/>
  <c r="AN2358" i="1"/>
  <c r="AE2772" i="1"/>
  <c r="AF2360" i="1" l="1"/>
  <c r="AN2359" i="1"/>
  <c r="AE2773" i="1"/>
  <c r="AF2361" i="1" l="1"/>
  <c r="AN2360" i="1"/>
  <c r="AE2774" i="1"/>
  <c r="AF2362" i="1" l="1"/>
  <c r="AN2361" i="1"/>
  <c r="AE2775" i="1"/>
  <c r="AF2363" i="1" l="1"/>
  <c r="AN2362" i="1"/>
  <c r="AE2776" i="1"/>
  <c r="AF2364" i="1" l="1"/>
  <c r="AN2363" i="1"/>
  <c r="AE2777" i="1"/>
  <c r="AF2365" i="1" l="1"/>
  <c r="AN2364" i="1"/>
  <c r="AE2778" i="1"/>
  <c r="AF2366" i="1" l="1"/>
  <c r="AN2365" i="1"/>
  <c r="AE2779" i="1"/>
  <c r="AF2367" i="1" l="1"/>
  <c r="AN2366" i="1"/>
  <c r="AE2780" i="1"/>
  <c r="AF2368" i="1" l="1"/>
  <c r="AN2367" i="1"/>
  <c r="AE2781" i="1"/>
  <c r="AF2369" i="1" l="1"/>
  <c r="AN2368" i="1"/>
  <c r="AE2782" i="1"/>
  <c r="AF2370" i="1" l="1"/>
  <c r="AN2369" i="1"/>
  <c r="AE2783" i="1"/>
  <c r="AF2371" i="1" l="1"/>
  <c r="AN2370" i="1"/>
  <c r="AE2784" i="1"/>
  <c r="AF2372" i="1" l="1"/>
  <c r="AN2371" i="1"/>
  <c r="AE2785" i="1"/>
  <c r="AF2373" i="1" l="1"/>
  <c r="AN2372" i="1"/>
  <c r="AE2786" i="1"/>
  <c r="AF2374" i="1" l="1"/>
  <c r="AN2373" i="1"/>
  <c r="AE2787" i="1"/>
  <c r="AF2375" i="1" l="1"/>
  <c r="AN2374" i="1"/>
  <c r="AE2788" i="1"/>
  <c r="AF2376" i="1" l="1"/>
  <c r="AN2375" i="1"/>
  <c r="AE2789" i="1"/>
  <c r="AF2377" i="1" l="1"/>
  <c r="AN2376" i="1"/>
  <c r="AE2790" i="1"/>
  <c r="AF2378" i="1" l="1"/>
  <c r="AN2377" i="1"/>
  <c r="AE2791" i="1"/>
  <c r="AF2379" i="1" l="1"/>
  <c r="AN2378" i="1"/>
  <c r="AE2792" i="1"/>
  <c r="AF2380" i="1" l="1"/>
  <c r="AN2379" i="1"/>
  <c r="AE2793" i="1"/>
  <c r="AF2381" i="1" l="1"/>
  <c r="AN2380" i="1"/>
  <c r="AE2794" i="1"/>
  <c r="AF2382" i="1" l="1"/>
  <c r="AN2381" i="1"/>
  <c r="AE2795" i="1"/>
  <c r="AF2383" i="1" l="1"/>
  <c r="AN2382" i="1"/>
  <c r="AE2796" i="1"/>
  <c r="AF2384" i="1" l="1"/>
  <c r="AN2383" i="1"/>
  <c r="AE2797" i="1"/>
  <c r="AF2385" i="1" l="1"/>
  <c r="AN2384" i="1"/>
  <c r="AE2798" i="1"/>
  <c r="AF2386" i="1" l="1"/>
  <c r="AN2385" i="1"/>
  <c r="AE2799" i="1"/>
  <c r="AF2387" i="1" l="1"/>
  <c r="AN2386" i="1"/>
  <c r="AE2800" i="1"/>
  <c r="AF2388" i="1" l="1"/>
  <c r="AN2387" i="1"/>
  <c r="AE2801" i="1"/>
  <c r="AF2389" i="1" l="1"/>
  <c r="AN2388" i="1"/>
  <c r="AE2802" i="1"/>
  <c r="AF2390" i="1" l="1"/>
  <c r="AN2389" i="1"/>
  <c r="AE2803" i="1"/>
  <c r="AF2391" i="1" l="1"/>
  <c r="AN2390" i="1"/>
  <c r="AE2804" i="1"/>
  <c r="AF2392" i="1" l="1"/>
  <c r="AN2391" i="1"/>
  <c r="AE2805" i="1"/>
  <c r="AF2393" i="1" l="1"/>
  <c r="AN2392" i="1"/>
  <c r="AE2806" i="1"/>
  <c r="AF2394" i="1" l="1"/>
  <c r="AN2393" i="1"/>
  <c r="AE2807" i="1"/>
  <c r="AF2395" i="1" l="1"/>
  <c r="AN2394" i="1"/>
  <c r="AE2808" i="1"/>
  <c r="AF2396" i="1" l="1"/>
  <c r="AN2395" i="1"/>
  <c r="AE2809" i="1"/>
  <c r="AF2397" i="1" l="1"/>
  <c r="AN2396" i="1"/>
  <c r="AE2810" i="1"/>
  <c r="AF2398" i="1" l="1"/>
  <c r="AN2397" i="1"/>
  <c r="AE2811" i="1"/>
  <c r="AF2399" i="1" l="1"/>
  <c r="AN2398" i="1"/>
  <c r="AE2812" i="1"/>
  <c r="AF2400" i="1" l="1"/>
  <c r="AN2399" i="1"/>
  <c r="AE2813" i="1"/>
  <c r="AF2401" i="1" l="1"/>
  <c r="AN2400" i="1"/>
  <c r="AE2814" i="1"/>
  <c r="AF2402" i="1" l="1"/>
  <c r="AN2401" i="1"/>
  <c r="AE2815" i="1"/>
  <c r="AF2403" i="1" l="1"/>
  <c r="AN2402" i="1"/>
  <c r="AE2816" i="1"/>
  <c r="AF2404" i="1" l="1"/>
  <c r="AN2403" i="1"/>
  <c r="AE2817" i="1"/>
  <c r="AF2405" i="1" l="1"/>
  <c r="AN2404" i="1"/>
  <c r="AE2818" i="1"/>
  <c r="AF2406" i="1" l="1"/>
  <c r="AN2405" i="1"/>
  <c r="AE2819" i="1"/>
  <c r="AF2407" i="1" l="1"/>
  <c r="AN2406" i="1"/>
  <c r="AE2820" i="1"/>
  <c r="AF2408" i="1" l="1"/>
  <c r="AN2407" i="1"/>
  <c r="AE2821" i="1"/>
  <c r="AF2409" i="1" l="1"/>
  <c r="AN2408" i="1"/>
  <c r="AE2822" i="1"/>
  <c r="AF2410" i="1" l="1"/>
  <c r="AN2409" i="1"/>
  <c r="AE2823" i="1"/>
  <c r="AF2411" i="1" l="1"/>
  <c r="AN2410" i="1"/>
  <c r="AE2824" i="1"/>
  <c r="AF2412" i="1" l="1"/>
  <c r="AN2411" i="1"/>
  <c r="AE2825" i="1"/>
  <c r="AF2413" i="1" l="1"/>
  <c r="AN2412" i="1"/>
  <c r="AE2826" i="1"/>
  <c r="AF2414" i="1" l="1"/>
  <c r="AN2413" i="1"/>
  <c r="AE2827" i="1"/>
  <c r="AF2415" i="1" l="1"/>
  <c r="AN2414" i="1"/>
  <c r="AE2828" i="1"/>
  <c r="AF2416" i="1" l="1"/>
  <c r="AN2415" i="1"/>
  <c r="AE2829" i="1"/>
  <c r="AF2417" i="1" l="1"/>
  <c r="AN2416" i="1"/>
  <c r="AE2830" i="1"/>
  <c r="AF2418" i="1" l="1"/>
  <c r="AN2417" i="1"/>
  <c r="AE2831" i="1"/>
  <c r="AF2419" i="1" l="1"/>
  <c r="AN2418" i="1"/>
  <c r="AE2832" i="1"/>
  <c r="AF2420" i="1" l="1"/>
  <c r="AN2419" i="1"/>
  <c r="AE2833" i="1"/>
  <c r="AF2421" i="1" l="1"/>
  <c r="AN2420" i="1"/>
  <c r="AE2834" i="1"/>
  <c r="AF2422" i="1" l="1"/>
  <c r="AN2421" i="1"/>
  <c r="AE2835" i="1"/>
  <c r="AF2423" i="1" l="1"/>
  <c r="AN2422" i="1"/>
  <c r="AE2836" i="1"/>
  <c r="AF2424" i="1" l="1"/>
  <c r="AN2423" i="1"/>
  <c r="AE2837" i="1"/>
  <c r="AF2425" i="1" l="1"/>
  <c r="AN2424" i="1"/>
  <c r="AE2838" i="1"/>
  <c r="AF2426" i="1" l="1"/>
  <c r="AN2425" i="1"/>
  <c r="AE2839" i="1"/>
  <c r="AF2427" i="1" l="1"/>
  <c r="AN2426" i="1"/>
  <c r="AE2840" i="1"/>
  <c r="AF2428" i="1" l="1"/>
  <c r="AN2427" i="1"/>
  <c r="AE2841" i="1"/>
  <c r="AF2429" i="1" l="1"/>
  <c r="AN2428" i="1"/>
  <c r="AE2842" i="1"/>
  <c r="AF2430" i="1" l="1"/>
  <c r="AN2429" i="1"/>
  <c r="AE2843" i="1"/>
  <c r="AF2431" i="1" l="1"/>
  <c r="AN2430" i="1"/>
  <c r="AE2844" i="1"/>
  <c r="AF2432" i="1" l="1"/>
  <c r="AN2431" i="1"/>
  <c r="AE2845" i="1"/>
  <c r="AF2433" i="1" l="1"/>
  <c r="AN2432" i="1"/>
  <c r="AE2846" i="1"/>
  <c r="AF2434" i="1" l="1"/>
  <c r="AN2433" i="1"/>
  <c r="AE2847" i="1"/>
  <c r="AF2435" i="1" l="1"/>
  <c r="AN2434" i="1"/>
  <c r="AE2848" i="1"/>
  <c r="AF2436" i="1" l="1"/>
  <c r="AN2435" i="1"/>
  <c r="AE2849" i="1"/>
  <c r="AF2437" i="1" l="1"/>
  <c r="AN2436" i="1"/>
  <c r="AE2850" i="1"/>
  <c r="AF2438" i="1" l="1"/>
  <c r="AN2437" i="1"/>
  <c r="AE2851" i="1"/>
  <c r="AF2439" i="1" l="1"/>
  <c r="AN2438" i="1"/>
  <c r="AE2852" i="1"/>
  <c r="AF2440" i="1" l="1"/>
  <c r="AN2439" i="1"/>
  <c r="AE2853" i="1"/>
  <c r="AF2441" i="1" l="1"/>
  <c r="AN2440" i="1"/>
  <c r="AE2854" i="1"/>
  <c r="AF2442" i="1" l="1"/>
  <c r="AN2441" i="1"/>
  <c r="AE2855" i="1"/>
  <c r="AF2443" i="1" l="1"/>
  <c r="AN2442" i="1"/>
  <c r="AE2856" i="1"/>
  <c r="AF2444" i="1" l="1"/>
  <c r="AN2443" i="1"/>
  <c r="AE2857" i="1"/>
  <c r="AF2445" i="1" l="1"/>
  <c r="AN2444" i="1"/>
  <c r="AE2858" i="1"/>
  <c r="AF2446" i="1" l="1"/>
  <c r="AN2445" i="1"/>
  <c r="AE2859" i="1"/>
  <c r="AF2447" i="1" l="1"/>
  <c r="AN2446" i="1"/>
  <c r="AE2860" i="1"/>
  <c r="AF2448" i="1" l="1"/>
  <c r="AN2447" i="1"/>
  <c r="AE2861" i="1"/>
  <c r="AF2449" i="1" l="1"/>
  <c r="AN2448" i="1"/>
  <c r="AE2862" i="1"/>
  <c r="AF2450" i="1" l="1"/>
  <c r="AN2449" i="1"/>
  <c r="AE2863" i="1"/>
  <c r="AF2451" i="1" l="1"/>
  <c r="AN2450" i="1"/>
  <c r="AE2864" i="1"/>
  <c r="AF2452" i="1" l="1"/>
  <c r="AN2451" i="1"/>
  <c r="AE2865" i="1"/>
  <c r="AF2453" i="1" l="1"/>
  <c r="AN2452" i="1"/>
  <c r="AE2866" i="1"/>
  <c r="AF2454" i="1" l="1"/>
  <c r="AN2453" i="1"/>
  <c r="AE2867" i="1"/>
  <c r="AF2455" i="1" l="1"/>
  <c r="AN2454" i="1"/>
  <c r="AE2868" i="1"/>
  <c r="AF2456" i="1" l="1"/>
  <c r="AN2455" i="1"/>
  <c r="AE2869" i="1"/>
  <c r="AF2457" i="1" l="1"/>
  <c r="AN2456" i="1"/>
  <c r="AE2870" i="1"/>
  <c r="AF2458" i="1" l="1"/>
  <c r="AN2457" i="1"/>
  <c r="AE2871" i="1"/>
  <c r="AF2459" i="1" l="1"/>
  <c r="AN2458" i="1"/>
  <c r="AE2872" i="1"/>
  <c r="AF2460" i="1" l="1"/>
  <c r="AN2459" i="1"/>
  <c r="AE2873" i="1"/>
  <c r="AF2461" i="1" l="1"/>
  <c r="AN2460" i="1"/>
  <c r="AE2874" i="1"/>
  <c r="AF2462" i="1" l="1"/>
  <c r="AN2461" i="1"/>
  <c r="AE2875" i="1"/>
  <c r="AF2463" i="1" l="1"/>
  <c r="AN2462" i="1"/>
  <c r="AE2876" i="1"/>
  <c r="AF2464" i="1" l="1"/>
  <c r="AN2463" i="1"/>
  <c r="AE2877" i="1"/>
  <c r="AF2465" i="1" l="1"/>
  <c r="AN2464" i="1"/>
  <c r="AE2878" i="1"/>
  <c r="AF2466" i="1" l="1"/>
  <c r="AN2465" i="1"/>
  <c r="AE2879" i="1"/>
  <c r="AF2467" i="1" l="1"/>
  <c r="AN2466" i="1"/>
  <c r="AE2880" i="1"/>
  <c r="AF2468" i="1" l="1"/>
  <c r="AN2467" i="1"/>
  <c r="AE2881" i="1"/>
  <c r="AF2469" i="1" l="1"/>
  <c r="AN2468" i="1"/>
  <c r="AE2882" i="1"/>
  <c r="AF2470" i="1" l="1"/>
  <c r="AN2469" i="1"/>
  <c r="AE2883" i="1"/>
  <c r="AF2471" i="1" l="1"/>
  <c r="AN2470" i="1"/>
  <c r="AE2884" i="1"/>
  <c r="AF2472" i="1" l="1"/>
  <c r="AN2471" i="1"/>
  <c r="AE2885" i="1"/>
  <c r="AF2473" i="1" l="1"/>
  <c r="AN2472" i="1"/>
  <c r="AE2886" i="1"/>
  <c r="AF2474" i="1" l="1"/>
  <c r="AN2473" i="1"/>
  <c r="AE2887" i="1"/>
  <c r="AF2475" i="1" l="1"/>
  <c r="AN2474" i="1"/>
  <c r="AE2888" i="1"/>
  <c r="AF2476" i="1" l="1"/>
  <c r="AN2475" i="1"/>
  <c r="AE2889" i="1"/>
  <c r="AF2477" i="1" l="1"/>
  <c r="AN2476" i="1"/>
  <c r="AE2890" i="1"/>
  <c r="AF2478" i="1" l="1"/>
  <c r="AN2477" i="1"/>
  <c r="AE2891" i="1"/>
  <c r="AF2479" i="1" l="1"/>
  <c r="AN2478" i="1"/>
  <c r="AE2892" i="1"/>
  <c r="AF2480" i="1" l="1"/>
  <c r="AN2479" i="1"/>
  <c r="AE2893" i="1"/>
  <c r="AF2481" i="1" l="1"/>
  <c r="AN2480" i="1"/>
  <c r="AE2894" i="1"/>
  <c r="AF2482" i="1" l="1"/>
  <c r="AN2481" i="1"/>
  <c r="AE2895" i="1"/>
  <c r="AF2483" i="1" l="1"/>
  <c r="AN2482" i="1"/>
  <c r="AE2896" i="1"/>
  <c r="AF2484" i="1" l="1"/>
  <c r="AN2483" i="1"/>
  <c r="AE2897" i="1"/>
  <c r="AF2485" i="1" l="1"/>
  <c r="AN2484" i="1"/>
  <c r="AE2898" i="1"/>
  <c r="AF2486" i="1" l="1"/>
  <c r="AN2485" i="1"/>
  <c r="AE2899" i="1"/>
  <c r="AF2487" i="1" l="1"/>
  <c r="AN2486" i="1"/>
  <c r="AE2900" i="1"/>
  <c r="AF2488" i="1" l="1"/>
  <c r="AN2487" i="1"/>
  <c r="AE2901" i="1"/>
  <c r="AF2489" i="1" l="1"/>
  <c r="AN2488" i="1"/>
  <c r="AE2902" i="1"/>
  <c r="AF2490" i="1" l="1"/>
  <c r="AN2489" i="1"/>
  <c r="AE2903" i="1"/>
  <c r="AF2491" i="1" l="1"/>
  <c r="AN2490" i="1"/>
  <c r="AE2904" i="1"/>
  <c r="AF2492" i="1" l="1"/>
  <c r="AN2491" i="1"/>
  <c r="AE2905" i="1"/>
  <c r="AF2493" i="1" l="1"/>
  <c r="AN2492" i="1"/>
  <c r="AE2906" i="1"/>
  <c r="AF2494" i="1" l="1"/>
  <c r="AN2493" i="1"/>
  <c r="AE2907" i="1"/>
  <c r="AF2495" i="1" l="1"/>
  <c r="AN2494" i="1"/>
  <c r="AE2908" i="1"/>
  <c r="AF2496" i="1" l="1"/>
  <c r="AN2495" i="1"/>
  <c r="AE2909" i="1"/>
  <c r="AF2497" i="1" l="1"/>
  <c r="AN2496" i="1"/>
  <c r="AE2910" i="1"/>
  <c r="AF2498" i="1" l="1"/>
  <c r="AN2497" i="1"/>
  <c r="AE2911" i="1"/>
  <c r="AF2499" i="1" l="1"/>
  <c r="AN2498" i="1"/>
  <c r="AE2912" i="1"/>
  <c r="AF2500" i="1" l="1"/>
  <c r="AN2499" i="1"/>
  <c r="AE2913" i="1"/>
  <c r="AF2501" i="1" l="1"/>
  <c r="AN2500" i="1"/>
  <c r="AE2914" i="1"/>
  <c r="AF2502" i="1" l="1"/>
  <c r="AN2501" i="1"/>
  <c r="AE2915" i="1"/>
  <c r="AF2503" i="1" l="1"/>
  <c r="AN2502" i="1"/>
  <c r="AE2916" i="1"/>
  <c r="AF2504" i="1" l="1"/>
  <c r="AN2503" i="1"/>
  <c r="AE2917" i="1"/>
  <c r="AF2505" i="1" l="1"/>
  <c r="AN2504" i="1"/>
  <c r="AE2918" i="1"/>
  <c r="AF2506" i="1" l="1"/>
  <c r="AN2505" i="1"/>
  <c r="AE2919" i="1"/>
  <c r="AF2507" i="1" l="1"/>
  <c r="AN2506" i="1"/>
  <c r="AE2920" i="1"/>
  <c r="AF2508" i="1" l="1"/>
  <c r="AN2507" i="1"/>
  <c r="AE2921" i="1"/>
  <c r="AF2509" i="1" l="1"/>
  <c r="AN2508" i="1"/>
  <c r="AE2922" i="1"/>
  <c r="AF2510" i="1" l="1"/>
  <c r="AN2509" i="1"/>
  <c r="AE2923" i="1"/>
  <c r="AF2511" i="1" l="1"/>
  <c r="AN2510" i="1"/>
  <c r="AE2924" i="1"/>
  <c r="AF2512" i="1" l="1"/>
  <c r="AN2511" i="1"/>
  <c r="AE2925" i="1"/>
  <c r="AF2513" i="1" l="1"/>
  <c r="AN2512" i="1"/>
  <c r="AE2926" i="1"/>
  <c r="AF2514" i="1" l="1"/>
  <c r="AN2513" i="1"/>
  <c r="AE2927" i="1"/>
  <c r="AF2515" i="1" l="1"/>
  <c r="AN2514" i="1"/>
  <c r="AE2928" i="1"/>
  <c r="AF2516" i="1" l="1"/>
  <c r="AN2515" i="1"/>
  <c r="AE2929" i="1"/>
  <c r="AF2517" i="1" l="1"/>
  <c r="AN2516" i="1"/>
  <c r="AE2930" i="1"/>
  <c r="AF2518" i="1" l="1"/>
  <c r="AN2517" i="1"/>
  <c r="AE2931" i="1"/>
  <c r="AF2519" i="1" l="1"/>
  <c r="AN2518" i="1"/>
  <c r="AE2932" i="1"/>
  <c r="AF2520" i="1" l="1"/>
  <c r="AN2519" i="1"/>
  <c r="AE2933" i="1"/>
  <c r="AF2521" i="1" l="1"/>
  <c r="AN2520" i="1"/>
  <c r="AE2934" i="1"/>
  <c r="AF2522" i="1" l="1"/>
  <c r="AN2521" i="1"/>
  <c r="AE2935" i="1"/>
  <c r="AF2523" i="1" l="1"/>
  <c r="AN2522" i="1"/>
  <c r="AE2936" i="1"/>
  <c r="AF2524" i="1" l="1"/>
  <c r="AN2523" i="1"/>
  <c r="AE2937" i="1"/>
  <c r="AF2525" i="1" l="1"/>
  <c r="AN2524" i="1"/>
  <c r="AE2938" i="1"/>
  <c r="AF2526" i="1" l="1"/>
  <c r="AN2525" i="1"/>
  <c r="AE2939" i="1"/>
  <c r="AF2527" i="1" l="1"/>
  <c r="AN2526" i="1"/>
  <c r="AE2940" i="1"/>
  <c r="AF2528" i="1" l="1"/>
  <c r="AN2527" i="1"/>
  <c r="AE2941" i="1"/>
  <c r="AF2529" i="1" l="1"/>
  <c r="AN2528" i="1"/>
  <c r="AE2942" i="1"/>
  <c r="AF2530" i="1" l="1"/>
  <c r="AN2529" i="1"/>
  <c r="AE2943" i="1"/>
  <c r="AF2531" i="1" l="1"/>
  <c r="AN2530" i="1"/>
  <c r="AE2944" i="1"/>
  <c r="AF2532" i="1" l="1"/>
  <c r="AN2531" i="1"/>
  <c r="AE2945" i="1"/>
  <c r="AF2533" i="1" l="1"/>
  <c r="AN2532" i="1"/>
  <c r="AE2946" i="1"/>
  <c r="AF2534" i="1" l="1"/>
  <c r="AN2533" i="1"/>
  <c r="AE2947" i="1"/>
  <c r="AF2535" i="1" l="1"/>
  <c r="AN2534" i="1"/>
  <c r="AE2948" i="1"/>
  <c r="AF2536" i="1" l="1"/>
  <c r="AN2535" i="1"/>
  <c r="AE2949" i="1"/>
  <c r="AF2537" i="1" l="1"/>
  <c r="AN2536" i="1"/>
  <c r="AE2950" i="1"/>
  <c r="AF2538" i="1" l="1"/>
  <c r="AN2537" i="1"/>
  <c r="AE2951" i="1"/>
  <c r="AF2539" i="1" l="1"/>
  <c r="AN2538" i="1"/>
  <c r="AE2952" i="1"/>
  <c r="AF2540" i="1" l="1"/>
  <c r="AN2539" i="1"/>
  <c r="AE2953" i="1"/>
  <c r="AF2541" i="1" l="1"/>
  <c r="AN2540" i="1"/>
  <c r="AE2954" i="1"/>
  <c r="AF2542" i="1" l="1"/>
  <c r="AN2541" i="1"/>
  <c r="AE2955" i="1"/>
  <c r="AF2543" i="1" l="1"/>
  <c r="AN2542" i="1"/>
  <c r="AE2956" i="1"/>
  <c r="AF2544" i="1" l="1"/>
  <c r="AN2543" i="1"/>
  <c r="AE2957" i="1"/>
  <c r="AF2545" i="1" l="1"/>
  <c r="AN2544" i="1"/>
  <c r="AE2958" i="1"/>
  <c r="AF2546" i="1" l="1"/>
  <c r="AN2545" i="1"/>
  <c r="AE2959" i="1"/>
  <c r="AF2547" i="1" l="1"/>
  <c r="AN2546" i="1"/>
  <c r="AE2960" i="1"/>
  <c r="AF2548" i="1" l="1"/>
  <c r="AN2547" i="1"/>
  <c r="AE2961" i="1"/>
  <c r="AF2549" i="1" l="1"/>
  <c r="AN2548" i="1"/>
  <c r="AE2962" i="1"/>
  <c r="AF2550" i="1" l="1"/>
  <c r="AN2549" i="1"/>
  <c r="AE2963" i="1"/>
  <c r="AF2551" i="1" l="1"/>
  <c r="AN2550" i="1"/>
  <c r="AE2964" i="1"/>
  <c r="AF2552" i="1" l="1"/>
  <c r="AN2551" i="1"/>
  <c r="AE2965" i="1"/>
  <c r="AF2553" i="1" l="1"/>
  <c r="AN2552" i="1"/>
  <c r="AE2966" i="1"/>
  <c r="AF2554" i="1" l="1"/>
  <c r="AN2553" i="1"/>
  <c r="AE2967" i="1"/>
  <c r="AF2555" i="1" l="1"/>
  <c r="AN2554" i="1"/>
  <c r="AE2968" i="1"/>
  <c r="AF2556" i="1" l="1"/>
  <c r="AN2555" i="1"/>
  <c r="AE2969" i="1"/>
  <c r="AF2557" i="1" l="1"/>
  <c r="AN2556" i="1"/>
  <c r="AE2970" i="1"/>
  <c r="AF2558" i="1" l="1"/>
  <c r="AN2557" i="1"/>
  <c r="AE2971" i="1"/>
  <c r="AF2559" i="1" l="1"/>
  <c r="AN2558" i="1"/>
  <c r="AE2972" i="1"/>
  <c r="AF2560" i="1" l="1"/>
  <c r="AN2559" i="1"/>
  <c r="AE2973" i="1"/>
  <c r="AF2561" i="1" l="1"/>
  <c r="AN2560" i="1"/>
  <c r="AE2974" i="1"/>
  <c r="AF2562" i="1" l="1"/>
  <c r="AN2561" i="1"/>
  <c r="AE2975" i="1"/>
  <c r="AF2563" i="1" l="1"/>
  <c r="AN2562" i="1"/>
  <c r="AE2976" i="1"/>
  <c r="AF2564" i="1" l="1"/>
  <c r="AN2563" i="1"/>
  <c r="AE2977" i="1"/>
  <c r="AF2565" i="1" l="1"/>
  <c r="AN2564" i="1"/>
  <c r="AE2978" i="1"/>
  <c r="AF2566" i="1" l="1"/>
  <c r="AN2565" i="1"/>
  <c r="AE2979" i="1"/>
  <c r="AF2567" i="1" l="1"/>
  <c r="AN2566" i="1"/>
  <c r="AE2980" i="1"/>
  <c r="AF2568" i="1" l="1"/>
  <c r="AN2567" i="1"/>
  <c r="AE2981" i="1"/>
  <c r="AF2569" i="1" l="1"/>
  <c r="AN2568" i="1"/>
  <c r="AE2982" i="1"/>
  <c r="AF2570" i="1" l="1"/>
  <c r="AN2569" i="1"/>
  <c r="AE2983" i="1"/>
  <c r="AF2571" i="1" l="1"/>
  <c r="AN2570" i="1"/>
  <c r="AE2984" i="1"/>
  <c r="AF2572" i="1" l="1"/>
  <c r="AN2571" i="1"/>
  <c r="AE2985" i="1"/>
  <c r="AF2573" i="1" l="1"/>
  <c r="AN2572" i="1"/>
  <c r="AE2986" i="1"/>
  <c r="AF2574" i="1" l="1"/>
  <c r="AN2573" i="1"/>
  <c r="AE2987" i="1"/>
  <c r="AF2575" i="1" l="1"/>
  <c r="AN2574" i="1"/>
  <c r="AE2988" i="1"/>
  <c r="AF2576" i="1" l="1"/>
  <c r="AN2575" i="1"/>
  <c r="AE2989" i="1"/>
  <c r="AF2577" i="1" l="1"/>
  <c r="AN2576" i="1"/>
  <c r="AE2990" i="1"/>
  <c r="AF2578" i="1" l="1"/>
  <c r="AN2577" i="1"/>
  <c r="AE2991" i="1"/>
  <c r="AF2579" i="1" l="1"/>
  <c r="AN2578" i="1"/>
  <c r="AE2992" i="1"/>
  <c r="AF2580" i="1" l="1"/>
  <c r="AN2579" i="1"/>
  <c r="AE2993" i="1"/>
  <c r="AF2581" i="1" l="1"/>
  <c r="AN2580" i="1"/>
  <c r="AE2994" i="1"/>
  <c r="AF2582" i="1" l="1"/>
  <c r="AN2581" i="1"/>
  <c r="AE2995" i="1"/>
  <c r="AF2583" i="1" l="1"/>
  <c r="AN2582" i="1"/>
  <c r="AE2996" i="1"/>
  <c r="AF2584" i="1" l="1"/>
  <c r="AN2583" i="1"/>
  <c r="AE2997" i="1"/>
  <c r="AF2585" i="1" l="1"/>
  <c r="AN2584" i="1"/>
  <c r="AE2998" i="1"/>
  <c r="AF2586" i="1" l="1"/>
  <c r="AN2585" i="1"/>
  <c r="AE2999" i="1"/>
  <c r="AF2587" i="1" l="1"/>
  <c r="AN2586" i="1"/>
  <c r="AE3000" i="1"/>
  <c r="AF2588" i="1" l="1"/>
  <c r="AN2587" i="1"/>
  <c r="AE3001" i="1"/>
  <c r="AF2589" i="1" l="1"/>
  <c r="AN2588" i="1"/>
  <c r="AE3002" i="1"/>
  <c r="AF2590" i="1" l="1"/>
  <c r="AN2589" i="1"/>
  <c r="AE3003" i="1"/>
  <c r="AF2591" i="1" l="1"/>
  <c r="AN2590" i="1"/>
  <c r="AE3004" i="1"/>
  <c r="AF2592" i="1" l="1"/>
  <c r="AN2591" i="1"/>
  <c r="AE3005" i="1"/>
  <c r="AF2593" i="1" l="1"/>
  <c r="AN2592" i="1"/>
  <c r="AE3006" i="1"/>
  <c r="AF2594" i="1" l="1"/>
  <c r="AN2593" i="1"/>
  <c r="AE3007" i="1"/>
  <c r="AF2595" i="1" l="1"/>
  <c r="AN2594" i="1"/>
  <c r="AE3008" i="1"/>
  <c r="AF2596" i="1" l="1"/>
  <c r="AN2595" i="1"/>
  <c r="AE3009" i="1"/>
  <c r="AF2597" i="1" l="1"/>
  <c r="AN2596" i="1"/>
  <c r="AE3010" i="1"/>
  <c r="AF2598" i="1" l="1"/>
  <c r="AN2597" i="1"/>
  <c r="AE3011" i="1"/>
  <c r="AF2599" i="1" l="1"/>
  <c r="AN2598" i="1"/>
  <c r="AE3012" i="1"/>
  <c r="AF2600" i="1" l="1"/>
  <c r="AN2599" i="1"/>
  <c r="AE3013" i="1"/>
  <c r="AF2601" i="1" l="1"/>
  <c r="AN2600" i="1"/>
  <c r="AE3014" i="1"/>
  <c r="AF2602" i="1" l="1"/>
  <c r="AN2601" i="1"/>
  <c r="AE3015" i="1"/>
  <c r="AF2603" i="1" l="1"/>
  <c r="AN2602" i="1"/>
  <c r="AE3016" i="1"/>
  <c r="AF2604" i="1" l="1"/>
  <c r="AN2603" i="1"/>
  <c r="AE3017" i="1"/>
  <c r="AF2605" i="1" l="1"/>
  <c r="AN2604" i="1"/>
  <c r="AE3018" i="1"/>
  <c r="AF2606" i="1" l="1"/>
  <c r="AN2605" i="1"/>
  <c r="AE3019" i="1"/>
  <c r="AF2607" i="1" l="1"/>
  <c r="AN2606" i="1"/>
  <c r="AE3020" i="1"/>
  <c r="AF2608" i="1" l="1"/>
  <c r="AN2607" i="1"/>
  <c r="AE3021" i="1"/>
  <c r="AF2609" i="1" l="1"/>
  <c r="AN2608" i="1"/>
  <c r="AE3022" i="1"/>
  <c r="AF2610" i="1" l="1"/>
  <c r="AN2609" i="1"/>
  <c r="AE3023" i="1"/>
  <c r="AF2611" i="1" l="1"/>
  <c r="AN2610" i="1"/>
  <c r="AE3024" i="1"/>
  <c r="AF2612" i="1" l="1"/>
  <c r="AN2611" i="1"/>
  <c r="AE3025" i="1"/>
  <c r="AF2613" i="1" l="1"/>
  <c r="AN2612" i="1"/>
  <c r="AE3026" i="1"/>
  <c r="AF2614" i="1" l="1"/>
  <c r="AN2613" i="1"/>
  <c r="AE3027" i="1"/>
  <c r="AF2615" i="1" l="1"/>
  <c r="AN2614" i="1"/>
  <c r="AE3028" i="1"/>
  <c r="AF2616" i="1" l="1"/>
  <c r="AN2615" i="1"/>
  <c r="AE3029" i="1"/>
  <c r="AF2617" i="1" l="1"/>
  <c r="AN2616" i="1"/>
  <c r="AE3030" i="1"/>
  <c r="AF2618" i="1" l="1"/>
  <c r="AN2617" i="1"/>
  <c r="AE3031" i="1"/>
  <c r="AF2619" i="1" l="1"/>
  <c r="AN2618" i="1"/>
  <c r="AE3032" i="1"/>
  <c r="AF2620" i="1" l="1"/>
  <c r="AN2619" i="1"/>
  <c r="AE3033" i="1"/>
  <c r="AF2621" i="1" l="1"/>
  <c r="AN2620" i="1"/>
  <c r="AE3034" i="1"/>
  <c r="AF2622" i="1" l="1"/>
  <c r="AN2621" i="1"/>
  <c r="AE3035" i="1"/>
  <c r="AF2623" i="1" l="1"/>
  <c r="AN2622" i="1"/>
  <c r="AE3036" i="1"/>
  <c r="AF2624" i="1" l="1"/>
  <c r="AN2623" i="1"/>
  <c r="AE3037" i="1"/>
  <c r="AF2625" i="1" l="1"/>
  <c r="AN2624" i="1"/>
  <c r="AE3038" i="1"/>
  <c r="AF2626" i="1" l="1"/>
  <c r="AN2625" i="1"/>
  <c r="AE3039" i="1"/>
  <c r="AF2627" i="1" l="1"/>
  <c r="AN2626" i="1"/>
  <c r="AE3040" i="1"/>
  <c r="AF2628" i="1" l="1"/>
  <c r="AN2627" i="1"/>
  <c r="AE3041" i="1"/>
  <c r="AF2629" i="1" l="1"/>
  <c r="AN2628" i="1"/>
  <c r="AE3042" i="1"/>
  <c r="AF2630" i="1" l="1"/>
  <c r="AN2629" i="1"/>
  <c r="AE3043" i="1"/>
  <c r="AF2631" i="1" l="1"/>
  <c r="AN2630" i="1"/>
  <c r="AE3044" i="1"/>
  <c r="AF2632" i="1" l="1"/>
  <c r="AN2631" i="1"/>
  <c r="AE3045" i="1"/>
  <c r="AF2633" i="1" l="1"/>
  <c r="AN2632" i="1"/>
  <c r="AE3046" i="1"/>
  <c r="AF2634" i="1" l="1"/>
  <c r="AN2633" i="1"/>
  <c r="AE3047" i="1"/>
  <c r="AF2635" i="1" l="1"/>
  <c r="AN2634" i="1"/>
  <c r="AE3048" i="1"/>
  <c r="AF2636" i="1" l="1"/>
  <c r="AN2635" i="1"/>
  <c r="AE3049" i="1"/>
  <c r="AF2637" i="1" l="1"/>
  <c r="AN2636" i="1"/>
  <c r="AE3050" i="1"/>
  <c r="AF2638" i="1" l="1"/>
  <c r="AN2637" i="1"/>
  <c r="AE3051" i="1"/>
  <c r="AF2639" i="1" l="1"/>
  <c r="AN2638" i="1"/>
  <c r="AE3052" i="1"/>
  <c r="AF2640" i="1" l="1"/>
  <c r="AN2639" i="1"/>
  <c r="AE3053" i="1"/>
  <c r="AF2641" i="1" l="1"/>
  <c r="AN2640" i="1"/>
  <c r="AE3054" i="1"/>
  <c r="AF2642" i="1" l="1"/>
  <c r="AN2641" i="1"/>
  <c r="AE3055" i="1"/>
  <c r="AF2643" i="1" l="1"/>
  <c r="AN2642" i="1"/>
  <c r="AE3056" i="1"/>
  <c r="AF2644" i="1" l="1"/>
  <c r="AN2643" i="1"/>
  <c r="AE3057" i="1"/>
  <c r="AF2645" i="1" l="1"/>
  <c r="AN2644" i="1"/>
  <c r="AE3058" i="1"/>
  <c r="AF2646" i="1" l="1"/>
  <c r="AN2645" i="1"/>
  <c r="AE3059" i="1"/>
  <c r="AF2647" i="1" l="1"/>
  <c r="AN2646" i="1"/>
  <c r="AE3060" i="1"/>
  <c r="AF2648" i="1" l="1"/>
  <c r="AN2647" i="1"/>
  <c r="AE3061" i="1"/>
  <c r="AF2649" i="1" l="1"/>
  <c r="AN2648" i="1"/>
  <c r="AE3062" i="1"/>
  <c r="AF2650" i="1" l="1"/>
  <c r="AN2649" i="1"/>
  <c r="AE3063" i="1"/>
  <c r="AF2651" i="1" l="1"/>
  <c r="AN2650" i="1"/>
  <c r="AE3064" i="1"/>
  <c r="AF2652" i="1" l="1"/>
  <c r="AN2651" i="1"/>
  <c r="AE3065" i="1"/>
  <c r="AF2653" i="1" l="1"/>
  <c r="AN2652" i="1"/>
  <c r="AE3066" i="1"/>
  <c r="AF2654" i="1" l="1"/>
  <c r="AN2653" i="1"/>
  <c r="AE3067" i="1"/>
  <c r="AF2655" i="1" l="1"/>
  <c r="AN2654" i="1"/>
  <c r="AE3068" i="1"/>
  <c r="AF2656" i="1" l="1"/>
  <c r="AN2655" i="1"/>
  <c r="AE3069" i="1"/>
  <c r="AF2657" i="1" l="1"/>
  <c r="AN2656" i="1"/>
  <c r="AE3070" i="1"/>
  <c r="AF2658" i="1" l="1"/>
  <c r="AN2657" i="1"/>
  <c r="AE3071" i="1"/>
  <c r="AF2659" i="1" l="1"/>
  <c r="AN2658" i="1"/>
  <c r="AE3072" i="1"/>
  <c r="AF2660" i="1" l="1"/>
  <c r="AN2659" i="1"/>
  <c r="AE3073" i="1"/>
  <c r="AF2661" i="1" l="1"/>
  <c r="AN2660" i="1"/>
  <c r="AE3074" i="1"/>
  <c r="AF2662" i="1" l="1"/>
  <c r="AN2661" i="1"/>
  <c r="AE3075" i="1"/>
  <c r="AF2663" i="1" l="1"/>
  <c r="AN2662" i="1"/>
  <c r="AE3076" i="1"/>
  <c r="AF2664" i="1" l="1"/>
  <c r="AN2663" i="1"/>
  <c r="AE3077" i="1"/>
  <c r="AF2665" i="1" l="1"/>
  <c r="AN2664" i="1"/>
  <c r="AE3078" i="1"/>
  <c r="AF2666" i="1" l="1"/>
  <c r="AN2665" i="1"/>
  <c r="AE3079" i="1"/>
  <c r="AF2667" i="1" l="1"/>
  <c r="AN2666" i="1"/>
  <c r="AE3080" i="1"/>
  <c r="AF2668" i="1" l="1"/>
  <c r="AN2667" i="1"/>
  <c r="AE3081" i="1"/>
  <c r="AF2669" i="1" l="1"/>
  <c r="AN2668" i="1"/>
  <c r="AE3082" i="1"/>
  <c r="AF2670" i="1" l="1"/>
  <c r="AN2669" i="1"/>
  <c r="AE3083" i="1"/>
  <c r="AF2671" i="1" l="1"/>
  <c r="AN2670" i="1"/>
  <c r="AE3084" i="1"/>
  <c r="AF2672" i="1" l="1"/>
  <c r="AN2671" i="1"/>
  <c r="AE3085" i="1"/>
  <c r="AF2673" i="1" l="1"/>
  <c r="AN2672" i="1"/>
  <c r="AE3086" i="1"/>
  <c r="AF2674" i="1" l="1"/>
  <c r="AN2673" i="1"/>
  <c r="AE3087" i="1"/>
  <c r="AF2675" i="1" l="1"/>
  <c r="AN2674" i="1"/>
  <c r="AE3088" i="1"/>
  <c r="AF2676" i="1" l="1"/>
  <c r="AN2675" i="1"/>
  <c r="AE3089" i="1"/>
  <c r="AF2677" i="1" l="1"/>
  <c r="AN2676" i="1"/>
  <c r="AE3090" i="1"/>
  <c r="AF2678" i="1" l="1"/>
  <c r="AN2677" i="1"/>
  <c r="AE3091" i="1"/>
  <c r="AF2679" i="1" l="1"/>
  <c r="AN2678" i="1"/>
  <c r="AE3092" i="1"/>
  <c r="AF2680" i="1" l="1"/>
  <c r="AN2679" i="1"/>
  <c r="AE3093" i="1"/>
  <c r="AF2681" i="1" l="1"/>
  <c r="AN2680" i="1"/>
  <c r="AE3094" i="1"/>
  <c r="AF2682" i="1" l="1"/>
  <c r="AN2681" i="1"/>
  <c r="AE3095" i="1"/>
  <c r="AF2683" i="1" l="1"/>
  <c r="AN2682" i="1"/>
  <c r="AE3096" i="1"/>
  <c r="AF2684" i="1" l="1"/>
  <c r="AN2683" i="1"/>
  <c r="AE3097" i="1"/>
  <c r="AF2685" i="1" l="1"/>
  <c r="AN2684" i="1"/>
  <c r="AE3098" i="1"/>
  <c r="AF2686" i="1" l="1"/>
  <c r="AN2685" i="1"/>
  <c r="AE3099" i="1"/>
  <c r="AF2687" i="1" l="1"/>
  <c r="AN2686" i="1"/>
  <c r="AE3100" i="1"/>
  <c r="AF2688" i="1" l="1"/>
  <c r="AN2687" i="1"/>
  <c r="AE3101" i="1"/>
  <c r="AF2689" i="1" l="1"/>
  <c r="AN2688" i="1"/>
  <c r="AE3102" i="1"/>
  <c r="AF2690" i="1" l="1"/>
  <c r="AN2689" i="1"/>
  <c r="AE3103" i="1"/>
  <c r="AF2691" i="1" l="1"/>
  <c r="AN2690" i="1"/>
  <c r="AE3104" i="1"/>
  <c r="AF2692" i="1" l="1"/>
  <c r="AN2691" i="1"/>
  <c r="AE3105" i="1"/>
  <c r="AF2693" i="1" l="1"/>
  <c r="AN2692" i="1"/>
  <c r="AE3106" i="1"/>
  <c r="AF2694" i="1" l="1"/>
  <c r="AN2693" i="1"/>
  <c r="AE3107" i="1"/>
  <c r="AF2695" i="1" l="1"/>
  <c r="AN2694" i="1"/>
  <c r="AE3108" i="1"/>
  <c r="AF2696" i="1" l="1"/>
  <c r="AN2695" i="1"/>
  <c r="AE3109" i="1"/>
  <c r="AF2697" i="1" l="1"/>
  <c r="AN2696" i="1"/>
  <c r="AE3110" i="1"/>
  <c r="AF2698" i="1" l="1"/>
  <c r="AN2697" i="1"/>
  <c r="AE3111" i="1"/>
  <c r="AF2699" i="1" l="1"/>
  <c r="AN2698" i="1"/>
  <c r="AE3112" i="1"/>
  <c r="AF2700" i="1" l="1"/>
  <c r="AN2699" i="1"/>
  <c r="AE3113" i="1"/>
  <c r="AF2701" i="1" l="1"/>
  <c r="AN2700" i="1"/>
  <c r="AE3114" i="1"/>
  <c r="AF2702" i="1" l="1"/>
  <c r="AN2701" i="1"/>
  <c r="AE3115" i="1"/>
  <c r="AF2703" i="1" l="1"/>
  <c r="AN2702" i="1"/>
  <c r="AE3116" i="1"/>
  <c r="AF2704" i="1" l="1"/>
  <c r="AN2703" i="1"/>
  <c r="AE3117" i="1"/>
  <c r="AF2705" i="1" l="1"/>
  <c r="AN2704" i="1"/>
  <c r="AE3118" i="1"/>
  <c r="AF2706" i="1" l="1"/>
  <c r="AN2705" i="1"/>
  <c r="AE3119" i="1"/>
  <c r="AF2707" i="1" l="1"/>
  <c r="AN2706" i="1"/>
  <c r="AE3120" i="1"/>
  <c r="AF2708" i="1" l="1"/>
  <c r="AN2707" i="1"/>
  <c r="AE3121" i="1"/>
  <c r="AF2709" i="1" l="1"/>
  <c r="AN2708" i="1"/>
  <c r="AE3122" i="1"/>
  <c r="AF2710" i="1" l="1"/>
  <c r="AN2709" i="1"/>
  <c r="AE3123" i="1"/>
  <c r="AF2711" i="1" l="1"/>
  <c r="AN2710" i="1"/>
  <c r="AE3124" i="1"/>
  <c r="AF2712" i="1" l="1"/>
  <c r="AN2711" i="1"/>
  <c r="AE3125" i="1"/>
  <c r="AF2713" i="1" l="1"/>
  <c r="AN2712" i="1"/>
  <c r="AE3126" i="1"/>
  <c r="AF2714" i="1" l="1"/>
  <c r="AN2713" i="1"/>
  <c r="AE3127" i="1"/>
  <c r="AF2715" i="1" l="1"/>
  <c r="AN2714" i="1"/>
  <c r="AE3128" i="1"/>
  <c r="AF2716" i="1" l="1"/>
  <c r="AN2715" i="1"/>
  <c r="AE3129" i="1"/>
  <c r="AF2717" i="1" l="1"/>
  <c r="AN2716" i="1"/>
  <c r="AE3130" i="1"/>
  <c r="AF2718" i="1" l="1"/>
  <c r="AN2717" i="1"/>
  <c r="AE3131" i="1"/>
  <c r="AF2719" i="1" l="1"/>
  <c r="AN2718" i="1"/>
  <c r="AE3132" i="1"/>
  <c r="AF2720" i="1" l="1"/>
  <c r="AN2719" i="1"/>
  <c r="AE3133" i="1"/>
  <c r="AF2721" i="1" l="1"/>
  <c r="AN2720" i="1"/>
  <c r="AE3134" i="1"/>
  <c r="AF2722" i="1" l="1"/>
  <c r="AN2721" i="1"/>
  <c r="AE3135" i="1"/>
  <c r="AF2723" i="1" l="1"/>
  <c r="AN2722" i="1"/>
  <c r="AE3136" i="1"/>
  <c r="AF2724" i="1" l="1"/>
  <c r="AN2723" i="1"/>
  <c r="AE3137" i="1"/>
  <c r="AF2725" i="1" l="1"/>
  <c r="AN2724" i="1"/>
  <c r="AE3138" i="1"/>
  <c r="AF2726" i="1" l="1"/>
  <c r="AN2725" i="1"/>
  <c r="AE3139" i="1"/>
  <c r="AF2727" i="1" l="1"/>
  <c r="AN2726" i="1"/>
  <c r="AE3140" i="1"/>
  <c r="AF2728" i="1" l="1"/>
  <c r="AN2727" i="1"/>
  <c r="AE3141" i="1"/>
  <c r="AF2729" i="1" l="1"/>
  <c r="AN2728" i="1"/>
  <c r="AE3142" i="1"/>
  <c r="AF2730" i="1" l="1"/>
  <c r="AN2729" i="1"/>
  <c r="AE3143" i="1"/>
  <c r="AF2731" i="1" l="1"/>
  <c r="AN2730" i="1"/>
  <c r="AE3144" i="1"/>
  <c r="AF2732" i="1" l="1"/>
  <c r="AN2731" i="1"/>
  <c r="AE3145" i="1"/>
  <c r="AF2733" i="1" l="1"/>
  <c r="AN2732" i="1"/>
  <c r="AE3146" i="1"/>
  <c r="AF2734" i="1" l="1"/>
  <c r="AN2733" i="1"/>
  <c r="AE3147" i="1"/>
  <c r="AF2735" i="1" l="1"/>
  <c r="AN2734" i="1"/>
  <c r="AE3148" i="1"/>
  <c r="AF2736" i="1" l="1"/>
  <c r="AN2735" i="1"/>
  <c r="AE3149" i="1"/>
  <c r="AF2737" i="1" l="1"/>
  <c r="AN2736" i="1"/>
  <c r="AE3150" i="1"/>
  <c r="AF2738" i="1" l="1"/>
  <c r="AN2737" i="1"/>
  <c r="AE3151" i="1"/>
  <c r="AF2739" i="1" l="1"/>
  <c r="AN2738" i="1"/>
  <c r="AE3152" i="1"/>
  <c r="AF2740" i="1" l="1"/>
  <c r="AN2739" i="1"/>
  <c r="AE3153" i="1"/>
  <c r="AF2741" i="1" l="1"/>
  <c r="AN2740" i="1"/>
  <c r="AE3154" i="1"/>
  <c r="AF2742" i="1" l="1"/>
  <c r="AN2741" i="1"/>
  <c r="AE3155" i="1"/>
  <c r="AF2743" i="1" l="1"/>
  <c r="AN2742" i="1"/>
  <c r="AE3156" i="1"/>
  <c r="AF2744" i="1" l="1"/>
  <c r="AN2743" i="1"/>
  <c r="AE3157" i="1"/>
  <c r="AF2745" i="1" l="1"/>
  <c r="AN2744" i="1"/>
  <c r="AE3158" i="1"/>
  <c r="AF2746" i="1" l="1"/>
  <c r="AN2745" i="1"/>
  <c r="AE3159" i="1"/>
  <c r="AF2747" i="1" l="1"/>
  <c r="AN2746" i="1"/>
  <c r="AE3160" i="1"/>
  <c r="AF2748" i="1" l="1"/>
  <c r="AN2747" i="1"/>
  <c r="AE3161" i="1"/>
  <c r="AF2749" i="1" l="1"/>
  <c r="AN2748" i="1"/>
  <c r="AE3162" i="1"/>
  <c r="AF2750" i="1" l="1"/>
  <c r="AN2749" i="1"/>
  <c r="AE3163" i="1"/>
  <c r="AF2751" i="1" l="1"/>
  <c r="AN2750" i="1"/>
  <c r="AE3164" i="1"/>
  <c r="AF2752" i="1" l="1"/>
  <c r="AN2751" i="1"/>
  <c r="AE3165" i="1"/>
  <c r="AF2753" i="1" l="1"/>
  <c r="AN2752" i="1"/>
  <c r="AE3166" i="1"/>
  <c r="AF2754" i="1" l="1"/>
  <c r="AN2753" i="1"/>
  <c r="AE3167" i="1"/>
  <c r="AF2755" i="1" l="1"/>
  <c r="AN2754" i="1"/>
  <c r="AE3168" i="1"/>
  <c r="AF2756" i="1" l="1"/>
  <c r="AN2755" i="1"/>
  <c r="AE3169" i="1"/>
  <c r="AF2757" i="1" l="1"/>
  <c r="AN2756" i="1"/>
  <c r="AE3170" i="1"/>
  <c r="AF2758" i="1" l="1"/>
  <c r="AN2757" i="1"/>
  <c r="AE3171" i="1"/>
  <c r="AF2759" i="1" l="1"/>
  <c r="AN2758" i="1"/>
  <c r="AE3172" i="1"/>
  <c r="AF2760" i="1" l="1"/>
  <c r="AN2759" i="1"/>
  <c r="AE3173" i="1"/>
  <c r="AF2761" i="1" l="1"/>
  <c r="AN2760" i="1"/>
  <c r="AE3174" i="1"/>
  <c r="AF2762" i="1" l="1"/>
  <c r="AN2761" i="1"/>
  <c r="AE3175" i="1"/>
  <c r="AF2763" i="1" l="1"/>
  <c r="AN2762" i="1"/>
  <c r="AE3176" i="1"/>
  <c r="AF2764" i="1" l="1"/>
  <c r="AN2763" i="1"/>
  <c r="AE3177" i="1"/>
  <c r="AF2765" i="1" l="1"/>
  <c r="AN2764" i="1"/>
  <c r="AE3178" i="1"/>
  <c r="AF2766" i="1" l="1"/>
  <c r="AN2765" i="1"/>
  <c r="AE3179" i="1"/>
  <c r="AF2767" i="1" l="1"/>
  <c r="AN2766" i="1"/>
  <c r="AE3180" i="1"/>
  <c r="AF2768" i="1" l="1"/>
  <c r="AN2767" i="1"/>
  <c r="AE3181" i="1"/>
  <c r="AF2769" i="1" l="1"/>
  <c r="AN2768" i="1"/>
  <c r="AE3182" i="1"/>
  <c r="AF2770" i="1" l="1"/>
  <c r="AN2769" i="1"/>
  <c r="AE3183" i="1"/>
  <c r="AF2771" i="1" l="1"/>
  <c r="AN2770" i="1"/>
  <c r="AE3184" i="1"/>
  <c r="AF2772" i="1" l="1"/>
  <c r="AN2771" i="1"/>
  <c r="AE3185" i="1"/>
  <c r="AF2773" i="1" l="1"/>
  <c r="AN2772" i="1"/>
  <c r="AE3186" i="1"/>
  <c r="AF2774" i="1" l="1"/>
  <c r="AN2773" i="1"/>
  <c r="AE3187" i="1"/>
  <c r="AF2775" i="1" l="1"/>
  <c r="AN2774" i="1"/>
  <c r="AE3188" i="1"/>
  <c r="AF2776" i="1" l="1"/>
  <c r="AN2775" i="1"/>
  <c r="AE3189" i="1"/>
  <c r="AF2777" i="1" l="1"/>
  <c r="AN2776" i="1"/>
  <c r="AE3190" i="1"/>
  <c r="AF2778" i="1" l="1"/>
  <c r="AN2777" i="1"/>
  <c r="AE3191" i="1"/>
  <c r="AF2779" i="1" l="1"/>
  <c r="AN2778" i="1"/>
  <c r="AE3192" i="1"/>
  <c r="AF2780" i="1" l="1"/>
  <c r="AN2779" i="1"/>
  <c r="AE3193" i="1"/>
  <c r="AF2781" i="1" l="1"/>
  <c r="AN2780" i="1"/>
  <c r="AE3194" i="1"/>
  <c r="AF2782" i="1" l="1"/>
  <c r="AN2781" i="1"/>
  <c r="AE3195" i="1"/>
  <c r="AF2783" i="1" l="1"/>
  <c r="AN2782" i="1"/>
  <c r="AE3196" i="1"/>
  <c r="AF2784" i="1" l="1"/>
  <c r="AN2783" i="1"/>
  <c r="AE3197" i="1"/>
  <c r="AF2785" i="1" l="1"/>
  <c r="AN2784" i="1"/>
  <c r="AE3198" i="1"/>
  <c r="AF2786" i="1" l="1"/>
  <c r="AN2785" i="1"/>
  <c r="AE3199" i="1"/>
  <c r="AF2787" i="1" l="1"/>
  <c r="AN2786" i="1"/>
  <c r="AE3200" i="1"/>
  <c r="AF2788" i="1" l="1"/>
  <c r="AN2787" i="1"/>
  <c r="AE3201" i="1"/>
  <c r="AF2789" i="1" l="1"/>
  <c r="AN2788" i="1"/>
  <c r="AE3202" i="1"/>
  <c r="AF2790" i="1" l="1"/>
  <c r="AN2789" i="1"/>
  <c r="AE3203" i="1"/>
  <c r="AF2791" i="1" l="1"/>
  <c r="AN2790" i="1"/>
  <c r="AE3204" i="1"/>
  <c r="AF2792" i="1" l="1"/>
  <c r="AN2791" i="1"/>
  <c r="AE3205" i="1"/>
  <c r="AF2793" i="1" l="1"/>
  <c r="AN2792" i="1"/>
  <c r="AE3206" i="1"/>
  <c r="AF2794" i="1" l="1"/>
  <c r="AN2793" i="1"/>
  <c r="AE3207" i="1"/>
  <c r="AF2795" i="1" l="1"/>
  <c r="AN2794" i="1"/>
  <c r="AE3208" i="1"/>
  <c r="AF2796" i="1" l="1"/>
  <c r="AN2795" i="1"/>
  <c r="AE3209" i="1"/>
  <c r="AF2797" i="1" l="1"/>
  <c r="AN2796" i="1"/>
  <c r="AE3210" i="1"/>
  <c r="AF2798" i="1" l="1"/>
  <c r="AN2797" i="1"/>
  <c r="AE3211" i="1"/>
  <c r="AF2799" i="1" l="1"/>
  <c r="AN2798" i="1"/>
  <c r="AE3212" i="1"/>
  <c r="AF2800" i="1" l="1"/>
  <c r="AN2799" i="1"/>
  <c r="AE3213" i="1"/>
  <c r="AF2801" i="1" l="1"/>
  <c r="AN2800" i="1"/>
  <c r="AE3214" i="1"/>
  <c r="AF2802" i="1" l="1"/>
  <c r="AN2801" i="1"/>
  <c r="AE3215" i="1"/>
  <c r="AF2803" i="1" l="1"/>
  <c r="AN2802" i="1"/>
  <c r="AE3216" i="1"/>
  <c r="AF2804" i="1" l="1"/>
  <c r="AN2803" i="1"/>
  <c r="AE3217" i="1"/>
  <c r="AF2805" i="1" l="1"/>
  <c r="AN2804" i="1"/>
  <c r="AE3218" i="1"/>
  <c r="AF2806" i="1" l="1"/>
  <c r="AN2805" i="1"/>
  <c r="AE3219" i="1"/>
  <c r="AF2807" i="1" l="1"/>
  <c r="AN2806" i="1"/>
  <c r="AE3220" i="1"/>
  <c r="AF2808" i="1" l="1"/>
  <c r="AN2807" i="1"/>
  <c r="AE3221" i="1"/>
  <c r="AF2809" i="1" l="1"/>
  <c r="AN2808" i="1"/>
  <c r="AE3222" i="1"/>
  <c r="AF2810" i="1" l="1"/>
  <c r="AN2809" i="1"/>
  <c r="AE3223" i="1"/>
  <c r="AF2811" i="1" l="1"/>
  <c r="AN2810" i="1"/>
  <c r="AE3224" i="1"/>
  <c r="AF2812" i="1" l="1"/>
  <c r="AN2811" i="1"/>
  <c r="AE3225" i="1"/>
  <c r="AF2813" i="1" l="1"/>
  <c r="AN2812" i="1"/>
  <c r="AE3226" i="1"/>
  <c r="AF2814" i="1" l="1"/>
  <c r="AN2813" i="1"/>
  <c r="AE3227" i="1"/>
  <c r="AF2815" i="1" l="1"/>
  <c r="AN2814" i="1"/>
  <c r="AE3228" i="1"/>
  <c r="AF2816" i="1" l="1"/>
  <c r="AN2815" i="1"/>
  <c r="AE3229" i="1"/>
  <c r="AF2817" i="1" l="1"/>
  <c r="AN2816" i="1"/>
  <c r="AE3230" i="1"/>
  <c r="AF2818" i="1" l="1"/>
  <c r="AN2817" i="1"/>
  <c r="AE3231" i="1"/>
  <c r="AF2819" i="1" l="1"/>
  <c r="AN2818" i="1"/>
  <c r="AE3232" i="1"/>
  <c r="AF2820" i="1" l="1"/>
  <c r="AN2819" i="1"/>
  <c r="AE3233" i="1"/>
  <c r="AF2821" i="1" l="1"/>
  <c r="AN2820" i="1"/>
  <c r="AE3234" i="1"/>
  <c r="AF2822" i="1" l="1"/>
  <c r="AN2821" i="1"/>
  <c r="AE3235" i="1"/>
  <c r="AF2823" i="1" l="1"/>
  <c r="AN2822" i="1"/>
  <c r="AE3236" i="1"/>
  <c r="AF2824" i="1" l="1"/>
  <c r="AN2823" i="1"/>
  <c r="AE3237" i="1"/>
  <c r="AF2825" i="1" l="1"/>
  <c r="AN2824" i="1"/>
  <c r="AE3238" i="1"/>
  <c r="AF2826" i="1" l="1"/>
  <c r="AN2825" i="1"/>
  <c r="AE3239" i="1"/>
  <c r="AF2827" i="1" l="1"/>
  <c r="AN2826" i="1"/>
  <c r="AE3240" i="1"/>
  <c r="AF2828" i="1" l="1"/>
  <c r="AN2827" i="1"/>
  <c r="AE3241" i="1"/>
  <c r="AF2829" i="1" l="1"/>
  <c r="AN2828" i="1"/>
  <c r="AE3242" i="1"/>
  <c r="AF2830" i="1" l="1"/>
  <c r="AN2829" i="1"/>
  <c r="AE3243" i="1"/>
  <c r="AF2831" i="1" l="1"/>
  <c r="AN2830" i="1"/>
  <c r="AE3244" i="1"/>
  <c r="AF2832" i="1" l="1"/>
  <c r="AN2831" i="1"/>
  <c r="AE3245" i="1"/>
  <c r="AF2833" i="1" l="1"/>
  <c r="AN2832" i="1"/>
  <c r="AE3246" i="1"/>
  <c r="AF2834" i="1" l="1"/>
  <c r="AN2833" i="1"/>
  <c r="AE3247" i="1"/>
  <c r="AF2835" i="1" l="1"/>
  <c r="AN2834" i="1"/>
  <c r="AE3248" i="1"/>
  <c r="AF2836" i="1" l="1"/>
  <c r="AN2835" i="1"/>
  <c r="AE3249" i="1"/>
  <c r="AF2837" i="1" l="1"/>
  <c r="AN2836" i="1"/>
  <c r="AE3250" i="1"/>
  <c r="AF2838" i="1" l="1"/>
  <c r="AN2837" i="1"/>
  <c r="AE3251" i="1"/>
  <c r="AF2839" i="1" l="1"/>
  <c r="AN2838" i="1"/>
  <c r="AE3252" i="1"/>
  <c r="AF2840" i="1" l="1"/>
  <c r="AN2839" i="1"/>
  <c r="AE3253" i="1"/>
  <c r="AF2841" i="1" l="1"/>
  <c r="AN2840" i="1"/>
  <c r="AE3254" i="1"/>
  <c r="AF2842" i="1" l="1"/>
  <c r="AN2841" i="1"/>
  <c r="AE3255" i="1"/>
  <c r="AF2843" i="1" l="1"/>
  <c r="AN2842" i="1"/>
  <c r="AE3256" i="1"/>
  <c r="AF2844" i="1" l="1"/>
  <c r="AN2843" i="1"/>
  <c r="AE3257" i="1"/>
  <c r="AF2845" i="1" l="1"/>
  <c r="AN2844" i="1"/>
  <c r="AE3258" i="1"/>
  <c r="AF2846" i="1" l="1"/>
  <c r="AN2845" i="1"/>
  <c r="AE3259" i="1"/>
  <c r="AF2847" i="1" l="1"/>
  <c r="AN2846" i="1"/>
  <c r="AE3260" i="1"/>
  <c r="AF2848" i="1" l="1"/>
  <c r="AN2847" i="1"/>
  <c r="AE3261" i="1"/>
  <c r="AF2849" i="1" l="1"/>
  <c r="AN2848" i="1"/>
  <c r="AE3262" i="1"/>
  <c r="AF2850" i="1" l="1"/>
  <c r="AN2849" i="1"/>
  <c r="AE3263" i="1"/>
  <c r="AF2851" i="1" l="1"/>
  <c r="AN2850" i="1"/>
  <c r="AE3264" i="1"/>
  <c r="AF2852" i="1" l="1"/>
  <c r="AN2851" i="1"/>
  <c r="AE3265" i="1"/>
  <c r="AF2853" i="1" l="1"/>
  <c r="AN2852" i="1"/>
  <c r="AE3266" i="1"/>
  <c r="AF2854" i="1" l="1"/>
  <c r="AN2853" i="1"/>
  <c r="AE3267" i="1"/>
  <c r="AF2855" i="1" l="1"/>
  <c r="AN2854" i="1"/>
  <c r="AE3268" i="1"/>
  <c r="AF2856" i="1" l="1"/>
  <c r="AN2855" i="1"/>
  <c r="AE3269" i="1"/>
  <c r="AF2857" i="1" l="1"/>
  <c r="AN2856" i="1"/>
  <c r="AE3270" i="1"/>
  <c r="AF2858" i="1" l="1"/>
  <c r="AN2857" i="1"/>
  <c r="AE3271" i="1"/>
  <c r="AF2859" i="1" l="1"/>
  <c r="AN2858" i="1"/>
  <c r="AE3272" i="1"/>
  <c r="AF2860" i="1" l="1"/>
  <c r="AN2859" i="1"/>
  <c r="AE3273" i="1"/>
  <c r="AF2861" i="1" l="1"/>
  <c r="AN2860" i="1"/>
  <c r="AE3274" i="1"/>
  <c r="AF2862" i="1" l="1"/>
  <c r="AN2861" i="1"/>
  <c r="AE3275" i="1"/>
  <c r="AF2863" i="1" l="1"/>
  <c r="AN2862" i="1"/>
  <c r="AE3276" i="1"/>
  <c r="AF2864" i="1" l="1"/>
  <c r="AN2863" i="1"/>
  <c r="AE3277" i="1"/>
  <c r="AF2865" i="1" l="1"/>
  <c r="AN2864" i="1"/>
  <c r="AE3278" i="1"/>
  <c r="AF2866" i="1" l="1"/>
  <c r="AN2865" i="1"/>
  <c r="AE3279" i="1"/>
  <c r="AF2867" i="1" l="1"/>
  <c r="AN2866" i="1"/>
  <c r="AE3280" i="1"/>
  <c r="AF2868" i="1" l="1"/>
  <c r="AN2867" i="1"/>
  <c r="AE3281" i="1"/>
  <c r="AF2869" i="1" l="1"/>
  <c r="AN2868" i="1"/>
  <c r="AE3282" i="1"/>
  <c r="AF2870" i="1" l="1"/>
  <c r="AN2869" i="1"/>
  <c r="AE3283" i="1"/>
  <c r="AF2871" i="1" l="1"/>
  <c r="AN2870" i="1"/>
  <c r="AE3284" i="1"/>
  <c r="AF2872" i="1" l="1"/>
  <c r="AN2871" i="1"/>
  <c r="AE3285" i="1"/>
  <c r="AF2873" i="1" l="1"/>
  <c r="AN2872" i="1"/>
  <c r="AE3286" i="1"/>
  <c r="AF2874" i="1" l="1"/>
  <c r="AN2873" i="1"/>
  <c r="AE3287" i="1"/>
  <c r="AF2875" i="1" l="1"/>
  <c r="AN2874" i="1"/>
  <c r="AE3288" i="1"/>
  <c r="AF2876" i="1" l="1"/>
  <c r="AN2875" i="1"/>
  <c r="AE3289" i="1"/>
  <c r="AF2877" i="1" l="1"/>
  <c r="AN2876" i="1"/>
  <c r="AE3290" i="1"/>
  <c r="AF2878" i="1" l="1"/>
  <c r="AN2877" i="1"/>
  <c r="AE3291" i="1"/>
  <c r="AF2879" i="1" l="1"/>
  <c r="AN2878" i="1"/>
  <c r="AE3292" i="1"/>
  <c r="AF2880" i="1" l="1"/>
  <c r="AN2879" i="1"/>
  <c r="AE3293" i="1"/>
  <c r="AF2881" i="1" l="1"/>
  <c r="AN2880" i="1"/>
  <c r="AE3294" i="1"/>
  <c r="AF2882" i="1" l="1"/>
  <c r="AN2881" i="1"/>
  <c r="AE3295" i="1"/>
  <c r="AF2883" i="1" l="1"/>
  <c r="AN2882" i="1"/>
  <c r="AE3296" i="1"/>
  <c r="AF2884" i="1" l="1"/>
  <c r="AN2883" i="1"/>
  <c r="AE3297" i="1"/>
  <c r="AF2885" i="1" l="1"/>
  <c r="AN2884" i="1"/>
  <c r="AE3298" i="1"/>
  <c r="AF2886" i="1" l="1"/>
  <c r="AN2885" i="1"/>
  <c r="AE3299" i="1"/>
  <c r="AF2887" i="1" l="1"/>
  <c r="AN2886" i="1"/>
  <c r="AE3300" i="1"/>
  <c r="AF2888" i="1" l="1"/>
  <c r="AN2887" i="1"/>
  <c r="AE3301" i="1"/>
  <c r="AF2889" i="1" l="1"/>
  <c r="AN2888" i="1"/>
  <c r="AE3302" i="1"/>
  <c r="AF2890" i="1" l="1"/>
  <c r="AN2889" i="1"/>
  <c r="AE3303" i="1"/>
  <c r="AF2891" i="1" l="1"/>
  <c r="AN2890" i="1"/>
  <c r="AE3304" i="1"/>
  <c r="AF2892" i="1" l="1"/>
  <c r="AN2891" i="1"/>
  <c r="AE3305" i="1"/>
  <c r="AF2893" i="1" l="1"/>
  <c r="AN2892" i="1"/>
  <c r="AE3306" i="1"/>
  <c r="AF2894" i="1" l="1"/>
  <c r="AN2893" i="1"/>
  <c r="AE3307" i="1"/>
  <c r="AF2895" i="1" l="1"/>
  <c r="AN2894" i="1"/>
  <c r="AE3308" i="1"/>
  <c r="AF2896" i="1" l="1"/>
  <c r="AN2895" i="1"/>
  <c r="AE3309" i="1"/>
  <c r="AF2897" i="1" l="1"/>
  <c r="AN2896" i="1"/>
  <c r="AE3310" i="1"/>
  <c r="AF2898" i="1" l="1"/>
  <c r="AN2897" i="1"/>
  <c r="AE3311" i="1"/>
  <c r="AF2899" i="1" l="1"/>
  <c r="AN2898" i="1"/>
  <c r="AE3312" i="1"/>
  <c r="AF2900" i="1" l="1"/>
  <c r="AN2899" i="1"/>
  <c r="AE3313" i="1"/>
  <c r="AF2901" i="1" l="1"/>
  <c r="AN2900" i="1"/>
  <c r="AE3314" i="1"/>
  <c r="AF2902" i="1" l="1"/>
  <c r="AN2901" i="1"/>
  <c r="AE3315" i="1"/>
  <c r="AF2903" i="1" l="1"/>
  <c r="AN2902" i="1"/>
  <c r="AE3316" i="1"/>
  <c r="AF2904" i="1" l="1"/>
  <c r="AN2903" i="1"/>
  <c r="AE3317" i="1"/>
  <c r="AF2905" i="1" l="1"/>
  <c r="AN2904" i="1"/>
  <c r="AE3318" i="1"/>
  <c r="AF2906" i="1" l="1"/>
  <c r="AN2905" i="1"/>
  <c r="AE3319" i="1"/>
  <c r="AF2907" i="1" l="1"/>
  <c r="AN2906" i="1"/>
  <c r="AE3320" i="1"/>
  <c r="AF2908" i="1" l="1"/>
  <c r="AN2907" i="1"/>
  <c r="AE3321" i="1"/>
  <c r="AF2909" i="1" l="1"/>
  <c r="AN2908" i="1"/>
  <c r="AE3322" i="1"/>
  <c r="AF2910" i="1" l="1"/>
  <c r="AN2909" i="1"/>
  <c r="AE3323" i="1"/>
  <c r="AF2911" i="1" l="1"/>
  <c r="AN2910" i="1"/>
  <c r="AE3324" i="1"/>
  <c r="AF2912" i="1" l="1"/>
  <c r="AN2911" i="1"/>
  <c r="AE3325" i="1"/>
  <c r="AF2913" i="1" l="1"/>
  <c r="AN2912" i="1"/>
  <c r="AE3326" i="1"/>
  <c r="AF2914" i="1" l="1"/>
  <c r="AN2913" i="1"/>
  <c r="AE3327" i="1"/>
  <c r="AF2915" i="1" l="1"/>
  <c r="AN2914" i="1"/>
  <c r="AE3328" i="1"/>
  <c r="AF2916" i="1" l="1"/>
  <c r="AN2915" i="1"/>
  <c r="AE3329" i="1"/>
  <c r="AF2917" i="1" l="1"/>
  <c r="AN2916" i="1"/>
  <c r="AE3330" i="1"/>
  <c r="AF2918" i="1" l="1"/>
  <c r="AN2917" i="1"/>
  <c r="AE3331" i="1"/>
  <c r="AF2919" i="1" l="1"/>
  <c r="AN2918" i="1"/>
  <c r="AE3332" i="1"/>
  <c r="AF2920" i="1" l="1"/>
  <c r="AN2919" i="1"/>
  <c r="AE3333" i="1"/>
  <c r="AF2921" i="1" l="1"/>
  <c r="AN2920" i="1"/>
  <c r="AE3334" i="1"/>
  <c r="AF2922" i="1" l="1"/>
  <c r="AN2921" i="1"/>
  <c r="AE3335" i="1"/>
  <c r="AF2923" i="1" l="1"/>
  <c r="AN2922" i="1"/>
  <c r="AE3336" i="1"/>
  <c r="AF2924" i="1" l="1"/>
  <c r="AN2923" i="1"/>
  <c r="AE3337" i="1"/>
  <c r="AF2925" i="1" l="1"/>
  <c r="AN2924" i="1"/>
  <c r="AE3338" i="1"/>
  <c r="AF2926" i="1" l="1"/>
  <c r="AN2925" i="1"/>
  <c r="AE3339" i="1"/>
  <c r="AF2927" i="1" l="1"/>
  <c r="AN2926" i="1"/>
  <c r="AE3340" i="1"/>
  <c r="AF2928" i="1" l="1"/>
  <c r="AN2927" i="1"/>
  <c r="AE3341" i="1"/>
  <c r="AF2929" i="1" l="1"/>
  <c r="AN2928" i="1"/>
  <c r="AE3342" i="1"/>
  <c r="AF2930" i="1" l="1"/>
  <c r="AN2929" i="1"/>
  <c r="AE3343" i="1"/>
  <c r="AF2931" i="1" l="1"/>
  <c r="AN2930" i="1"/>
  <c r="AE3344" i="1"/>
  <c r="AF2932" i="1" l="1"/>
  <c r="AN2931" i="1"/>
  <c r="AE3345" i="1"/>
  <c r="AF2933" i="1" l="1"/>
  <c r="AN2932" i="1"/>
  <c r="AE3346" i="1"/>
  <c r="AF2934" i="1" l="1"/>
  <c r="AN2933" i="1"/>
  <c r="AE3347" i="1"/>
  <c r="AF2935" i="1" l="1"/>
  <c r="AN2934" i="1"/>
  <c r="AE3348" i="1"/>
  <c r="AF2936" i="1" l="1"/>
  <c r="AN2935" i="1"/>
  <c r="AE3349" i="1"/>
  <c r="AF2937" i="1" l="1"/>
  <c r="AN2936" i="1"/>
  <c r="AE3350" i="1"/>
  <c r="AF2938" i="1" l="1"/>
  <c r="AN2937" i="1"/>
  <c r="AE3351" i="1"/>
  <c r="AF2939" i="1" l="1"/>
  <c r="AN2938" i="1"/>
  <c r="AE3352" i="1"/>
  <c r="AF2940" i="1" l="1"/>
  <c r="AN2939" i="1"/>
  <c r="AE3353" i="1"/>
  <c r="AF2941" i="1" l="1"/>
  <c r="AN2940" i="1"/>
  <c r="AE3354" i="1"/>
  <c r="AF2942" i="1" l="1"/>
  <c r="AN2941" i="1"/>
  <c r="AE3355" i="1"/>
  <c r="AF2943" i="1" l="1"/>
  <c r="AN2942" i="1"/>
  <c r="AE3356" i="1"/>
  <c r="AF2944" i="1" l="1"/>
  <c r="AN2943" i="1"/>
  <c r="AE3357" i="1"/>
  <c r="AF2945" i="1" l="1"/>
  <c r="AN2944" i="1"/>
  <c r="AE3358" i="1"/>
  <c r="AF2946" i="1" l="1"/>
  <c r="AN2945" i="1"/>
  <c r="AE3359" i="1"/>
  <c r="AF2947" i="1" l="1"/>
  <c r="AN2946" i="1"/>
  <c r="AE3360" i="1"/>
  <c r="AF2948" i="1" l="1"/>
  <c r="AN2947" i="1"/>
  <c r="AE3361" i="1"/>
  <c r="AF2949" i="1" l="1"/>
  <c r="AN2948" i="1"/>
  <c r="AE3362" i="1"/>
  <c r="AF2950" i="1" l="1"/>
  <c r="AN2949" i="1"/>
  <c r="AE3363" i="1"/>
  <c r="AF2951" i="1" l="1"/>
  <c r="AN2950" i="1"/>
  <c r="AE3364" i="1"/>
  <c r="AF2952" i="1" l="1"/>
  <c r="AN2951" i="1"/>
  <c r="AE3365" i="1"/>
  <c r="AF2953" i="1" l="1"/>
  <c r="AN2952" i="1"/>
  <c r="AE3366" i="1"/>
  <c r="AF2954" i="1" l="1"/>
  <c r="AN2953" i="1"/>
  <c r="AE3367" i="1"/>
  <c r="AF2955" i="1" l="1"/>
  <c r="AN2954" i="1"/>
  <c r="AE3368" i="1"/>
  <c r="AF2956" i="1" l="1"/>
  <c r="AN2955" i="1"/>
  <c r="AE3369" i="1"/>
  <c r="AF2957" i="1" l="1"/>
  <c r="AN2956" i="1"/>
  <c r="AE3370" i="1"/>
  <c r="AF2958" i="1" l="1"/>
  <c r="AN2957" i="1"/>
  <c r="AE3371" i="1"/>
  <c r="AF2959" i="1" l="1"/>
  <c r="AN2958" i="1"/>
  <c r="AE3372" i="1"/>
  <c r="AF2960" i="1" l="1"/>
  <c r="AN2959" i="1"/>
  <c r="AE3373" i="1"/>
  <c r="AF2961" i="1" l="1"/>
  <c r="AN2960" i="1"/>
  <c r="AE3374" i="1"/>
  <c r="AF2962" i="1" l="1"/>
  <c r="AN2961" i="1"/>
  <c r="AE3375" i="1"/>
  <c r="AF2963" i="1" l="1"/>
  <c r="AN2962" i="1"/>
  <c r="AE3376" i="1"/>
  <c r="AF2964" i="1" l="1"/>
  <c r="AN2963" i="1"/>
  <c r="AE3377" i="1"/>
  <c r="AF2965" i="1" l="1"/>
  <c r="AN2964" i="1"/>
  <c r="AE3378" i="1"/>
  <c r="AF2966" i="1" l="1"/>
  <c r="AN2965" i="1"/>
  <c r="AE3379" i="1"/>
  <c r="AF2967" i="1" l="1"/>
  <c r="AN2966" i="1"/>
  <c r="AE3380" i="1"/>
  <c r="AF2968" i="1" l="1"/>
  <c r="AN2967" i="1"/>
  <c r="AE3381" i="1"/>
  <c r="AF2969" i="1" l="1"/>
  <c r="AN2968" i="1"/>
  <c r="AE3382" i="1"/>
  <c r="AF2970" i="1" l="1"/>
  <c r="AN2969" i="1"/>
  <c r="AE3383" i="1"/>
  <c r="AF2971" i="1" l="1"/>
  <c r="AN2970" i="1"/>
  <c r="AE3384" i="1"/>
  <c r="AF2972" i="1" l="1"/>
  <c r="AN2971" i="1"/>
  <c r="AE3385" i="1"/>
  <c r="AF2973" i="1" l="1"/>
  <c r="AN2972" i="1"/>
  <c r="AE3386" i="1"/>
  <c r="AF2974" i="1" l="1"/>
  <c r="AN2973" i="1"/>
  <c r="AE3387" i="1"/>
  <c r="AF2975" i="1" l="1"/>
  <c r="AN2974" i="1"/>
  <c r="AE3388" i="1"/>
  <c r="AF2976" i="1" l="1"/>
  <c r="AN2975" i="1"/>
  <c r="AE3389" i="1"/>
  <c r="AF2977" i="1" l="1"/>
  <c r="AN2976" i="1"/>
  <c r="AE3390" i="1"/>
  <c r="AF2978" i="1" l="1"/>
  <c r="AN2977" i="1"/>
  <c r="AE3391" i="1"/>
  <c r="AF2979" i="1" l="1"/>
  <c r="AN2978" i="1"/>
  <c r="AE3392" i="1"/>
  <c r="AF2980" i="1" l="1"/>
  <c r="AN2979" i="1"/>
  <c r="AE3393" i="1"/>
  <c r="AF2981" i="1" l="1"/>
  <c r="AN2980" i="1"/>
  <c r="AE3394" i="1"/>
  <c r="AF2982" i="1" l="1"/>
  <c r="AN2981" i="1"/>
  <c r="AE3395" i="1"/>
  <c r="AF2983" i="1" l="1"/>
  <c r="AN2982" i="1"/>
  <c r="AE3396" i="1"/>
  <c r="AF2984" i="1" l="1"/>
  <c r="AN2983" i="1"/>
  <c r="AE3397" i="1"/>
  <c r="AF2985" i="1" l="1"/>
  <c r="AN2984" i="1"/>
  <c r="AE3398" i="1"/>
  <c r="AF2986" i="1" l="1"/>
  <c r="AN2985" i="1"/>
  <c r="AE3399" i="1"/>
  <c r="AF2987" i="1" l="1"/>
  <c r="AN2986" i="1"/>
  <c r="AE3400" i="1"/>
  <c r="AF2988" i="1" l="1"/>
  <c r="AN2987" i="1"/>
  <c r="AE3401" i="1"/>
  <c r="AF2989" i="1" l="1"/>
  <c r="AN2988" i="1"/>
  <c r="AE3402" i="1"/>
  <c r="AF2990" i="1" l="1"/>
  <c r="AN2989" i="1"/>
  <c r="AE3403" i="1"/>
  <c r="AF2991" i="1" l="1"/>
  <c r="AN2990" i="1"/>
  <c r="AE3404" i="1"/>
  <c r="AF2992" i="1" l="1"/>
  <c r="AN2991" i="1"/>
  <c r="AE3405" i="1"/>
  <c r="AF2993" i="1" l="1"/>
  <c r="AN2992" i="1"/>
  <c r="AE3406" i="1"/>
  <c r="AF2994" i="1" l="1"/>
  <c r="AN2993" i="1"/>
  <c r="AE3407" i="1"/>
  <c r="AF2995" i="1" l="1"/>
  <c r="AN2994" i="1"/>
  <c r="AE3408" i="1"/>
  <c r="AF2996" i="1" l="1"/>
  <c r="AN2995" i="1"/>
  <c r="AE3409" i="1"/>
  <c r="AF2997" i="1" l="1"/>
  <c r="AN2996" i="1"/>
  <c r="AE3410" i="1"/>
  <c r="AF2998" i="1" l="1"/>
  <c r="AN2997" i="1"/>
  <c r="AE3411" i="1"/>
  <c r="AF2999" i="1" l="1"/>
  <c r="AN2998" i="1"/>
  <c r="AE3412" i="1"/>
  <c r="AF3000" i="1" l="1"/>
  <c r="AN2999" i="1"/>
  <c r="AE3413" i="1"/>
  <c r="AF3001" i="1" l="1"/>
  <c r="AN3000" i="1"/>
  <c r="AE3414" i="1"/>
  <c r="AF3002" i="1" l="1"/>
  <c r="AN3001" i="1"/>
  <c r="AE3415" i="1"/>
  <c r="AF3003" i="1" l="1"/>
  <c r="AN3002" i="1"/>
  <c r="AE3416" i="1"/>
  <c r="AF3004" i="1" l="1"/>
  <c r="AN3003" i="1"/>
  <c r="AE3417" i="1"/>
  <c r="AF3005" i="1" l="1"/>
  <c r="AN3004" i="1"/>
  <c r="AE3418" i="1"/>
  <c r="AF3006" i="1" l="1"/>
  <c r="AN3005" i="1"/>
  <c r="AE3419" i="1"/>
  <c r="AF3007" i="1" l="1"/>
  <c r="AN3006" i="1"/>
  <c r="AE3420" i="1"/>
  <c r="AF3008" i="1" l="1"/>
  <c r="AN3007" i="1"/>
  <c r="AE3421" i="1"/>
  <c r="AF3009" i="1" l="1"/>
  <c r="AN3008" i="1"/>
  <c r="AE3422" i="1"/>
  <c r="AF3010" i="1" l="1"/>
  <c r="AN3009" i="1"/>
  <c r="AE3423" i="1"/>
  <c r="AF3011" i="1" l="1"/>
  <c r="AN3010" i="1"/>
  <c r="AE3424" i="1"/>
  <c r="AF3012" i="1" l="1"/>
  <c r="AN3011" i="1"/>
  <c r="AE3425" i="1"/>
  <c r="AF3013" i="1" l="1"/>
  <c r="AN3012" i="1"/>
  <c r="AE3426" i="1"/>
  <c r="AF3014" i="1" l="1"/>
  <c r="AN3013" i="1"/>
  <c r="AE3427" i="1"/>
  <c r="AF3015" i="1" l="1"/>
  <c r="AN3014" i="1"/>
  <c r="AE3428" i="1"/>
  <c r="AF3016" i="1" l="1"/>
  <c r="AN3015" i="1"/>
  <c r="AE3429" i="1"/>
  <c r="AF3017" i="1" l="1"/>
  <c r="AN3016" i="1"/>
  <c r="AE3430" i="1"/>
  <c r="AF3018" i="1" l="1"/>
  <c r="AN3017" i="1"/>
  <c r="AE3431" i="1"/>
  <c r="AF3019" i="1" l="1"/>
  <c r="AN3018" i="1"/>
  <c r="AE3432" i="1"/>
  <c r="AF3020" i="1" l="1"/>
  <c r="AN3019" i="1"/>
  <c r="AE3433" i="1"/>
  <c r="AF3021" i="1" l="1"/>
  <c r="AN3020" i="1"/>
  <c r="AE3434" i="1"/>
  <c r="AF3022" i="1" l="1"/>
  <c r="AN3021" i="1"/>
  <c r="AE3435" i="1"/>
  <c r="AF3023" i="1" l="1"/>
  <c r="AN3022" i="1"/>
  <c r="AE3436" i="1"/>
  <c r="AF3024" i="1" l="1"/>
  <c r="AN3023" i="1"/>
  <c r="AE3437" i="1"/>
  <c r="AF3025" i="1" l="1"/>
  <c r="AN3024" i="1"/>
  <c r="AE3438" i="1"/>
  <c r="AF3026" i="1" l="1"/>
  <c r="AN3025" i="1"/>
  <c r="AE3439" i="1"/>
  <c r="AF3027" i="1" l="1"/>
  <c r="AN3026" i="1"/>
  <c r="AE3440" i="1"/>
  <c r="AF3028" i="1" l="1"/>
  <c r="AN3027" i="1"/>
  <c r="AE3441" i="1"/>
  <c r="AF3029" i="1" l="1"/>
  <c r="AN3028" i="1"/>
  <c r="AE3442" i="1"/>
  <c r="AF3030" i="1" l="1"/>
  <c r="AN3029" i="1"/>
  <c r="AE3443" i="1"/>
  <c r="AF3031" i="1" l="1"/>
  <c r="AN3030" i="1"/>
  <c r="AE3444" i="1"/>
  <c r="AF3032" i="1" l="1"/>
  <c r="AN3031" i="1"/>
  <c r="AE3445" i="1"/>
  <c r="AF3033" i="1" l="1"/>
  <c r="AN3032" i="1"/>
  <c r="AE3446" i="1"/>
  <c r="AF3034" i="1" l="1"/>
  <c r="AN3033" i="1"/>
  <c r="AE3447" i="1"/>
  <c r="AF3035" i="1" l="1"/>
  <c r="AN3034" i="1"/>
  <c r="AE3448" i="1"/>
  <c r="AF3036" i="1" l="1"/>
  <c r="AN3035" i="1"/>
  <c r="AE3449" i="1"/>
  <c r="AF3037" i="1" l="1"/>
  <c r="AN3036" i="1"/>
  <c r="AE3450" i="1"/>
  <c r="AF3038" i="1" l="1"/>
  <c r="AN3037" i="1"/>
  <c r="AE3451" i="1"/>
  <c r="AF3039" i="1" l="1"/>
  <c r="AN3038" i="1"/>
  <c r="AE3452" i="1"/>
  <c r="AF3040" i="1" l="1"/>
  <c r="AN3039" i="1"/>
  <c r="AE3453" i="1"/>
  <c r="AF3041" i="1" l="1"/>
  <c r="AN3040" i="1"/>
  <c r="AE3454" i="1"/>
  <c r="AF3042" i="1" l="1"/>
  <c r="AN3041" i="1"/>
  <c r="AE3455" i="1"/>
  <c r="AF3043" i="1" l="1"/>
  <c r="AN3042" i="1"/>
  <c r="AE3456" i="1"/>
  <c r="AF3044" i="1" l="1"/>
  <c r="AN3043" i="1"/>
  <c r="AE3457" i="1"/>
  <c r="AF3045" i="1" l="1"/>
  <c r="AN3044" i="1"/>
  <c r="AE3458" i="1"/>
  <c r="AF3046" i="1" l="1"/>
  <c r="AN3045" i="1"/>
  <c r="AE3459" i="1"/>
  <c r="AF3047" i="1" l="1"/>
  <c r="AN3046" i="1"/>
  <c r="AE3460" i="1"/>
  <c r="AF3048" i="1" l="1"/>
  <c r="AN3047" i="1"/>
  <c r="AE3461" i="1"/>
  <c r="AF3049" i="1" l="1"/>
  <c r="AN3048" i="1"/>
  <c r="AE3462" i="1"/>
  <c r="AF3050" i="1" l="1"/>
  <c r="AN3049" i="1"/>
  <c r="AE3463" i="1"/>
  <c r="AF3051" i="1" l="1"/>
  <c r="AN3050" i="1"/>
  <c r="AE3464" i="1"/>
  <c r="AF3052" i="1" l="1"/>
  <c r="AN3051" i="1"/>
  <c r="AE3465" i="1"/>
  <c r="AF3053" i="1" l="1"/>
  <c r="AN3052" i="1"/>
  <c r="AE3466" i="1"/>
  <c r="AF3054" i="1" l="1"/>
  <c r="AN3053" i="1"/>
  <c r="AE3467" i="1"/>
  <c r="AF3055" i="1" l="1"/>
  <c r="AN3054" i="1"/>
  <c r="AE3468" i="1"/>
  <c r="AF3056" i="1" l="1"/>
  <c r="AN3055" i="1"/>
  <c r="AE3469" i="1"/>
  <c r="AF3057" i="1" l="1"/>
  <c r="AN3056" i="1"/>
  <c r="AE3470" i="1"/>
  <c r="AF3058" i="1" l="1"/>
  <c r="AN3057" i="1"/>
  <c r="AE3471" i="1"/>
  <c r="AF3059" i="1" l="1"/>
  <c r="AN3058" i="1"/>
  <c r="AE3472" i="1"/>
  <c r="AF3060" i="1" l="1"/>
  <c r="AN3059" i="1"/>
  <c r="AE3473" i="1"/>
  <c r="AF3061" i="1" l="1"/>
  <c r="AN3060" i="1"/>
  <c r="AE3474" i="1"/>
  <c r="AF3062" i="1" l="1"/>
  <c r="AN3061" i="1"/>
  <c r="AE3475" i="1"/>
  <c r="AF3063" i="1" l="1"/>
  <c r="AN3062" i="1"/>
  <c r="AE3476" i="1"/>
  <c r="AF3064" i="1" l="1"/>
  <c r="AN3063" i="1"/>
  <c r="AE3477" i="1"/>
  <c r="AF3065" i="1" l="1"/>
  <c r="AN3064" i="1"/>
  <c r="AE3478" i="1"/>
  <c r="AF3066" i="1" l="1"/>
  <c r="AN3065" i="1"/>
  <c r="AE3479" i="1"/>
  <c r="AF3067" i="1" l="1"/>
  <c r="AN3066" i="1"/>
  <c r="AE3480" i="1"/>
  <c r="AF3068" i="1" l="1"/>
  <c r="AN3067" i="1"/>
  <c r="AE3481" i="1"/>
  <c r="AF3069" i="1" l="1"/>
  <c r="AN3068" i="1"/>
  <c r="AE3482" i="1"/>
  <c r="AF3070" i="1" l="1"/>
  <c r="AN3069" i="1"/>
  <c r="AE3483" i="1"/>
  <c r="AF3071" i="1" l="1"/>
  <c r="AN3070" i="1"/>
  <c r="AE3484" i="1"/>
  <c r="AF3072" i="1" l="1"/>
  <c r="AN3071" i="1"/>
  <c r="AE3485" i="1"/>
  <c r="AF3073" i="1" l="1"/>
  <c r="AN3072" i="1"/>
  <c r="AE3486" i="1"/>
  <c r="AF3074" i="1" l="1"/>
  <c r="AN3073" i="1"/>
  <c r="AE3487" i="1"/>
  <c r="AF3075" i="1" l="1"/>
  <c r="AN3074" i="1"/>
  <c r="AE3488" i="1"/>
  <c r="AF3076" i="1" l="1"/>
  <c r="AN3075" i="1"/>
  <c r="AE3489" i="1"/>
  <c r="AF3077" i="1" l="1"/>
  <c r="AN3076" i="1"/>
  <c r="AE3490" i="1"/>
  <c r="AF3078" i="1" l="1"/>
  <c r="AN3077" i="1"/>
  <c r="AE3491" i="1"/>
  <c r="AF3079" i="1" l="1"/>
  <c r="AN3078" i="1"/>
  <c r="AE3492" i="1"/>
  <c r="AF3080" i="1" l="1"/>
  <c r="AN3079" i="1"/>
  <c r="AE3493" i="1"/>
  <c r="AF3081" i="1" l="1"/>
  <c r="AN3080" i="1"/>
  <c r="AE3494" i="1"/>
  <c r="AF3082" i="1" l="1"/>
  <c r="AN3081" i="1"/>
  <c r="AE3495" i="1"/>
  <c r="AF3083" i="1" l="1"/>
  <c r="AN3082" i="1"/>
  <c r="AE3496" i="1"/>
  <c r="AF3084" i="1" l="1"/>
  <c r="AN3083" i="1"/>
  <c r="AE3497" i="1"/>
  <c r="AF3085" i="1" l="1"/>
  <c r="AN3084" i="1"/>
  <c r="AE3498" i="1"/>
  <c r="AF3086" i="1" l="1"/>
  <c r="AN3085" i="1"/>
  <c r="AE3499" i="1"/>
  <c r="AF3087" i="1" l="1"/>
  <c r="AN3086" i="1"/>
  <c r="AE3500" i="1"/>
  <c r="AF3088" i="1" l="1"/>
  <c r="AN3087" i="1"/>
  <c r="AE3501" i="1"/>
  <c r="AF3089" i="1" l="1"/>
  <c r="AN3088" i="1"/>
  <c r="AE3502" i="1"/>
  <c r="AF3090" i="1" l="1"/>
  <c r="AN3089" i="1"/>
  <c r="AE3503" i="1"/>
  <c r="AF3091" i="1" l="1"/>
  <c r="AN3090" i="1"/>
  <c r="AE3504" i="1"/>
  <c r="AF3092" i="1" l="1"/>
  <c r="AN3091" i="1"/>
  <c r="AE3505" i="1"/>
  <c r="AF3093" i="1" l="1"/>
  <c r="AN3092" i="1"/>
  <c r="AE3506" i="1"/>
  <c r="AF3094" i="1" l="1"/>
  <c r="AN3093" i="1"/>
  <c r="AE3507" i="1"/>
  <c r="AF3095" i="1" l="1"/>
  <c r="AN3094" i="1"/>
  <c r="AE3508" i="1"/>
  <c r="AF3096" i="1" l="1"/>
  <c r="AN3095" i="1"/>
  <c r="AE3509" i="1"/>
  <c r="AF3097" i="1" l="1"/>
  <c r="AN3096" i="1"/>
  <c r="AE3510" i="1"/>
  <c r="AF3098" i="1" l="1"/>
  <c r="AN3097" i="1"/>
  <c r="AE3511" i="1"/>
  <c r="AF3099" i="1" l="1"/>
  <c r="AN3098" i="1"/>
  <c r="AE3512" i="1"/>
  <c r="AF3100" i="1" l="1"/>
  <c r="AN3099" i="1"/>
  <c r="AE3513" i="1"/>
  <c r="AF3101" i="1" l="1"/>
  <c r="AN3100" i="1"/>
  <c r="AE3514" i="1"/>
  <c r="AF3102" i="1" l="1"/>
  <c r="AN3101" i="1"/>
  <c r="AE3515" i="1"/>
  <c r="AF3103" i="1" l="1"/>
  <c r="AN3102" i="1"/>
  <c r="AE3516" i="1"/>
  <c r="AF3104" i="1" l="1"/>
  <c r="AN3103" i="1"/>
  <c r="AE3517" i="1"/>
  <c r="AF3105" i="1" l="1"/>
  <c r="AN3104" i="1"/>
  <c r="AE3518" i="1"/>
  <c r="AF3106" i="1" l="1"/>
  <c r="AN3105" i="1"/>
  <c r="AE3519" i="1"/>
  <c r="AF3107" i="1" l="1"/>
  <c r="AN3106" i="1"/>
  <c r="AE3520" i="1"/>
  <c r="AF3108" i="1" l="1"/>
  <c r="AN3107" i="1"/>
  <c r="AE3521" i="1"/>
  <c r="AF3109" i="1" l="1"/>
  <c r="AN3108" i="1"/>
  <c r="AE3522" i="1"/>
  <c r="AF3110" i="1" l="1"/>
  <c r="AN3109" i="1"/>
  <c r="AE3523" i="1"/>
  <c r="AF3111" i="1" l="1"/>
  <c r="AN3110" i="1"/>
  <c r="AE3524" i="1"/>
  <c r="AF3112" i="1" l="1"/>
  <c r="AN3111" i="1"/>
  <c r="AE3525" i="1"/>
  <c r="AF3113" i="1" l="1"/>
  <c r="AN3112" i="1"/>
  <c r="AE3526" i="1"/>
  <c r="AF3114" i="1" l="1"/>
  <c r="AN3113" i="1"/>
  <c r="AE3527" i="1"/>
  <c r="AF3115" i="1" l="1"/>
  <c r="AN3114" i="1"/>
  <c r="AE3528" i="1"/>
  <c r="AF3116" i="1" l="1"/>
  <c r="AN3115" i="1"/>
  <c r="AE3529" i="1"/>
  <c r="AF3117" i="1" l="1"/>
  <c r="AN3116" i="1"/>
  <c r="AE3530" i="1"/>
  <c r="AF3118" i="1" l="1"/>
  <c r="AN3117" i="1"/>
  <c r="AE3531" i="1"/>
  <c r="AF3119" i="1" l="1"/>
  <c r="AN3118" i="1"/>
  <c r="AE3532" i="1"/>
  <c r="AF3120" i="1" l="1"/>
  <c r="AN3119" i="1"/>
  <c r="AE3533" i="1"/>
  <c r="AF3121" i="1" l="1"/>
  <c r="AN3120" i="1"/>
  <c r="AE3534" i="1"/>
  <c r="AF3122" i="1" l="1"/>
  <c r="AN3121" i="1"/>
  <c r="AE3535" i="1"/>
  <c r="AF3123" i="1" l="1"/>
  <c r="AN3122" i="1"/>
  <c r="AE3536" i="1"/>
  <c r="AF3124" i="1" l="1"/>
  <c r="AN3123" i="1"/>
  <c r="AE3537" i="1"/>
  <c r="AF3125" i="1" l="1"/>
  <c r="AN3124" i="1"/>
  <c r="AE3538" i="1"/>
  <c r="AF3126" i="1" l="1"/>
  <c r="AN3125" i="1"/>
  <c r="AE3539" i="1"/>
  <c r="AF3127" i="1" l="1"/>
  <c r="AN3126" i="1"/>
  <c r="AE3540" i="1"/>
  <c r="AF3128" i="1" l="1"/>
  <c r="AN3127" i="1"/>
  <c r="AE3541" i="1"/>
  <c r="AF3129" i="1" l="1"/>
  <c r="AN3128" i="1"/>
  <c r="AE3542" i="1"/>
  <c r="AF3130" i="1" l="1"/>
  <c r="AN3129" i="1"/>
  <c r="AE3543" i="1"/>
  <c r="AF3131" i="1" l="1"/>
  <c r="AN3130" i="1"/>
  <c r="AE3544" i="1"/>
  <c r="AF3132" i="1" l="1"/>
  <c r="AN3131" i="1"/>
  <c r="AE3545" i="1"/>
  <c r="AF3133" i="1" l="1"/>
  <c r="AN3132" i="1"/>
  <c r="AE3546" i="1"/>
  <c r="AF3134" i="1" l="1"/>
  <c r="AN3133" i="1"/>
  <c r="AE3547" i="1"/>
  <c r="AF3135" i="1" l="1"/>
  <c r="AN3134" i="1"/>
  <c r="AE3548" i="1"/>
  <c r="AF3136" i="1" l="1"/>
  <c r="AN3135" i="1"/>
  <c r="AE3549" i="1"/>
  <c r="AF3137" i="1" l="1"/>
  <c r="AN3136" i="1"/>
  <c r="AE3550" i="1"/>
  <c r="AF3138" i="1" l="1"/>
  <c r="AN3137" i="1"/>
  <c r="AE3551" i="1"/>
  <c r="AF3139" i="1" l="1"/>
  <c r="AN3138" i="1"/>
  <c r="AE3552" i="1"/>
  <c r="AF3140" i="1" l="1"/>
  <c r="AN3139" i="1"/>
  <c r="AE3553" i="1"/>
  <c r="AF3141" i="1" l="1"/>
  <c r="AN3140" i="1"/>
  <c r="AE3554" i="1"/>
  <c r="AF3142" i="1" l="1"/>
  <c r="AN3141" i="1"/>
  <c r="AE3555" i="1"/>
  <c r="AF3143" i="1" l="1"/>
  <c r="AN3142" i="1"/>
  <c r="AE3556" i="1"/>
  <c r="AF3144" i="1" l="1"/>
  <c r="AN3143" i="1"/>
  <c r="AE3557" i="1"/>
  <c r="AF3145" i="1" l="1"/>
  <c r="AN3144" i="1"/>
  <c r="AE3558" i="1"/>
  <c r="AF3146" i="1" l="1"/>
  <c r="AN3145" i="1"/>
  <c r="AE3559" i="1"/>
  <c r="AF3147" i="1" l="1"/>
  <c r="AN3146" i="1"/>
  <c r="AE3560" i="1"/>
  <c r="AF3148" i="1" l="1"/>
  <c r="AN3147" i="1"/>
  <c r="AE3561" i="1"/>
  <c r="AF3149" i="1" l="1"/>
  <c r="AN3148" i="1"/>
  <c r="AE3562" i="1"/>
  <c r="AF3150" i="1" l="1"/>
  <c r="AN3149" i="1"/>
  <c r="AE3563" i="1"/>
  <c r="AF3151" i="1" l="1"/>
  <c r="AN3150" i="1"/>
  <c r="AE3564" i="1"/>
  <c r="AF3152" i="1" l="1"/>
  <c r="AN3151" i="1"/>
  <c r="AE3565" i="1"/>
  <c r="AF3153" i="1" l="1"/>
  <c r="AN3152" i="1"/>
  <c r="AE3566" i="1"/>
  <c r="AF3154" i="1" l="1"/>
  <c r="AN3153" i="1"/>
  <c r="AE3567" i="1"/>
  <c r="AF3155" i="1" l="1"/>
  <c r="AN3154" i="1"/>
  <c r="AE3568" i="1"/>
  <c r="AF3156" i="1" l="1"/>
  <c r="AN3155" i="1"/>
  <c r="AE3569" i="1"/>
  <c r="AF3157" i="1" l="1"/>
  <c r="AN3156" i="1"/>
  <c r="AE3570" i="1"/>
  <c r="AF3158" i="1" l="1"/>
  <c r="AN3157" i="1"/>
  <c r="AE3571" i="1"/>
  <c r="AF3159" i="1" l="1"/>
  <c r="AN3158" i="1"/>
  <c r="AE3572" i="1"/>
  <c r="AF3160" i="1" l="1"/>
  <c r="AN3159" i="1"/>
  <c r="AE3573" i="1"/>
  <c r="AF3161" i="1" l="1"/>
  <c r="AN3160" i="1"/>
  <c r="AE3574" i="1"/>
  <c r="AF3162" i="1" l="1"/>
  <c r="AN3161" i="1"/>
  <c r="AE3575" i="1"/>
  <c r="AF3163" i="1" l="1"/>
  <c r="AN3162" i="1"/>
  <c r="AE3576" i="1"/>
  <c r="AF3164" i="1" l="1"/>
  <c r="AN3163" i="1"/>
  <c r="AE3577" i="1"/>
  <c r="AF3165" i="1" l="1"/>
  <c r="AN3164" i="1"/>
  <c r="AE3578" i="1"/>
  <c r="AF3166" i="1" l="1"/>
  <c r="AN3165" i="1"/>
  <c r="AE3579" i="1"/>
  <c r="AF3167" i="1" l="1"/>
  <c r="AN3166" i="1"/>
  <c r="AE3580" i="1"/>
  <c r="AF3168" i="1" l="1"/>
  <c r="AN3167" i="1"/>
  <c r="AE3581" i="1"/>
  <c r="AF3169" i="1" l="1"/>
  <c r="AN3168" i="1"/>
  <c r="AE3582" i="1"/>
  <c r="AF3170" i="1" l="1"/>
  <c r="AN3169" i="1"/>
  <c r="AE3583" i="1"/>
  <c r="AF3171" i="1" l="1"/>
  <c r="AN3170" i="1"/>
  <c r="AE3584" i="1"/>
  <c r="AF3172" i="1" l="1"/>
  <c r="AN3171" i="1"/>
  <c r="AE3585" i="1"/>
  <c r="AF3173" i="1" l="1"/>
  <c r="AN3172" i="1"/>
  <c r="AE3586" i="1"/>
  <c r="AF3174" i="1" l="1"/>
  <c r="AN3173" i="1"/>
  <c r="AE3587" i="1"/>
  <c r="AF3175" i="1" l="1"/>
  <c r="AN3174" i="1"/>
  <c r="AE3588" i="1"/>
  <c r="AF3176" i="1" l="1"/>
  <c r="AN3175" i="1"/>
  <c r="AE3589" i="1"/>
  <c r="AF3177" i="1" l="1"/>
  <c r="AN3176" i="1"/>
  <c r="AE3590" i="1"/>
  <c r="AF3178" i="1" l="1"/>
  <c r="AN3177" i="1"/>
  <c r="AE3591" i="1"/>
  <c r="AF3179" i="1" l="1"/>
  <c r="AN3178" i="1"/>
  <c r="AE3592" i="1"/>
  <c r="AF3180" i="1" l="1"/>
  <c r="AN3179" i="1"/>
  <c r="AE3593" i="1"/>
  <c r="AF3181" i="1" l="1"/>
  <c r="AN3180" i="1"/>
  <c r="AE3594" i="1"/>
  <c r="AF3182" i="1" l="1"/>
  <c r="AN3181" i="1"/>
  <c r="AE3595" i="1"/>
  <c r="AF3183" i="1" l="1"/>
  <c r="AN3182" i="1"/>
  <c r="AE3596" i="1"/>
  <c r="AF3184" i="1" l="1"/>
  <c r="AN3183" i="1"/>
  <c r="AE3597" i="1"/>
  <c r="AF3185" i="1" l="1"/>
  <c r="AN3184" i="1"/>
  <c r="AE3598" i="1"/>
  <c r="AF3186" i="1" l="1"/>
  <c r="AN3185" i="1"/>
  <c r="AE3599" i="1"/>
  <c r="AF3187" i="1" l="1"/>
  <c r="AN3186" i="1"/>
  <c r="AE3600" i="1"/>
  <c r="AF3188" i="1" l="1"/>
  <c r="AN3187" i="1"/>
  <c r="AE3601" i="1"/>
  <c r="AF3189" i="1" l="1"/>
  <c r="AN3188" i="1"/>
  <c r="AE3602" i="1"/>
  <c r="AF3190" i="1" l="1"/>
  <c r="AN3189" i="1"/>
  <c r="AE3603" i="1"/>
  <c r="AF3191" i="1" l="1"/>
  <c r="AN3190" i="1"/>
  <c r="AE3604" i="1"/>
  <c r="AF3192" i="1" l="1"/>
  <c r="AN3191" i="1"/>
  <c r="AE3605" i="1"/>
  <c r="AF3193" i="1" l="1"/>
  <c r="AN3192" i="1"/>
  <c r="AE3606" i="1"/>
  <c r="AF3194" i="1" l="1"/>
  <c r="AN3193" i="1"/>
  <c r="AE3607" i="1"/>
  <c r="AF3195" i="1" l="1"/>
  <c r="AN3194" i="1"/>
  <c r="AE3608" i="1"/>
  <c r="AF3196" i="1" l="1"/>
  <c r="AN3195" i="1"/>
  <c r="AE3609" i="1"/>
  <c r="AF3197" i="1" l="1"/>
  <c r="AN3196" i="1"/>
  <c r="AE3610" i="1"/>
  <c r="AF3198" i="1" l="1"/>
  <c r="AN3197" i="1"/>
  <c r="AE3611" i="1"/>
  <c r="AF3199" i="1" l="1"/>
  <c r="AN3198" i="1"/>
  <c r="AE3612" i="1"/>
  <c r="AF3200" i="1" l="1"/>
  <c r="AN3199" i="1"/>
  <c r="AE3613" i="1"/>
  <c r="AF3201" i="1" l="1"/>
  <c r="AN3200" i="1"/>
  <c r="AE3614" i="1"/>
  <c r="AF3202" i="1" l="1"/>
  <c r="AN3201" i="1"/>
  <c r="AE3615" i="1"/>
  <c r="AF3203" i="1" l="1"/>
  <c r="AN3202" i="1"/>
  <c r="AE3616" i="1"/>
  <c r="AF3204" i="1" l="1"/>
  <c r="AN3203" i="1"/>
  <c r="AE3617" i="1"/>
  <c r="AF3205" i="1" l="1"/>
  <c r="AN3204" i="1"/>
  <c r="AE3618" i="1"/>
  <c r="AF3206" i="1" l="1"/>
  <c r="AN3205" i="1"/>
  <c r="AE3619" i="1"/>
  <c r="AF3207" i="1" l="1"/>
  <c r="AN3206" i="1"/>
  <c r="AE3620" i="1"/>
  <c r="AF3208" i="1" l="1"/>
  <c r="AN3207" i="1"/>
  <c r="AE3621" i="1"/>
  <c r="AF3209" i="1" l="1"/>
  <c r="AN3208" i="1"/>
  <c r="AE3622" i="1"/>
  <c r="AF3210" i="1" l="1"/>
  <c r="AN3209" i="1"/>
  <c r="AE3623" i="1"/>
  <c r="AF3211" i="1" l="1"/>
  <c r="AN3210" i="1"/>
  <c r="AE3624" i="1"/>
  <c r="AF3212" i="1" l="1"/>
  <c r="AN3211" i="1"/>
  <c r="AE3625" i="1"/>
  <c r="AF3213" i="1" l="1"/>
  <c r="AN3212" i="1"/>
  <c r="AE3626" i="1"/>
  <c r="AF3214" i="1" l="1"/>
  <c r="AN3213" i="1"/>
  <c r="AE3627" i="1"/>
  <c r="AF3215" i="1" l="1"/>
  <c r="AN3214" i="1"/>
  <c r="AE3628" i="1"/>
  <c r="AF3216" i="1" l="1"/>
  <c r="AN3215" i="1"/>
  <c r="AE3629" i="1"/>
  <c r="AF3217" i="1" l="1"/>
  <c r="AN3216" i="1"/>
  <c r="AE3630" i="1"/>
  <c r="AF3218" i="1" l="1"/>
  <c r="AN3217" i="1"/>
  <c r="AE3631" i="1"/>
  <c r="AF3219" i="1" l="1"/>
  <c r="AN3218" i="1"/>
  <c r="AE3632" i="1"/>
  <c r="AF3220" i="1" l="1"/>
  <c r="AN3219" i="1"/>
  <c r="AE3633" i="1"/>
  <c r="AF3221" i="1" l="1"/>
  <c r="AN3220" i="1"/>
  <c r="AE3634" i="1"/>
  <c r="AF3222" i="1" l="1"/>
  <c r="AN3221" i="1"/>
  <c r="AE3635" i="1"/>
  <c r="AF3223" i="1" l="1"/>
  <c r="AN3222" i="1"/>
  <c r="AE3636" i="1"/>
  <c r="AF3224" i="1" l="1"/>
  <c r="AN3223" i="1"/>
  <c r="AE3637" i="1"/>
  <c r="AF3225" i="1" l="1"/>
  <c r="AN3224" i="1"/>
  <c r="AE3638" i="1"/>
  <c r="AF3226" i="1" l="1"/>
  <c r="AN3225" i="1"/>
  <c r="AE3639" i="1"/>
  <c r="AF3227" i="1" l="1"/>
  <c r="AN3226" i="1"/>
  <c r="AE3640" i="1"/>
  <c r="AF3228" i="1" l="1"/>
  <c r="AN3227" i="1"/>
  <c r="AE3641" i="1"/>
  <c r="AF3229" i="1" l="1"/>
  <c r="AN3228" i="1"/>
  <c r="AE3642" i="1"/>
  <c r="AF3230" i="1" l="1"/>
  <c r="AN3229" i="1"/>
  <c r="AE3643" i="1"/>
  <c r="AF3231" i="1" l="1"/>
  <c r="AN3230" i="1"/>
  <c r="AE3644" i="1"/>
  <c r="AF3232" i="1" l="1"/>
  <c r="AN3231" i="1"/>
  <c r="AE3645" i="1"/>
  <c r="AF3233" i="1" l="1"/>
  <c r="AN3232" i="1"/>
  <c r="AE3646" i="1"/>
  <c r="AF3234" i="1" l="1"/>
  <c r="AN3233" i="1"/>
  <c r="AE3647" i="1"/>
  <c r="AF3235" i="1" l="1"/>
  <c r="AN3234" i="1"/>
  <c r="AE3648" i="1"/>
  <c r="AF3236" i="1" l="1"/>
  <c r="AN3235" i="1"/>
  <c r="AE3649" i="1"/>
  <c r="AF3237" i="1" l="1"/>
  <c r="AN3236" i="1"/>
  <c r="AE3650" i="1"/>
  <c r="AF3238" i="1" l="1"/>
  <c r="AN3237" i="1"/>
  <c r="AE3651" i="1"/>
  <c r="AF3239" i="1" l="1"/>
  <c r="AN3238" i="1"/>
  <c r="AE3652" i="1"/>
  <c r="AF3240" i="1" l="1"/>
  <c r="AN3239" i="1"/>
  <c r="AE3653" i="1"/>
  <c r="AF3241" i="1" l="1"/>
  <c r="AN3240" i="1"/>
  <c r="AE3654" i="1"/>
  <c r="AF3242" i="1" l="1"/>
  <c r="AN3241" i="1"/>
  <c r="AE3655" i="1"/>
  <c r="AF3243" i="1" l="1"/>
  <c r="AN3242" i="1"/>
  <c r="AE3656" i="1"/>
  <c r="AF3244" i="1" l="1"/>
  <c r="AN3243" i="1"/>
  <c r="AE3657" i="1"/>
  <c r="AF3245" i="1" l="1"/>
  <c r="AN3244" i="1"/>
  <c r="AE3658" i="1"/>
  <c r="AF3246" i="1" l="1"/>
  <c r="AN3245" i="1"/>
  <c r="AE3659" i="1"/>
  <c r="AF3247" i="1" l="1"/>
  <c r="AN3246" i="1"/>
  <c r="AE3660" i="1"/>
  <c r="AF3248" i="1" l="1"/>
  <c r="AN3247" i="1"/>
  <c r="AE3661" i="1"/>
  <c r="AF3249" i="1" l="1"/>
  <c r="AN3248" i="1"/>
  <c r="AE3662" i="1"/>
  <c r="AF3250" i="1" l="1"/>
  <c r="AN3249" i="1"/>
  <c r="AE3663" i="1"/>
  <c r="AF3251" i="1" l="1"/>
  <c r="AN3250" i="1"/>
  <c r="AE3664" i="1"/>
  <c r="AF3252" i="1" l="1"/>
  <c r="AN3251" i="1"/>
  <c r="AE3665" i="1"/>
  <c r="AF3253" i="1" l="1"/>
  <c r="AN3252" i="1"/>
  <c r="AE3666" i="1"/>
  <c r="AF3254" i="1" l="1"/>
  <c r="AN3253" i="1"/>
  <c r="AE3667" i="1"/>
  <c r="AF3255" i="1" l="1"/>
  <c r="AN3254" i="1"/>
  <c r="AE3668" i="1"/>
  <c r="AF3256" i="1" l="1"/>
  <c r="AN3255" i="1"/>
  <c r="AE3669" i="1"/>
  <c r="AF3257" i="1" l="1"/>
  <c r="AN3256" i="1"/>
  <c r="AE3670" i="1"/>
  <c r="AF3258" i="1" l="1"/>
  <c r="AN3257" i="1"/>
  <c r="AE3671" i="1"/>
  <c r="AF3259" i="1" l="1"/>
  <c r="AN3258" i="1"/>
  <c r="AE3672" i="1"/>
  <c r="AF3260" i="1" l="1"/>
  <c r="AN3259" i="1"/>
  <c r="AE3673" i="1"/>
  <c r="AF3261" i="1" l="1"/>
  <c r="AN3260" i="1"/>
  <c r="AE3674" i="1"/>
  <c r="AF3262" i="1" l="1"/>
  <c r="AN3261" i="1"/>
  <c r="AE3675" i="1"/>
  <c r="AF3263" i="1" l="1"/>
  <c r="AN3262" i="1"/>
  <c r="AE3676" i="1"/>
  <c r="AF3264" i="1" l="1"/>
  <c r="AN3263" i="1"/>
  <c r="AE3677" i="1"/>
  <c r="AF3265" i="1" l="1"/>
  <c r="AN3264" i="1"/>
  <c r="AE3678" i="1"/>
  <c r="AF3266" i="1" l="1"/>
  <c r="AN3265" i="1"/>
  <c r="AE3679" i="1"/>
  <c r="AF3267" i="1" l="1"/>
  <c r="AN3266" i="1"/>
  <c r="AE3680" i="1"/>
  <c r="AF3268" i="1" l="1"/>
  <c r="AN3267" i="1"/>
  <c r="AE3681" i="1"/>
  <c r="AF3269" i="1" l="1"/>
  <c r="AN3268" i="1"/>
  <c r="AE3682" i="1"/>
  <c r="AF3270" i="1" l="1"/>
  <c r="AN3269" i="1"/>
  <c r="AE3683" i="1"/>
  <c r="AF3271" i="1" l="1"/>
  <c r="AN3270" i="1"/>
  <c r="AE3684" i="1"/>
  <c r="AF3272" i="1" l="1"/>
  <c r="AN3271" i="1"/>
  <c r="AE3685" i="1"/>
  <c r="AF3273" i="1" l="1"/>
  <c r="AN3272" i="1"/>
  <c r="AE3686" i="1"/>
  <c r="AF3274" i="1" l="1"/>
  <c r="AN3273" i="1"/>
  <c r="AE3687" i="1"/>
  <c r="AF3275" i="1" l="1"/>
  <c r="AN3274" i="1"/>
  <c r="AE3688" i="1"/>
  <c r="AF3276" i="1" l="1"/>
  <c r="AN3275" i="1"/>
  <c r="AE3689" i="1"/>
  <c r="AF3277" i="1" l="1"/>
  <c r="AN3276" i="1"/>
  <c r="AE3690" i="1"/>
  <c r="AF3278" i="1" l="1"/>
  <c r="AN3277" i="1"/>
  <c r="AE3691" i="1"/>
  <c r="AF3279" i="1" l="1"/>
  <c r="AN3278" i="1"/>
  <c r="AE3692" i="1"/>
  <c r="AF3280" i="1" l="1"/>
  <c r="AN3279" i="1"/>
  <c r="AE3693" i="1"/>
  <c r="AF3281" i="1" l="1"/>
  <c r="AN3280" i="1"/>
  <c r="AE3694" i="1"/>
  <c r="AF3282" i="1" l="1"/>
  <c r="AN3281" i="1"/>
  <c r="AE3695" i="1"/>
  <c r="AF3283" i="1" l="1"/>
  <c r="AN3282" i="1"/>
  <c r="AE3696" i="1"/>
  <c r="AF3284" i="1" l="1"/>
  <c r="AN3283" i="1"/>
  <c r="AE3697" i="1"/>
  <c r="AF3285" i="1" l="1"/>
  <c r="AN3284" i="1"/>
  <c r="AE3698" i="1"/>
  <c r="AF3286" i="1" l="1"/>
  <c r="AN3285" i="1"/>
  <c r="AE3699" i="1"/>
  <c r="AF3287" i="1" l="1"/>
  <c r="AN3286" i="1"/>
  <c r="AE3700" i="1"/>
  <c r="AF3288" i="1" l="1"/>
  <c r="AN3287" i="1"/>
  <c r="AE3701" i="1"/>
  <c r="AF3289" i="1" l="1"/>
  <c r="AN3288" i="1"/>
  <c r="AE3702" i="1"/>
  <c r="AF3290" i="1" l="1"/>
  <c r="AN3289" i="1"/>
  <c r="AE3703" i="1"/>
  <c r="AF3291" i="1" l="1"/>
  <c r="AN3290" i="1"/>
  <c r="AE3704" i="1"/>
  <c r="AF3292" i="1" l="1"/>
  <c r="AN3291" i="1"/>
  <c r="AE3705" i="1"/>
  <c r="AF3293" i="1" l="1"/>
  <c r="AN3292" i="1"/>
  <c r="AE3706" i="1"/>
  <c r="AF3294" i="1" l="1"/>
  <c r="AN3293" i="1"/>
  <c r="AE3707" i="1"/>
  <c r="AF3295" i="1" l="1"/>
  <c r="AN3294" i="1"/>
  <c r="AE3708" i="1"/>
  <c r="AF3296" i="1" l="1"/>
  <c r="AN3295" i="1"/>
  <c r="AE3709" i="1"/>
  <c r="AF3297" i="1" l="1"/>
  <c r="AN3296" i="1"/>
  <c r="AE3710" i="1"/>
  <c r="AF3298" i="1" l="1"/>
  <c r="AN3297" i="1"/>
  <c r="AE3711" i="1"/>
  <c r="AF3299" i="1" l="1"/>
  <c r="AN3298" i="1"/>
  <c r="AE3712" i="1"/>
  <c r="AF3300" i="1" l="1"/>
  <c r="AN3299" i="1"/>
  <c r="AE3713" i="1"/>
  <c r="AF3301" i="1" l="1"/>
  <c r="AN3300" i="1"/>
  <c r="AE3714" i="1"/>
  <c r="AF3302" i="1" l="1"/>
  <c r="AN3301" i="1"/>
  <c r="AE3715" i="1"/>
  <c r="AF3303" i="1" l="1"/>
  <c r="AN3302" i="1"/>
  <c r="AE3716" i="1"/>
  <c r="AF3304" i="1" l="1"/>
  <c r="AN3303" i="1"/>
  <c r="AE3717" i="1"/>
  <c r="AF3305" i="1" l="1"/>
  <c r="AN3304" i="1"/>
  <c r="AE3718" i="1"/>
  <c r="AF3306" i="1" l="1"/>
  <c r="AN3305" i="1"/>
  <c r="AE3719" i="1"/>
  <c r="AF3307" i="1" l="1"/>
  <c r="AN3306" i="1"/>
  <c r="AE3720" i="1"/>
  <c r="AF3308" i="1" l="1"/>
  <c r="AN3307" i="1"/>
  <c r="AE3721" i="1"/>
  <c r="AF3309" i="1" l="1"/>
  <c r="AN3308" i="1"/>
  <c r="AE3722" i="1"/>
  <c r="AF3310" i="1" l="1"/>
  <c r="AN3309" i="1"/>
  <c r="AE3723" i="1"/>
  <c r="AF3311" i="1" l="1"/>
  <c r="AN3310" i="1"/>
  <c r="AE3724" i="1"/>
  <c r="AF3312" i="1" l="1"/>
  <c r="AN3311" i="1"/>
  <c r="AE3725" i="1"/>
  <c r="AF3313" i="1" l="1"/>
  <c r="AN3312" i="1"/>
  <c r="AE3726" i="1"/>
  <c r="AF3314" i="1" l="1"/>
  <c r="AN3313" i="1"/>
  <c r="AE3727" i="1"/>
  <c r="AF3315" i="1" l="1"/>
  <c r="AN3314" i="1"/>
  <c r="AE3728" i="1"/>
  <c r="AF3316" i="1" l="1"/>
  <c r="AN3315" i="1"/>
  <c r="AE3729" i="1"/>
  <c r="AF3317" i="1" l="1"/>
  <c r="AN3316" i="1"/>
  <c r="AE3730" i="1"/>
  <c r="AF3318" i="1" l="1"/>
  <c r="AN3317" i="1"/>
  <c r="AE3731" i="1"/>
  <c r="AF3319" i="1" l="1"/>
  <c r="AN3318" i="1"/>
  <c r="AE3732" i="1"/>
  <c r="AF3320" i="1" l="1"/>
  <c r="AN3319" i="1"/>
  <c r="AE3733" i="1"/>
  <c r="AF3321" i="1" l="1"/>
  <c r="AN3320" i="1"/>
  <c r="AE3734" i="1"/>
  <c r="AF3322" i="1" l="1"/>
  <c r="AN3321" i="1"/>
  <c r="AE3735" i="1"/>
  <c r="AF3323" i="1" l="1"/>
  <c r="AN3322" i="1"/>
  <c r="AE3736" i="1"/>
  <c r="AF3324" i="1" l="1"/>
  <c r="AN3323" i="1"/>
  <c r="AE3737" i="1"/>
  <c r="AF3325" i="1" l="1"/>
  <c r="AN3324" i="1"/>
  <c r="AE3738" i="1"/>
  <c r="AF3326" i="1" l="1"/>
  <c r="AN3325" i="1"/>
  <c r="AE3739" i="1"/>
  <c r="AF3327" i="1" l="1"/>
  <c r="AN3326" i="1"/>
  <c r="AE3740" i="1"/>
  <c r="AF3328" i="1" l="1"/>
  <c r="AN3327" i="1"/>
  <c r="AE3741" i="1"/>
  <c r="AF3329" i="1" l="1"/>
  <c r="AN3328" i="1"/>
  <c r="AE3742" i="1"/>
  <c r="AF3330" i="1" l="1"/>
  <c r="AN3329" i="1"/>
  <c r="AE3743" i="1"/>
  <c r="AF3331" i="1" l="1"/>
  <c r="AN3330" i="1"/>
  <c r="AE3744" i="1"/>
  <c r="AF3332" i="1" l="1"/>
  <c r="AN3331" i="1"/>
  <c r="AE3745" i="1"/>
  <c r="AF3333" i="1" l="1"/>
  <c r="AN3332" i="1"/>
  <c r="AE3746" i="1"/>
  <c r="AF3334" i="1" l="1"/>
  <c r="AN3333" i="1"/>
  <c r="AE3747" i="1"/>
  <c r="AF3335" i="1" l="1"/>
  <c r="AN3334" i="1"/>
  <c r="AE3748" i="1"/>
  <c r="AF3336" i="1" l="1"/>
  <c r="AN3335" i="1"/>
  <c r="AE3749" i="1"/>
  <c r="AF3337" i="1" l="1"/>
  <c r="AN3336" i="1"/>
  <c r="AE3750" i="1"/>
  <c r="AF3338" i="1" l="1"/>
  <c r="AN3337" i="1"/>
  <c r="AE3751" i="1"/>
  <c r="AF3339" i="1" l="1"/>
  <c r="AN3338" i="1"/>
  <c r="AE3752" i="1"/>
  <c r="AF3340" i="1" l="1"/>
  <c r="AN3339" i="1"/>
  <c r="AE3753" i="1"/>
  <c r="AF3341" i="1" l="1"/>
  <c r="AN3340" i="1"/>
  <c r="AE3754" i="1"/>
  <c r="AF3342" i="1" l="1"/>
  <c r="AN3341" i="1"/>
  <c r="AE3755" i="1"/>
  <c r="AF3343" i="1" l="1"/>
  <c r="AN3342" i="1"/>
  <c r="AE3756" i="1"/>
  <c r="AF3344" i="1" l="1"/>
  <c r="AN3343" i="1"/>
  <c r="AE3757" i="1"/>
  <c r="AF3345" i="1" l="1"/>
  <c r="AN3344" i="1"/>
  <c r="AE3758" i="1"/>
  <c r="AF3346" i="1" l="1"/>
  <c r="AN3345" i="1"/>
  <c r="AE3759" i="1"/>
  <c r="AF3347" i="1" l="1"/>
  <c r="AN3346" i="1"/>
  <c r="AE3760" i="1"/>
  <c r="AF3348" i="1" l="1"/>
  <c r="AN3347" i="1"/>
  <c r="AE3761" i="1"/>
  <c r="AF3349" i="1" l="1"/>
  <c r="AN3348" i="1"/>
  <c r="AE3762" i="1"/>
  <c r="AF3350" i="1" l="1"/>
  <c r="AN3349" i="1"/>
  <c r="AE3763" i="1"/>
  <c r="AF3351" i="1" l="1"/>
  <c r="AN3350" i="1"/>
  <c r="AE3764" i="1"/>
  <c r="AF3352" i="1" l="1"/>
  <c r="AN3351" i="1"/>
  <c r="AE3765" i="1"/>
  <c r="AF3353" i="1" l="1"/>
  <c r="AN3352" i="1"/>
  <c r="AE3766" i="1"/>
  <c r="AF3354" i="1" l="1"/>
  <c r="AN3353" i="1"/>
  <c r="AE3767" i="1"/>
  <c r="AF3355" i="1" l="1"/>
  <c r="AN3354" i="1"/>
  <c r="AE3768" i="1"/>
  <c r="AF3356" i="1" l="1"/>
  <c r="AN3355" i="1"/>
  <c r="AE3769" i="1"/>
  <c r="AF3357" i="1" l="1"/>
  <c r="AN3356" i="1"/>
  <c r="AE3770" i="1"/>
  <c r="AF3358" i="1" l="1"/>
  <c r="AN3357" i="1"/>
  <c r="AE3771" i="1"/>
  <c r="AF3359" i="1" l="1"/>
  <c r="AN3358" i="1"/>
  <c r="AE3772" i="1"/>
  <c r="AF3360" i="1" l="1"/>
  <c r="AN3359" i="1"/>
  <c r="AE3773" i="1"/>
  <c r="AF3361" i="1" l="1"/>
  <c r="AN3360" i="1"/>
  <c r="AE3774" i="1"/>
  <c r="AF3362" i="1" l="1"/>
  <c r="AN3361" i="1"/>
  <c r="AE3775" i="1"/>
  <c r="AF3363" i="1" l="1"/>
  <c r="AN3362" i="1"/>
  <c r="AE3776" i="1"/>
  <c r="AF3364" i="1" l="1"/>
  <c r="AN3363" i="1"/>
  <c r="AE3777" i="1"/>
  <c r="AF3365" i="1" l="1"/>
  <c r="AN3364" i="1"/>
  <c r="AE3778" i="1"/>
  <c r="AF3366" i="1" l="1"/>
  <c r="AN3365" i="1"/>
  <c r="AE3779" i="1"/>
  <c r="AF3367" i="1" l="1"/>
  <c r="AN3366" i="1"/>
  <c r="AE3780" i="1"/>
  <c r="AF3368" i="1" l="1"/>
  <c r="AN3367" i="1"/>
  <c r="AE3781" i="1"/>
  <c r="AF3369" i="1" l="1"/>
  <c r="AN3368" i="1"/>
  <c r="AE3782" i="1"/>
  <c r="AF3370" i="1" l="1"/>
  <c r="AN3369" i="1"/>
  <c r="AE3783" i="1"/>
  <c r="AF3371" i="1" l="1"/>
  <c r="AN3370" i="1"/>
  <c r="AE3784" i="1"/>
  <c r="AF3372" i="1" l="1"/>
  <c r="AN3371" i="1"/>
  <c r="AE3785" i="1"/>
  <c r="AF3373" i="1" l="1"/>
  <c r="AN3372" i="1"/>
  <c r="AE3786" i="1"/>
  <c r="AF3374" i="1" l="1"/>
  <c r="AN3373" i="1"/>
  <c r="AE3787" i="1"/>
  <c r="AF3375" i="1" l="1"/>
  <c r="AN3374" i="1"/>
  <c r="AE3788" i="1"/>
  <c r="AF3376" i="1" l="1"/>
  <c r="AN3375" i="1"/>
  <c r="AE3789" i="1"/>
  <c r="AF3377" i="1" l="1"/>
  <c r="AN3376" i="1"/>
  <c r="AE3790" i="1"/>
  <c r="AF3378" i="1" l="1"/>
  <c r="AN3377" i="1"/>
  <c r="AE3791" i="1"/>
  <c r="AF3379" i="1" l="1"/>
  <c r="AN3378" i="1"/>
  <c r="AE3792" i="1"/>
  <c r="AF3380" i="1" l="1"/>
  <c r="AN3379" i="1"/>
  <c r="AE3793" i="1"/>
  <c r="AF3381" i="1" l="1"/>
  <c r="AN3380" i="1"/>
  <c r="AE3794" i="1"/>
  <c r="AF3382" i="1" l="1"/>
  <c r="AN3381" i="1"/>
  <c r="AE3795" i="1"/>
  <c r="AF3383" i="1" l="1"/>
  <c r="AN3382" i="1"/>
  <c r="AE3796" i="1"/>
  <c r="AF3384" i="1" l="1"/>
  <c r="AN3383" i="1"/>
  <c r="AE3797" i="1"/>
  <c r="AF3385" i="1" l="1"/>
  <c r="AN3384" i="1"/>
  <c r="AE3798" i="1"/>
  <c r="AF3386" i="1" l="1"/>
  <c r="AN3385" i="1"/>
  <c r="AE3799" i="1"/>
  <c r="AF3387" i="1" l="1"/>
  <c r="AN3386" i="1"/>
  <c r="AE3800" i="1"/>
  <c r="AF3388" i="1" l="1"/>
  <c r="AN3387" i="1"/>
  <c r="AE3801" i="1"/>
  <c r="AF3389" i="1" l="1"/>
  <c r="AN3388" i="1"/>
  <c r="AE3802" i="1"/>
  <c r="AF3390" i="1" l="1"/>
  <c r="AN3389" i="1"/>
  <c r="AE3803" i="1"/>
  <c r="AF3391" i="1" l="1"/>
  <c r="AN3390" i="1"/>
  <c r="AE3804" i="1"/>
  <c r="AF3392" i="1" l="1"/>
  <c r="AN3391" i="1"/>
  <c r="AE3805" i="1"/>
  <c r="AF3393" i="1" l="1"/>
  <c r="AN3392" i="1"/>
  <c r="AE3806" i="1"/>
  <c r="AF3394" i="1" l="1"/>
  <c r="AN3393" i="1"/>
  <c r="AE3807" i="1"/>
  <c r="AF3395" i="1" l="1"/>
  <c r="AN3394" i="1"/>
  <c r="AE3808" i="1"/>
  <c r="AF3396" i="1" l="1"/>
  <c r="AN3395" i="1"/>
  <c r="AE3809" i="1"/>
  <c r="AF3397" i="1" l="1"/>
  <c r="AN3396" i="1"/>
  <c r="AE3810" i="1"/>
  <c r="AF3398" i="1" l="1"/>
  <c r="AN3397" i="1"/>
  <c r="AE3811" i="1"/>
  <c r="AF3399" i="1" l="1"/>
  <c r="AN3398" i="1"/>
  <c r="AE3812" i="1"/>
  <c r="AF3400" i="1" l="1"/>
  <c r="AN3399" i="1"/>
  <c r="AE3813" i="1"/>
  <c r="AF3401" i="1" l="1"/>
  <c r="AN3400" i="1"/>
  <c r="AE3814" i="1"/>
  <c r="AF3402" i="1" l="1"/>
  <c r="AN3401" i="1"/>
  <c r="AE3815" i="1"/>
  <c r="AF3403" i="1" l="1"/>
  <c r="AN3402" i="1"/>
  <c r="AE3816" i="1"/>
  <c r="AF3404" i="1" l="1"/>
  <c r="AN3403" i="1"/>
  <c r="AE3817" i="1"/>
  <c r="AF3405" i="1" l="1"/>
  <c r="AN3404" i="1"/>
  <c r="AE3818" i="1"/>
  <c r="AF3406" i="1" l="1"/>
  <c r="AN3405" i="1"/>
  <c r="AE3819" i="1"/>
  <c r="AF3407" i="1" l="1"/>
  <c r="AN3406" i="1"/>
  <c r="AE3820" i="1"/>
  <c r="AF3408" i="1" l="1"/>
  <c r="AN3407" i="1"/>
  <c r="AE3821" i="1"/>
  <c r="AF3409" i="1" l="1"/>
  <c r="AN3408" i="1"/>
  <c r="AE3822" i="1"/>
  <c r="AF3410" i="1" l="1"/>
  <c r="AN3409" i="1"/>
  <c r="AE3823" i="1"/>
  <c r="AF3411" i="1" l="1"/>
  <c r="AN3410" i="1"/>
  <c r="AE3824" i="1"/>
  <c r="AF3412" i="1" l="1"/>
  <c r="AN3411" i="1"/>
  <c r="AE3825" i="1"/>
  <c r="AF3413" i="1" l="1"/>
  <c r="AN3412" i="1"/>
  <c r="AE3826" i="1"/>
  <c r="AF3414" i="1" l="1"/>
  <c r="AN3413" i="1"/>
  <c r="AE3827" i="1"/>
  <c r="AF3415" i="1" l="1"/>
  <c r="AN3414" i="1"/>
  <c r="AE3828" i="1"/>
  <c r="AF3416" i="1" l="1"/>
  <c r="AN3415" i="1"/>
  <c r="AE3829" i="1"/>
  <c r="AF3417" i="1" l="1"/>
  <c r="AN3416" i="1"/>
  <c r="AE3830" i="1"/>
  <c r="AF3418" i="1" l="1"/>
  <c r="AN3417" i="1"/>
  <c r="AE3831" i="1"/>
  <c r="AF3419" i="1" l="1"/>
  <c r="AN3418" i="1"/>
  <c r="AE3832" i="1"/>
  <c r="AF3420" i="1" l="1"/>
  <c r="AN3419" i="1"/>
  <c r="AE3833" i="1"/>
  <c r="AF3421" i="1" l="1"/>
  <c r="AN3420" i="1"/>
  <c r="AE3834" i="1"/>
  <c r="AF3422" i="1" l="1"/>
  <c r="AN3421" i="1"/>
  <c r="AE3835" i="1"/>
  <c r="AF3423" i="1" l="1"/>
  <c r="AN3422" i="1"/>
  <c r="AE3836" i="1"/>
  <c r="AF3424" i="1" l="1"/>
  <c r="AN3423" i="1"/>
  <c r="AE3837" i="1"/>
  <c r="AF3425" i="1" l="1"/>
  <c r="AN3424" i="1"/>
  <c r="AE3838" i="1"/>
  <c r="AF3426" i="1" l="1"/>
  <c r="AN3425" i="1"/>
  <c r="AE3839" i="1"/>
  <c r="AF3427" i="1" l="1"/>
  <c r="AN3426" i="1"/>
  <c r="AE3840" i="1"/>
  <c r="AF3428" i="1" l="1"/>
  <c r="AN3427" i="1"/>
  <c r="AE3841" i="1"/>
  <c r="AF3429" i="1" l="1"/>
  <c r="AN3428" i="1"/>
  <c r="AE3842" i="1"/>
  <c r="AF3430" i="1" l="1"/>
  <c r="AN3429" i="1"/>
  <c r="AE3843" i="1"/>
  <c r="AF3431" i="1" l="1"/>
  <c r="AN3430" i="1"/>
  <c r="AE3844" i="1"/>
  <c r="AF3432" i="1" l="1"/>
  <c r="AN3431" i="1"/>
  <c r="AE3845" i="1"/>
  <c r="AF3433" i="1" l="1"/>
  <c r="AN3432" i="1"/>
  <c r="AE3846" i="1"/>
  <c r="AF3434" i="1" l="1"/>
  <c r="AN3433" i="1"/>
  <c r="AE3847" i="1"/>
  <c r="AF3435" i="1" l="1"/>
  <c r="AN3434" i="1"/>
  <c r="AE3848" i="1"/>
  <c r="AF3436" i="1" l="1"/>
  <c r="AN3435" i="1"/>
  <c r="AE3849" i="1"/>
  <c r="AF3437" i="1" l="1"/>
  <c r="AN3436" i="1"/>
  <c r="AE3850" i="1"/>
  <c r="AF3438" i="1" l="1"/>
  <c r="AN3437" i="1"/>
  <c r="AE3851" i="1"/>
  <c r="AF3439" i="1" l="1"/>
  <c r="AN3438" i="1"/>
  <c r="AE3852" i="1"/>
  <c r="AF3440" i="1" l="1"/>
  <c r="AN3439" i="1"/>
  <c r="AE3853" i="1"/>
  <c r="AF3441" i="1" l="1"/>
  <c r="AN3440" i="1"/>
  <c r="AE3854" i="1"/>
  <c r="AF3442" i="1" l="1"/>
  <c r="AN3441" i="1"/>
  <c r="AE3855" i="1"/>
  <c r="AF3443" i="1" l="1"/>
  <c r="AN3442" i="1"/>
  <c r="AE3856" i="1"/>
  <c r="AF3444" i="1" l="1"/>
  <c r="AN3443" i="1"/>
  <c r="AE3857" i="1"/>
  <c r="AF3445" i="1" l="1"/>
  <c r="AN3444" i="1"/>
  <c r="AE3858" i="1"/>
  <c r="AF3446" i="1" l="1"/>
  <c r="AN3445" i="1"/>
  <c r="AE3859" i="1"/>
  <c r="AF3447" i="1" l="1"/>
  <c r="AN3446" i="1"/>
  <c r="AE3860" i="1"/>
  <c r="AF3448" i="1" l="1"/>
  <c r="AN3447" i="1"/>
  <c r="AE3861" i="1"/>
  <c r="AF3449" i="1" l="1"/>
  <c r="AN3448" i="1"/>
  <c r="AE3862" i="1"/>
  <c r="AF3450" i="1" l="1"/>
  <c r="AN3449" i="1"/>
  <c r="AE3863" i="1"/>
  <c r="AF3451" i="1" l="1"/>
  <c r="AN3450" i="1"/>
  <c r="AE3864" i="1"/>
  <c r="AF3452" i="1" l="1"/>
  <c r="AN3451" i="1"/>
  <c r="AE3865" i="1"/>
  <c r="AF3453" i="1" l="1"/>
  <c r="AN3452" i="1"/>
  <c r="AE3866" i="1"/>
  <c r="AF3454" i="1" l="1"/>
  <c r="AN3453" i="1"/>
  <c r="AE3867" i="1"/>
  <c r="AF3455" i="1" l="1"/>
  <c r="AN3454" i="1"/>
  <c r="AE3868" i="1"/>
  <c r="AF3456" i="1" l="1"/>
  <c r="AN3455" i="1"/>
  <c r="AE3869" i="1"/>
  <c r="AF3457" i="1" l="1"/>
  <c r="AN3456" i="1"/>
  <c r="AE3870" i="1"/>
  <c r="AF3458" i="1" l="1"/>
  <c r="AN3457" i="1"/>
  <c r="AE3871" i="1"/>
  <c r="AF3459" i="1" l="1"/>
  <c r="AN3458" i="1"/>
  <c r="AE3872" i="1"/>
  <c r="AF3460" i="1" l="1"/>
  <c r="AN3459" i="1"/>
  <c r="AE3873" i="1"/>
  <c r="AF3461" i="1" l="1"/>
  <c r="AN3460" i="1"/>
  <c r="AE3874" i="1"/>
  <c r="AF3462" i="1" l="1"/>
  <c r="AN3461" i="1"/>
  <c r="AE3875" i="1"/>
  <c r="AF3463" i="1" l="1"/>
  <c r="AN3462" i="1"/>
  <c r="AE3876" i="1"/>
  <c r="AF3464" i="1" l="1"/>
  <c r="AN3463" i="1"/>
  <c r="AE3877" i="1"/>
  <c r="AF3465" i="1" l="1"/>
  <c r="AN3464" i="1"/>
  <c r="AE3878" i="1"/>
  <c r="AF3466" i="1" l="1"/>
  <c r="AN3465" i="1"/>
  <c r="AE3879" i="1"/>
  <c r="AF3467" i="1" l="1"/>
  <c r="AN3466" i="1"/>
  <c r="AE3880" i="1"/>
  <c r="AF3468" i="1" l="1"/>
  <c r="AN3467" i="1"/>
  <c r="AE3881" i="1"/>
  <c r="AF3469" i="1" l="1"/>
  <c r="AN3468" i="1"/>
  <c r="AE3882" i="1"/>
  <c r="AF3470" i="1" l="1"/>
  <c r="AN3469" i="1"/>
  <c r="AE3883" i="1"/>
  <c r="AF3471" i="1" l="1"/>
  <c r="AN3470" i="1"/>
  <c r="AE3884" i="1"/>
  <c r="AF3472" i="1" l="1"/>
  <c r="AN3471" i="1"/>
  <c r="AE3885" i="1"/>
  <c r="AF3473" i="1" l="1"/>
  <c r="AN3472" i="1"/>
  <c r="AE3886" i="1"/>
  <c r="AF3474" i="1" l="1"/>
  <c r="AN3473" i="1"/>
  <c r="AE3887" i="1"/>
  <c r="AF3475" i="1" l="1"/>
  <c r="AN3474" i="1"/>
  <c r="AE3888" i="1"/>
  <c r="AF3476" i="1" l="1"/>
  <c r="AN3475" i="1"/>
  <c r="AE3889" i="1"/>
  <c r="AF3477" i="1" l="1"/>
  <c r="AN3476" i="1"/>
  <c r="AE3890" i="1"/>
  <c r="AF3478" i="1" l="1"/>
  <c r="AN3477" i="1"/>
  <c r="AE3891" i="1"/>
  <c r="AF3479" i="1" l="1"/>
  <c r="AN3478" i="1"/>
  <c r="AE3892" i="1"/>
  <c r="AF3480" i="1" l="1"/>
  <c r="AN3479" i="1"/>
  <c r="AE3893" i="1"/>
  <c r="AF3481" i="1" l="1"/>
  <c r="AN3480" i="1"/>
  <c r="AE3894" i="1"/>
  <c r="AF3482" i="1" l="1"/>
  <c r="AN3481" i="1"/>
  <c r="AE3895" i="1"/>
  <c r="AF3483" i="1" l="1"/>
  <c r="AN3482" i="1"/>
  <c r="AE3896" i="1"/>
  <c r="AF3484" i="1" l="1"/>
  <c r="AN3483" i="1"/>
  <c r="AE3897" i="1"/>
  <c r="AF3485" i="1" l="1"/>
  <c r="AN3484" i="1"/>
  <c r="AE3898" i="1"/>
  <c r="AF3486" i="1" l="1"/>
  <c r="AN3485" i="1"/>
  <c r="AE3899" i="1"/>
  <c r="AF3487" i="1" l="1"/>
  <c r="AN3486" i="1"/>
  <c r="AE3900" i="1"/>
  <c r="AF3488" i="1" l="1"/>
  <c r="AN3487" i="1"/>
  <c r="AE3901" i="1"/>
  <c r="AF3489" i="1" l="1"/>
  <c r="AN3488" i="1"/>
  <c r="AE3902" i="1"/>
  <c r="AF3490" i="1" l="1"/>
  <c r="AN3489" i="1"/>
  <c r="AE3903" i="1"/>
  <c r="AF3491" i="1" l="1"/>
  <c r="AN3490" i="1"/>
  <c r="AE3904" i="1"/>
  <c r="AF3492" i="1" l="1"/>
  <c r="AN3491" i="1"/>
  <c r="AE3905" i="1"/>
  <c r="AF3493" i="1" l="1"/>
  <c r="AN3492" i="1"/>
  <c r="AE3906" i="1"/>
  <c r="AF3494" i="1" l="1"/>
  <c r="AN3493" i="1"/>
  <c r="AE3907" i="1"/>
  <c r="AF3495" i="1" l="1"/>
  <c r="AN3494" i="1"/>
  <c r="AE3908" i="1"/>
  <c r="AF3496" i="1" l="1"/>
  <c r="AN3495" i="1"/>
  <c r="AE3909" i="1"/>
  <c r="AF3497" i="1" l="1"/>
  <c r="AN3496" i="1"/>
  <c r="AE3910" i="1"/>
  <c r="AF3498" i="1" l="1"/>
  <c r="AN3497" i="1"/>
  <c r="AE3911" i="1"/>
  <c r="AF3499" i="1" l="1"/>
  <c r="AN3498" i="1"/>
  <c r="AE3912" i="1"/>
  <c r="AF3500" i="1" l="1"/>
  <c r="AN3499" i="1"/>
  <c r="AE3913" i="1"/>
  <c r="AF3501" i="1" l="1"/>
  <c r="AN3500" i="1"/>
  <c r="AE3914" i="1"/>
  <c r="AF3502" i="1" l="1"/>
  <c r="AN3501" i="1"/>
  <c r="AE3915" i="1"/>
  <c r="AF3503" i="1" l="1"/>
  <c r="AN3502" i="1"/>
  <c r="AE3916" i="1"/>
  <c r="AF3504" i="1" l="1"/>
  <c r="AN3503" i="1"/>
  <c r="AE3917" i="1"/>
  <c r="AF3505" i="1" l="1"/>
  <c r="AN3504" i="1"/>
  <c r="AE3918" i="1"/>
  <c r="AF3506" i="1" l="1"/>
  <c r="AN3505" i="1"/>
  <c r="AE3919" i="1"/>
  <c r="AF3507" i="1" l="1"/>
  <c r="AN3506" i="1"/>
  <c r="AE3920" i="1"/>
  <c r="AF3508" i="1" l="1"/>
  <c r="AN3507" i="1"/>
  <c r="AE3921" i="1"/>
  <c r="AF3509" i="1" l="1"/>
  <c r="AN3508" i="1"/>
  <c r="AE3922" i="1"/>
  <c r="AF3510" i="1" l="1"/>
  <c r="AN3509" i="1"/>
  <c r="AE3923" i="1"/>
  <c r="AF3511" i="1" l="1"/>
  <c r="AN3510" i="1"/>
  <c r="AE3924" i="1"/>
  <c r="AF3512" i="1" l="1"/>
  <c r="AN3511" i="1"/>
  <c r="AE3925" i="1"/>
  <c r="AF3513" i="1" l="1"/>
  <c r="AN3512" i="1"/>
  <c r="AE3926" i="1"/>
  <c r="AF3514" i="1" l="1"/>
  <c r="AN3513" i="1"/>
  <c r="AE3927" i="1"/>
  <c r="AF3515" i="1" l="1"/>
  <c r="AN3514" i="1"/>
  <c r="AE3928" i="1"/>
  <c r="AF3516" i="1" l="1"/>
  <c r="AN3515" i="1"/>
  <c r="AE3929" i="1"/>
  <c r="AF3517" i="1" l="1"/>
  <c r="AN3516" i="1"/>
  <c r="AE3930" i="1"/>
  <c r="AF3518" i="1" l="1"/>
  <c r="AN3517" i="1"/>
  <c r="AE3931" i="1"/>
  <c r="AF3519" i="1" l="1"/>
  <c r="AN3518" i="1"/>
  <c r="AE3932" i="1"/>
  <c r="AF3520" i="1" l="1"/>
  <c r="AN3519" i="1"/>
  <c r="AE3933" i="1"/>
  <c r="AF3521" i="1" l="1"/>
  <c r="AN3520" i="1"/>
  <c r="AE3934" i="1"/>
  <c r="AF3522" i="1" l="1"/>
  <c r="AN3521" i="1"/>
  <c r="AE3935" i="1"/>
  <c r="AF3523" i="1" l="1"/>
  <c r="AN3522" i="1"/>
  <c r="AE3936" i="1"/>
  <c r="AF3524" i="1" l="1"/>
  <c r="AN3523" i="1"/>
  <c r="AE3937" i="1"/>
  <c r="AF3525" i="1" l="1"/>
  <c r="AN3524" i="1"/>
  <c r="AE3938" i="1"/>
  <c r="AF3526" i="1" l="1"/>
  <c r="AN3525" i="1"/>
  <c r="AE3939" i="1"/>
  <c r="AF3527" i="1" l="1"/>
  <c r="AN3526" i="1"/>
  <c r="AE3940" i="1"/>
  <c r="AF3528" i="1" l="1"/>
  <c r="AN3527" i="1"/>
  <c r="AE3941" i="1"/>
  <c r="AF3529" i="1" l="1"/>
  <c r="AN3528" i="1"/>
  <c r="AE3942" i="1"/>
  <c r="AF3530" i="1" l="1"/>
  <c r="AN3529" i="1"/>
  <c r="AE3943" i="1"/>
  <c r="AF3531" i="1" l="1"/>
  <c r="AN3530" i="1"/>
  <c r="AE3944" i="1"/>
  <c r="AF3532" i="1" l="1"/>
  <c r="AN3531" i="1"/>
  <c r="AE3945" i="1"/>
  <c r="AF3533" i="1" l="1"/>
  <c r="AN3532" i="1"/>
  <c r="AE3946" i="1"/>
  <c r="AF3534" i="1" l="1"/>
  <c r="AN3533" i="1"/>
  <c r="AE3947" i="1"/>
  <c r="AF3535" i="1" l="1"/>
  <c r="AN3534" i="1"/>
  <c r="AE3948" i="1"/>
  <c r="AF3536" i="1" l="1"/>
  <c r="AN3535" i="1"/>
  <c r="AE3949" i="1"/>
  <c r="AF3537" i="1" l="1"/>
  <c r="AN3536" i="1"/>
  <c r="AE3950" i="1"/>
  <c r="AF3538" i="1" l="1"/>
  <c r="AN3537" i="1"/>
  <c r="AE3951" i="1"/>
  <c r="AF3539" i="1" l="1"/>
  <c r="AN3538" i="1"/>
  <c r="AE3952" i="1"/>
  <c r="AF3540" i="1" l="1"/>
  <c r="AN3539" i="1"/>
  <c r="AE3953" i="1"/>
  <c r="AF3541" i="1" l="1"/>
  <c r="AN3540" i="1"/>
  <c r="AE3954" i="1"/>
  <c r="AF3542" i="1" l="1"/>
  <c r="AN3541" i="1"/>
  <c r="AE3955" i="1"/>
  <c r="AF3543" i="1" l="1"/>
  <c r="AN3542" i="1"/>
  <c r="AE3956" i="1"/>
  <c r="AF3544" i="1" l="1"/>
  <c r="AN3543" i="1"/>
  <c r="AE3957" i="1"/>
  <c r="AF3545" i="1" l="1"/>
  <c r="AN3544" i="1"/>
  <c r="AE3958" i="1"/>
  <c r="AF3546" i="1" l="1"/>
  <c r="AN3545" i="1"/>
  <c r="AE3959" i="1"/>
  <c r="AF3547" i="1" l="1"/>
  <c r="AN3546" i="1"/>
  <c r="AE3960" i="1"/>
  <c r="AF3548" i="1" l="1"/>
  <c r="AN3547" i="1"/>
  <c r="AE3961" i="1"/>
  <c r="AF3549" i="1" l="1"/>
  <c r="AN3548" i="1"/>
  <c r="AE3962" i="1"/>
  <c r="AF3550" i="1" l="1"/>
  <c r="AN3549" i="1"/>
  <c r="AE3963" i="1"/>
  <c r="AF3551" i="1" l="1"/>
  <c r="AN3550" i="1"/>
  <c r="AE3964" i="1"/>
  <c r="AF3552" i="1" l="1"/>
  <c r="AN3551" i="1"/>
  <c r="AE3965" i="1"/>
  <c r="AF3553" i="1" l="1"/>
  <c r="AN3552" i="1"/>
  <c r="AE3966" i="1"/>
  <c r="AF3554" i="1" l="1"/>
  <c r="AN3553" i="1"/>
  <c r="AE3967" i="1"/>
  <c r="AF3555" i="1" l="1"/>
  <c r="AN3554" i="1"/>
  <c r="AE3968" i="1"/>
  <c r="AF3556" i="1" l="1"/>
  <c r="AN3555" i="1"/>
  <c r="AE3969" i="1"/>
  <c r="AF3557" i="1" l="1"/>
  <c r="AN3556" i="1"/>
  <c r="AE3970" i="1"/>
  <c r="AF3558" i="1" l="1"/>
  <c r="AN3557" i="1"/>
  <c r="AE3971" i="1"/>
  <c r="AF3559" i="1" l="1"/>
  <c r="AN3558" i="1"/>
  <c r="AE3972" i="1"/>
  <c r="AF3560" i="1" l="1"/>
  <c r="AN3559" i="1"/>
  <c r="AE3973" i="1"/>
  <c r="AF3561" i="1" l="1"/>
  <c r="AN3560" i="1"/>
  <c r="AE3974" i="1"/>
  <c r="AF3562" i="1" l="1"/>
  <c r="AN3561" i="1"/>
  <c r="AE3975" i="1"/>
  <c r="AF3563" i="1" l="1"/>
  <c r="AN3562" i="1"/>
  <c r="AE3976" i="1"/>
  <c r="AF3564" i="1" l="1"/>
  <c r="AN3563" i="1"/>
  <c r="AE3977" i="1"/>
  <c r="AF3565" i="1" l="1"/>
  <c r="AN3564" i="1"/>
  <c r="AE3978" i="1"/>
  <c r="AF3566" i="1" l="1"/>
  <c r="AN3565" i="1"/>
  <c r="AE3979" i="1"/>
  <c r="AF3567" i="1" l="1"/>
  <c r="AN3566" i="1"/>
  <c r="AE3980" i="1"/>
  <c r="AF3568" i="1" l="1"/>
  <c r="AN3567" i="1"/>
  <c r="AE3981" i="1"/>
  <c r="AF3569" i="1" l="1"/>
  <c r="AN3568" i="1"/>
  <c r="AE3982" i="1"/>
  <c r="AF3570" i="1" l="1"/>
  <c r="AN3569" i="1"/>
  <c r="AE3983" i="1"/>
  <c r="AF3571" i="1" l="1"/>
  <c r="AN3570" i="1"/>
  <c r="AE3984" i="1"/>
  <c r="AF3572" i="1" l="1"/>
  <c r="AN3571" i="1"/>
  <c r="AE3985" i="1"/>
  <c r="AF3573" i="1" l="1"/>
  <c r="AN3572" i="1"/>
  <c r="AE3986" i="1"/>
  <c r="AF3574" i="1" l="1"/>
  <c r="AN3573" i="1"/>
  <c r="AE3987" i="1"/>
  <c r="AF3575" i="1" l="1"/>
  <c r="AN3574" i="1"/>
  <c r="AE3988" i="1"/>
  <c r="AF3576" i="1" l="1"/>
  <c r="AN3575" i="1"/>
  <c r="AE3989" i="1"/>
  <c r="AF3577" i="1" l="1"/>
  <c r="AN3576" i="1"/>
  <c r="AE3990" i="1"/>
  <c r="AF3578" i="1" l="1"/>
  <c r="AN3577" i="1"/>
  <c r="AE3991" i="1"/>
  <c r="AF3579" i="1" l="1"/>
  <c r="AN3578" i="1"/>
  <c r="AE3992" i="1"/>
  <c r="AF3580" i="1" l="1"/>
  <c r="AN3579" i="1"/>
  <c r="AE3993" i="1"/>
  <c r="AF3581" i="1" l="1"/>
  <c r="AN3580" i="1"/>
  <c r="AE3994" i="1"/>
  <c r="AF3582" i="1" l="1"/>
  <c r="AN3581" i="1"/>
  <c r="AE3995" i="1"/>
  <c r="AF3583" i="1" l="1"/>
  <c r="AN3582" i="1"/>
  <c r="AE3996" i="1"/>
  <c r="AF3584" i="1" l="1"/>
  <c r="AN3583" i="1"/>
  <c r="AE3997" i="1"/>
  <c r="AF3585" i="1" l="1"/>
  <c r="AN3584" i="1"/>
  <c r="AE3998" i="1"/>
  <c r="AF3586" i="1" l="1"/>
  <c r="AN3585" i="1"/>
  <c r="AE3999" i="1"/>
  <c r="AF3587" i="1" l="1"/>
  <c r="AN3586" i="1"/>
  <c r="AE4000" i="1"/>
  <c r="BD5" i="1"/>
  <c r="BE5" i="1" s="1"/>
  <c r="BF5" i="1" s="1"/>
  <c r="AF3588" i="1" l="1"/>
  <c r="AN3587" i="1"/>
  <c r="AF3589" i="1" l="1"/>
  <c r="AN3588" i="1"/>
  <c r="AF3590" i="1" l="1"/>
  <c r="AN3589" i="1"/>
  <c r="AF3591" i="1" l="1"/>
  <c r="AN3590" i="1"/>
  <c r="AF3592" i="1" l="1"/>
  <c r="AN3591" i="1"/>
  <c r="AF3593" i="1" l="1"/>
  <c r="AN3592" i="1"/>
  <c r="AF3594" i="1" l="1"/>
  <c r="AN3593" i="1"/>
  <c r="AF3595" i="1" l="1"/>
  <c r="AN3594" i="1"/>
  <c r="AF3596" i="1" l="1"/>
  <c r="AN3595" i="1"/>
  <c r="AF3597" i="1" l="1"/>
  <c r="AN3596" i="1"/>
  <c r="AF3598" i="1" l="1"/>
  <c r="AN3597" i="1"/>
  <c r="AF3599" i="1" l="1"/>
  <c r="AN3598" i="1"/>
  <c r="AF3600" i="1" l="1"/>
  <c r="AN3599" i="1"/>
  <c r="AF3601" i="1" l="1"/>
  <c r="AN3600" i="1"/>
  <c r="AF3602" i="1" l="1"/>
  <c r="AN3601" i="1"/>
  <c r="AF3603" i="1" l="1"/>
  <c r="AN3602" i="1"/>
  <c r="AF3604" i="1" l="1"/>
  <c r="AN3603" i="1"/>
  <c r="AF3605" i="1" l="1"/>
  <c r="AN3604" i="1"/>
  <c r="AF3606" i="1" l="1"/>
  <c r="AN3605" i="1"/>
  <c r="AF3607" i="1" l="1"/>
  <c r="AN3606" i="1"/>
  <c r="AF3608" i="1" l="1"/>
  <c r="AN3607" i="1"/>
  <c r="AF3609" i="1" l="1"/>
  <c r="AN3608" i="1"/>
  <c r="AF3610" i="1" l="1"/>
  <c r="AN3609" i="1"/>
  <c r="AF3611" i="1" l="1"/>
  <c r="AN3610" i="1"/>
  <c r="AF3612" i="1" l="1"/>
  <c r="AN3611" i="1"/>
  <c r="AF3613" i="1" l="1"/>
  <c r="AN3612" i="1"/>
  <c r="AF3614" i="1" l="1"/>
  <c r="AN3613" i="1"/>
  <c r="AF3615" i="1" l="1"/>
  <c r="AN3614" i="1"/>
  <c r="AF3616" i="1" l="1"/>
  <c r="AN3615" i="1"/>
  <c r="AF3617" i="1" l="1"/>
  <c r="AN3616" i="1"/>
  <c r="AF3618" i="1" l="1"/>
  <c r="AN3617" i="1"/>
  <c r="AF3619" i="1" l="1"/>
  <c r="AN3618" i="1"/>
  <c r="AF3620" i="1" l="1"/>
  <c r="AN3619" i="1"/>
  <c r="AF3621" i="1" l="1"/>
  <c r="AN3620" i="1"/>
  <c r="AF3622" i="1" l="1"/>
  <c r="AN3621" i="1"/>
  <c r="AF3623" i="1" l="1"/>
  <c r="AN3622" i="1"/>
  <c r="AF3624" i="1" l="1"/>
  <c r="AN3623" i="1"/>
  <c r="AF3625" i="1" l="1"/>
  <c r="AN3624" i="1"/>
  <c r="AF3626" i="1" l="1"/>
  <c r="AN3625" i="1"/>
  <c r="AF3627" i="1" l="1"/>
  <c r="AN3626" i="1"/>
  <c r="AF3628" i="1" l="1"/>
  <c r="AN3627" i="1"/>
  <c r="AF3629" i="1" l="1"/>
  <c r="AN3628" i="1"/>
  <c r="AF3630" i="1" l="1"/>
  <c r="AN3629" i="1"/>
  <c r="AF3631" i="1" l="1"/>
  <c r="AN3630" i="1"/>
  <c r="AF3632" i="1" l="1"/>
  <c r="AN3631" i="1"/>
  <c r="AF3633" i="1" l="1"/>
  <c r="AN3632" i="1"/>
  <c r="AF3634" i="1" l="1"/>
  <c r="AN3633" i="1"/>
  <c r="AF3635" i="1" l="1"/>
  <c r="AN3634" i="1"/>
  <c r="AF3636" i="1" l="1"/>
  <c r="AN3635" i="1"/>
  <c r="AF3637" i="1" l="1"/>
  <c r="AN3636" i="1"/>
  <c r="AF3638" i="1" l="1"/>
  <c r="AN3637" i="1"/>
  <c r="AF3639" i="1" l="1"/>
  <c r="AN3638" i="1"/>
  <c r="AF3640" i="1" l="1"/>
  <c r="AN3639" i="1"/>
  <c r="AF3641" i="1" l="1"/>
  <c r="AN3640" i="1"/>
  <c r="AF3642" i="1" l="1"/>
  <c r="AN3641" i="1"/>
  <c r="AF3643" i="1" l="1"/>
  <c r="AN3642" i="1"/>
  <c r="AF3644" i="1" l="1"/>
  <c r="AN3643" i="1"/>
  <c r="AF3645" i="1" l="1"/>
  <c r="AN3644" i="1"/>
  <c r="AF3646" i="1" l="1"/>
  <c r="AN3645" i="1"/>
  <c r="AF3647" i="1" l="1"/>
  <c r="AN3646" i="1"/>
  <c r="AF3648" i="1" l="1"/>
  <c r="AN3647" i="1"/>
  <c r="AF3649" i="1" l="1"/>
  <c r="AN3648" i="1"/>
  <c r="AF3650" i="1" l="1"/>
  <c r="AN3649" i="1"/>
  <c r="AF3651" i="1" l="1"/>
  <c r="AN3650" i="1"/>
  <c r="AF3652" i="1" l="1"/>
  <c r="AN3651" i="1"/>
  <c r="AF3653" i="1" l="1"/>
  <c r="AN3652" i="1"/>
  <c r="AF3654" i="1" l="1"/>
  <c r="AN3653" i="1"/>
  <c r="AF3655" i="1" l="1"/>
  <c r="AN3654" i="1"/>
  <c r="AF3656" i="1" l="1"/>
  <c r="AN3655" i="1"/>
  <c r="AF3657" i="1" l="1"/>
  <c r="AN3656" i="1"/>
  <c r="AF3658" i="1" l="1"/>
  <c r="AN3657" i="1"/>
  <c r="AF3659" i="1" l="1"/>
  <c r="AN3658" i="1"/>
  <c r="AF3660" i="1" l="1"/>
  <c r="AN3659" i="1"/>
  <c r="AF3661" i="1" l="1"/>
  <c r="AN3660" i="1"/>
  <c r="AF3662" i="1" l="1"/>
  <c r="AN3661" i="1"/>
  <c r="AF3663" i="1" l="1"/>
  <c r="AN3662" i="1"/>
  <c r="AF3664" i="1" l="1"/>
  <c r="AN3663" i="1"/>
  <c r="AF3665" i="1" l="1"/>
  <c r="AN3664" i="1"/>
  <c r="AF3666" i="1" l="1"/>
  <c r="AN3665" i="1"/>
  <c r="AF3667" i="1" l="1"/>
  <c r="AN3666" i="1"/>
  <c r="AF3668" i="1" l="1"/>
  <c r="AN3667" i="1"/>
  <c r="AF3669" i="1" l="1"/>
  <c r="AN3668" i="1"/>
  <c r="AF3670" i="1" l="1"/>
  <c r="AN3669" i="1"/>
  <c r="AF3671" i="1" l="1"/>
  <c r="AN3670" i="1"/>
  <c r="AF3672" i="1" l="1"/>
  <c r="AN3671" i="1"/>
  <c r="AF3673" i="1" l="1"/>
  <c r="AN3672" i="1"/>
  <c r="AF3674" i="1" l="1"/>
  <c r="AN3673" i="1"/>
  <c r="AF3675" i="1" l="1"/>
  <c r="AN3674" i="1"/>
  <c r="AF3676" i="1" l="1"/>
  <c r="AN3675" i="1"/>
  <c r="AF3677" i="1" l="1"/>
  <c r="AN3676" i="1"/>
  <c r="AF3678" i="1" l="1"/>
  <c r="AN3677" i="1"/>
  <c r="AF3679" i="1" l="1"/>
  <c r="AN3678" i="1"/>
  <c r="AF3680" i="1" l="1"/>
  <c r="AN3679" i="1"/>
  <c r="AF3681" i="1" l="1"/>
  <c r="AN3680" i="1"/>
  <c r="AF3682" i="1" l="1"/>
  <c r="AN3681" i="1"/>
  <c r="AF3683" i="1" l="1"/>
  <c r="AN3682" i="1"/>
  <c r="AF3684" i="1" l="1"/>
  <c r="AN3683" i="1"/>
  <c r="AF3685" i="1" l="1"/>
  <c r="AN3684" i="1"/>
  <c r="AF3686" i="1" l="1"/>
  <c r="AN3685" i="1"/>
  <c r="AF3687" i="1" l="1"/>
  <c r="AN3686" i="1"/>
  <c r="AF3688" i="1" l="1"/>
  <c r="AN3687" i="1"/>
  <c r="AF3689" i="1" l="1"/>
  <c r="AN3688" i="1"/>
  <c r="AF3690" i="1" l="1"/>
  <c r="AN3689" i="1"/>
  <c r="AF3691" i="1" l="1"/>
  <c r="AN3690" i="1"/>
  <c r="AF3692" i="1" l="1"/>
  <c r="AN3691" i="1"/>
  <c r="AF3693" i="1" l="1"/>
  <c r="AN3692" i="1"/>
  <c r="AF3694" i="1" l="1"/>
  <c r="AN3693" i="1"/>
  <c r="AF3695" i="1" l="1"/>
  <c r="AN3694" i="1"/>
  <c r="AF3696" i="1" l="1"/>
  <c r="AN3695" i="1"/>
  <c r="AF3697" i="1" l="1"/>
  <c r="AN3696" i="1"/>
  <c r="AF3698" i="1" l="1"/>
  <c r="AN3697" i="1"/>
  <c r="AF3699" i="1" l="1"/>
  <c r="AN3698" i="1"/>
  <c r="AF3700" i="1" l="1"/>
  <c r="AN3699" i="1"/>
  <c r="AF3701" i="1" l="1"/>
  <c r="AN3700" i="1"/>
  <c r="AF3702" i="1" l="1"/>
  <c r="AN3701" i="1"/>
  <c r="AF3703" i="1" l="1"/>
  <c r="AN3702" i="1"/>
  <c r="AF3704" i="1" l="1"/>
  <c r="AN3703" i="1"/>
  <c r="AF3705" i="1" l="1"/>
  <c r="AN3704" i="1"/>
  <c r="AF3706" i="1" l="1"/>
  <c r="AN3705" i="1"/>
  <c r="AF3707" i="1" l="1"/>
  <c r="AN3706" i="1"/>
  <c r="AF3708" i="1" l="1"/>
  <c r="AN3707" i="1"/>
  <c r="AF3709" i="1" l="1"/>
  <c r="AN3708" i="1"/>
  <c r="AF3710" i="1" l="1"/>
  <c r="AN3709" i="1"/>
  <c r="AF3711" i="1" l="1"/>
  <c r="AN3710" i="1"/>
  <c r="AF3712" i="1" l="1"/>
  <c r="AN3711" i="1"/>
  <c r="AF3713" i="1" l="1"/>
  <c r="AN3712" i="1"/>
  <c r="AF3714" i="1" l="1"/>
  <c r="AN3713" i="1"/>
  <c r="AF3715" i="1" l="1"/>
  <c r="AN3714" i="1"/>
  <c r="AF3716" i="1" l="1"/>
  <c r="AN3715" i="1"/>
  <c r="AF3717" i="1" l="1"/>
  <c r="AN3716" i="1"/>
  <c r="AF3718" i="1" l="1"/>
  <c r="AN3717" i="1"/>
  <c r="AF3719" i="1" l="1"/>
  <c r="AN3718" i="1"/>
  <c r="AF3720" i="1" l="1"/>
  <c r="AN3719" i="1"/>
  <c r="AF3721" i="1" l="1"/>
  <c r="AN3720" i="1"/>
  <c r="AF3722" i="1" l="1"/>
  <c r="AN3721" i="1"/>
  <c r="AF3723" i="1" l="1"/>
  <c r="AN3722" i="1"/>
  <c r="AF3724" i="1" l="1"/>
  <c r="AN3723" i="1"/>
  <c r="AF3725" i="1" l="1"/>
  <c r="AN3724" i="1"/>
  <c r="AF3726" i="1" l="1"/>
  <c r="AN3725" i="1"/>
  <c r="AF3727" i="1" l="1"/>
  <c r="AN3726" i="1"/>
  <c r="AF3728" i="1" l="1"/>
  <c r="AN3727" i="1"/>
  <c r="AF3729" i="1" l="1"/>
  <c r="AN3728" i="1"/>
  <c r="AF3730" i="1" l="1"/>
  <c r="AN3729" i="1"/>
  <c r="AF3731" i="1" l="1"/>
  <c r="AN3730" i="1"/>
  <c r="AF3732" i="1" l="1"/>
  <c r="AN3731" i="1"/>
  <c r="AF3733" i="1" l="1"/>
  <c r="AN3732" i="1"/>
  <c r="AF3734" i="1" l="1"/>
  <c r="AN3733" i="1"/>
  <c r="AF3735" i="1" l="1"/>
  <c r="AN3734" i="1"/>
  <c r="AF3736" i="1" l="1"/>
  <c r="AN3735" i="1"/>
  <c r="AF3737" i="1" l="1"/>
  <c r="AN3736" i="1"/>
  <c r="AF3738" i="1" l="1"/>
  <c r="AN3737" i="1"/>
  <c r="AF3739" i="1" l="1"/>
  <c r="AN3738" i="1"/>
  <c r="AF3740" i="1" l="1"/>
  <c r="AN3739" i="1"/>
  <c r="AF3741" i="1" l="1"/>
  <c r="AN3740" i="1"/>
  <c r="AF3742" i="1" l="1"/>
  <c r="AN3741" i="1"/>
  <c r="AF3743" i="1" l="1"/>
  <c r="AN3742" i="1"/>
  <c r="AF3744" i="1" l="1"/>
  <c r="AN3743" i="1"/>
  <c r="AF3745" i="1" l="1"/>
  <c r="AN3744" i="1"/>
  <c r="AF3746" i="1" l="1"/>
  <c r="AN3745" i="1"/>
  <c r="AF3747" i="1" l="1"/>
  <c r="AN3746" i="1"/>
  <c r="AF3748" i="1" l="1"/>
  <c r="AN3747" i="1"/>
  <c r="AF3749" i="1" l="1"/>
  <c r="AN3748" i="1"/>
  <c r="AF3750" i="1" l="1"/>
  <c r="AN3749" i="1"/>
  <c r="AF3751" i="1" l="1"/>
  <c r="AN3750" i="1"/>
  <c r="AF3752" i="1" l="1"/>
  <c r="AN3751" i="1"/>
  <c r="AF3753" i="1" l="1"/>
  <c r="AN3752" i="1"/>
  <c r="AF3754" i="1" l="1"/>
  <c r="AN3753" i="1"/>
  <c r="AF3755" i="1" l="1"/>
  <c r="AN3754" i="1"/>
  <c r="AF3756" i="1" l="1"/>
  <c r="AN3755" i="1"/>
  <c r="AF3757" i="1" l="1"/>
  <c r="AN3756" i="1"/>
  <c r="AF3758" i="1" l="1"/>
  <c r="AN3757" i="1"/>
  <c r="AF3759" i="1" l="1"/>
  <c r="AN3758" i="1"/>
  <c r="AF3760" i="1" l="1"/>
  <c r="AN3759" i="1"/>
  <c r="AF3761" i="1" l="1"/>
  <c r="AN3760" i="1"/>
  <c r="AF3762" i="1" l="1"/>
  <c r="AN3761" i="1"/>
  <c r="AF3763" i="1" l="1"/>
  <c r="AN3762" i="1"/>
  <c r="AF3764" i="1" l="1"/>
  <c r="AN3763" i="1"/>
  <c r="AF3765" i="1" l="1"/>
  <c r="AN3764" i="1"/>
  <c r="AF3766" i="1" l="1"/>
  <c r="AN3765" i="1"/>
  <c r="AF3767" i="1" l="1"/>
  <c r="AN3766" i="1"/>
  <c r="AF3768" i="1" l="1"/>
  <c r="AN3767" i="1"/>
  <c r="AF3769" i="1" l="1"/>
  <c r="AN3768" i="1"/>
  <c r="AF3770" i="1" l="1"/>
  <c r="AN3769" i="1"/>
  <c r="AF3771" i="1" l="1"/>
  <c r="AN3770" i="1"/>
  <c r="AF3772" i="1" l="1"/>
  <c r="AN3771" i="1"/>
  <c r="AF3773" i="1" l="1"/>
  <c r="AN3772" i="1"/>
  <c r="AF3774" i="1" l="1"/>
  <c r="AN3773" i="1"/>
  <c r="AF3775" i="1" l="1"/>
  <c r="AN3774" i="1"/>
  <c r="AF3776" i="1" l="1"/>
  <c r="AN3775" i="1"/>
  <c r="AF3777" i="1" l="1"/>
  <c r="AN3776" i="1"/>
  <c r="AF3778" i="1" l="1"/>
  <c r="AN3777" i="1"/>
  <c r="AF3779" i="1" l="1"/>
  <c r="AN3778" i="1"/>
  <c r="AF3780" i="1" l="1"/>
  <c r="AN3779" i="1"/>
  <c r="AF3781" i="1" l="1"/>
  <c r="AN3780" i="1"/>
  <c r="AF3782" i="1" l="1"/>
  <c r="AN3781" i="1"/>
  <c r="AF3783" i="1" l="1"/>
  <c r="AN3782" i="1"/>
  <c r="AF3784" i="1" l="1"/>
  <c r="AN3783" i="1"/>
  <c r="AF3785" i="1" l="1"/>
  <c r="AN3784" i="1"/>
  <c r="AF3786" i="1" l="1"/>
  <c r="AN3785" i="1"/>
  <c r="AF3787" i="1" l="1"/>
  <c r="AN3786" i="1"/>
  <c r="AF3788" i="1" l="1"/>
  <c r="AN3787" i="1"/>
  <c r="AF3789" i="1" l="1"/>
  <c r="AN3788" i="1"/>
  <c r="AF3790" i="1" l="1"/>
  <c r="AN3789" i="1"/>
  <c r="AF3791" i="1" l="1"/>
  <c r="AN3790" i="1"/>
  <c r="AF3792" i="1" l="1"/>
  <c r="AN3791" i="1"/>
  <c r="AF3793" i="1" l="1"/>
  <c r="AN3792" i="1"/>
  <c r="AF3794" i="1" l="1"/>
  <c r="AN3793" i="1"/>
  <c r="AF3795" i="1" l="1"/>
  <c r="AN3794" i="1"/>
  <c r="AF3796" i="1" l="1"/>
  <c r="AN3795" i="1"/>
  <c r="AF3797" i="1" l="1"/>
  <c r="AN3796" i="1"/>
  <c r="AF3798" i="1" l="1"/>
  <c r="AN3797" i="1"/>
  <c r="AF3799" i="1" l="1"/>
  <c r="AN3798" i="1"/>
  <c r="AF3800" i="1" l="1"/>
  <c r="AN3799" i="1"/>
  <c r="AF3801" i="1" l="1"/>
  <c r="AN3800" i="1"/>
  <c r="AF3802" i="1" l="1"/>
  <c r="AN3801" i="1"/>
  <c r="AF3803" i="1" l="1"/>
  <c r="AN3802" i="1"/>
  <c r="AF3804" i="1" l="1"/>
  <c r="AN3803" i="1"/>
  <c r="AF3805" i="1" l="1"/>
  <c r="AN3804" i="1"/>
  <c r="AF3806" i="1" l="1"/>
  <c r="AN3805" i="1"/>
  <c r="AF3807" i="1" l="1"/>
  <c r="AN3806" i="1"/>
  <c r="AF3808" i="1" l="1"/>
  <c r="AN3807" i="1"/>
  <c r="AF3809" i="1" l="1"/>
  <c r="AN3808" i="1"/>
  <c r="AF3810" i="1" l="1"/>
  <c r="AN3809" i="1"/>
  <c r="AF3811" i="1" l="1"/>
  <c r="AN3810" i="1"/>
  <c r="AF3812" i="1" l="1"/>
  <c r="AN3811" i="1"/>
  <c r="AF3813" i="1" l="1"/>
  <c r="AN3812" i="1"/>
  <c r="AF3814" i="1" l="1"/>
  <c r="AN3813" i="1"/>
  <c r="AF3815" i="1" l="1"/>
  <c r="AN3814" i="1"/>
  <c r="AF3816" i="1" l="1"/>
  <c r="AN3815" i="1"/>
  <c r="AF3817" i="1" l="1"/>
  <c r="AN3816" i="1"/>
  <c r="AF3818" i="1" l="1"/>
  <c r="AN3817" i="1"/>
  <c r="AF3819" i="1" l="1"/>
  <c r="AN3818" i="1"/>
  <c r="AF3820" i="1" l="1"/>
  <c r="AN3819" i="1"/>
  <c r="AF3821" i="1" l="1"/>
  <c r="AN3820" i="1"/>
  <c r="AF3822" i="1" l="1"/>
  <c r="AN3821" i="1"/>
  <c r="AF3823" i="1" l="1"/>
  <c r="AN3822" i="1"/>
  <c r="AF3824" i="1" l="1"/>
  <c r="AN3823" i="1"/>
  <c r="AF3825" i="1" l="1"/>
  <c r="AN3824" i="1"/>
  <c r="AF3826" i="1" l="1"/>
  <c r="AN3825" i="1"/>
  <c r="AF3827" i="1" l="1"/>
  <c r="AN3826" i="1"/>
  <c r="AF3828" i="1" l="1"/>
  <c r="AN3827" i="1"/>
  <c r="AF3829" i="1" l="1"/>
  <c r="AN3828" i="1"/>
  <c r="AF3830" i="1" l="1"/>
  <c r="AN3829" i="1"/>
  <c r="AF3831" i="1" l="1"/>
  <c r="AN3830" i="1"/>
  <c r="AF3832" i="1" l="1"/>
  <c r="AN3831" i="1"/>
  <c r="AF3833" i="1" l="1"/>
  <c r="AN3832" i="1"/>
  <c r="AF3834" i="1" l="1"/>
  <c r="AN3833" i="1"/>
  <c r="AF3835" i="1" l="1"/>
  <c r="AN3834" i="1"/>
  <c r="AF3836" i="1" l="1"/>
  <c r="AN3835" i="1"/>
  <c r="AF3837" i="1" l="1"/>
  <c r="AN3836" i="1"/>
  <c r="AF3838" i="1" l="1"/>
  <c r="AN3837" i="1"/>
  <c r="AF3839" i="1" l="1"/>
  <c r="AN3838" i="1"/>
  <c r="AF3840" i="1" l="1"/>
  <c r="AN3839" i="1"/>
  <c r="AF3841" i="1" l="1"/>
  <c r="AN3840" i="1"/>
  <c r="AF3842" i="1" l="1"/>
  <c r="AN3841" i="1"/>
  <c r="AF3843" i="1" l="1"/>
  <c r="AN3842" i="1"/>
  <c r="AF3844" i="1" l="1"/>
  <c r="AN3843" i="1"/>
  <c r="AF3845" i="1" l="1"/>
  <c r="AN3844" i="1"/>
  <c r="AF3846" i="1" l="1"/>
  <c r="AN3845" i="1"/>
  <c r="AF3847" i="1" l="1"/>
  <c r="AN3846" i="1"/>
  <c r="AF3848" i="1" l="1"/>
  <c r="AN3847" i="1"/>
  <c r="AF3849" i="1" l="1"/>
  <c r="AN3848" i="1"/>
  <c r="AF3850" i="1" l="1"/>
  <c r="AN3849" i="1"/>
  <c r="AF3851" i="1" l="1"/>
  <c r="AN3850" i="1"/>
  <c r="AF3852" i="1" l="1"/>
  <c r="AN3851" i="1"/>
  <c r="AF3853" i="1" l="1"/>
  <c r="AN3852" i="1"/>
  <c r="AF3854" i="1" l="1"/>
  <c r="AN3853" i="1"/>
  <c r="AF3855" i="1" l="1"/>
  <c r="AN3854" i="1"/>
  <c r="AF3856" i="1" l="1"/>
  <c r="AN3855" i="1"/>
  <c r="AF3857" i="1" l="1"/>
  <c r="AN3856" i="1"/>
  <c r="AF3858" i="1" l="1"/>
  <c r="AN3857" i="1"/>
  <c r="AF3859" i="1" l="1"/>
  <c r="AN3858" i="1"/>
  <c r="AF3860" i="1" l="1"/>
  <c r="AN3859" i="1"/>
  <c r="AF3861" i="1" l="1"/>
  <c r="AN3860" i="1"/>
  <c r="AF3862" i="1" l="1"/>
  <c r="AN3861" i="1"/>
  <c r="AF3863" i="1" l="1"/>
  <c r="AN3862" i="1"/>
  <c r="AF3864" i="1" l="1"/>
  <c r="AN3863" i="1"/>
  <c r="AF3865" i="1" l="1"/>
  <c r="AN3864" i="1"/>
  <c r="AF3866" i="1" l="1"/>
  <c r="AN3865" i="1"/>
  <c r="AF3867" i="1" l="1"/>
  <c r="AN3866" i="1"/>
  <c r="AF3868" i="1" l="1"/>
  <c r="AN3867" i="1"/>
  <c r="AF3869" i="1" l="1"/>
  <c r="AN3868" i="1"/>
  <c r="AF3870" i="1" l="1"/>
  <c r="AN3869" i="1"/>
  <c r="AF3871" i="1" l="1"/>
  <c r="AN3870" i="1"/>
  <c r="AF3872" i="1" l="1"/>
  <c r="AN3871" i="1"/>
  <c r="AF3873" i="1" l="1"/>
  <c r="AN3872" i="1"/>
  <c r="AF3874" i="1" l="1"/>
  <c r="AN3873" i="1"/>
  <c r="AF3875" i="1" l="1"/>
  <c r="AN3874" i="1"/>
  <c r="AF3876" i="1" l="1"/>
  <c r="AN3875" i="1"/>
  <c r="AF3877" i="1" l="1"/>
  <c r="AN3876" i="1"/>
  <c r="AF3878" i="1" l="1"/>
  <c r="AN3877" i="1"/>
  <c r="AF3879" i="1" l="1"/>
  <c r="AN3878" i="1"/>
  <c r="AF3880" i="1" l="1"/>
  <c r="AN3879" i="1"/>
  <c r="AF3881" i="1" l="1"/>
  <c r="AN3880" i="1"/>
  <c r="AF3882" i="1" l="1"/>
  <c r="AN3881" i="1"/>
  <c r="AF3883" i="1" l="1"/>
  <c r="AN3882" i="1"/>
  <c r="AF3884" i="1" l="1"/>
  <c r="AN3883" i="1"/>
  <c r="AF3885" i="1" l="1"/>
  <c r="AN3884" i="1"/>
  <c r="AF3886" i="1" l="1"/>
  <c r="AN3885" i="1"/>
  <c r="AF3887" i="1" l="1"/>
  <c r="AN3886" i="1"/>
  <c r="AF3888" i="1" l="1"/>
  <c r="AN3887" i="1"/>
  <c r="AF3889" i="1" l="1"/>
  <c r="AN3888" i="1"/>
  <c r="AF3890" i="1" l="1"/>
  <c r="AN3889" i="1"/>
  <c r="AF3891" i="1" l="1"/>
  <c r="AN3890" i="1"/>
  <c r="AF3892" i="1" l="1"/>
  <c r="AN3891" i="1"/>
  <c r="AF3893" i="1" l="1"/>
  <c r="AN3892" i="1"/>
  <c r="AF3894" i="1" l="1"/>
  <c r="AN3893" i="1"/>
  <c r="AF3895" i="1" l="1"/>
  <c r="AN3894" i="1"/>
  <c r="AF3896" i="1" l="1"/>
  <c r="AN3895" i="1"/>
  <c r="AF3897" i="1" l="1"/>
  <c r="AN3896" i="1"/>
  <c r="AF3898" i="1" l="1"/>
  <c r="AN3897" i="1"/>
  <c r="AF3899" i="1" l="1"/>
  <c r="AN3898" i="1"/>
  <c r="AF3900" i="1" l="1"/>
  <c r="AN3899" i="1"/>
  <c r="AF3901" i="1" l="1"/>
  <c r="AN3900" i="1"/>
  <c r="AF3902" i="1" l="1"/>
  <c r="AN3901" i="1"/>
  <c r="AF3903" i="1" l="1"/>
  <c r="AN3902" i="1"/>
  <c r="AF3904" i="1" l="1"/>
  <c r="AN3903" i="1"/>
  <c r="AF3905" i="1" l="1"/>
  <c r="AN3904" i="1"/>
  <c r="AF3906" i="1" l="1"/>
  <c r="AN3905" i="1"/>
  <c r="AF3907" i="1" l="1"/>
  <c r="AN3906" i="1"/>
  <c r="AF3908" i="1" l="1"/>
  <c r="AN3907" i="1"/>
  <c r="AF3909" i="1" l="1"/>
  <c r="AN3908" i="1"/>
  <c r="AF3910" i="1" l="1"/>
  <c r="AN3909" i="1"/>
  <c r="AF3911" i="1" l="1"/>
  <c r="AN3910" i="1"/>
  <c r="AF3912" i="1" l="1"/>
  <c r="AN3911" i="1"/>
  <c r="AF3913" i="1" l="1"/>
  <c r="AN3912" i="1"/>
  <c r="AF3914" i="1" l="1"/>
  <c r="AN3913" i="1"/>
  <c r="AF3915" i="1" l="1"/>
  <c r="AN3914" i="1"/>
  <c r="AF3916" i="1" l="1"/>
  <c r="AN3915" i="1"/>
  <c r="AF3917" i="1" l="1"/>
  <c r="AN3916" i="1"/>
  <c r="AF3918" i="1" l="1"/>
  <c r="AN3917" i="1"/>
  <c r="AF3919" i="1" l="1"/>
  <c r="AN3918" i="1"/>
  <c r="AF3920" i="1" l="1"/>
  <c r="AN3919" i="1"/>
  <c r="AF3921" i="1" l="1"/>
  <c r="AN3920" i="1"/>
  <c r="AF3922" i="1" l="1"/>
  <c r="AN3921" i="1"/>
  <c r="AF3923" i="1" l="1"/>
  <c r="AN3922" i="1"/>
  <c r="AF3924" i="1" l="1"/>
  <c r="AN3923" i="1"/>
  <c r="AF3925" i="1" l="1"/>
  <c r="AN3924" i="1"/>
  <c r="AF3926" i="1" l="1"/>
  <c r="AN3925" i="1"/>
  <c r="AF3927" i="1" l="1"/>
  <c r="AN3926" i="1"/>
  <c r="AF3928" i="1" l="1"/>
  <c r="AN3927" i="1"/>
  <c r="AF3929" i="1" l="1"/>
  <c r="AN3928" i="1"/>
  <c r="AF3930" i="1" l="1"/>
  <c r="AN3929" i="1"/>
  <c r="AF3931" i="1" l="1"/>
  <c r="AN3930" i="1"/>
  <c r="AF3932" i="1" l="1"/>
  <c r="AN3931" i="1"/>
  <c r="AF3933" i="1" l="1"/>
  <c r="AN3932" i="1"/>
  <c r="AF3934" i="1" l="1"/>
  <c r="AN3933" i="1"/>
  <c r="AF3935" i="1" l="1"/>
  <c r="AN3934" i="1"/>
  <c r="AF3936" i="1" l="1"/>
  <c r="AN3935" i="1"/>
  <c r="AF3937" i="1" l="1"/>
  <c r="AN3936" i="1"/>
  <c r="AF3938" i="1" l="1"/>
  <c r="AN3937" i="1"/>
  <c r="AF3939" i="1" l="1"/>
  <c r="AN3938" i="1"/>
  <c r="AF3940" i="1" l="1"/>
  <c r="AN3939" i="1"/>
  <c r="AF3941" i="1" l="1"/>
  <c r="AN3940" i="1"/>
  <c r="AF3942" i="1" l="1"/>
  <c r="AN3941" i="1"/>
  <c r="AF3943" i="1" l="1"/>
  <c r="AN3942" i="1"/>
  <c r="AF3944" i="1" l="1"/>
  <c r="AN3943" i="1"/>
  <c r="AF3945" i="1" l="1"/>
  <c r="AN3944" i="1"/>
  <c r="AF3946" i="1" l="1"/>
  <c r="AN3945" i="1"/>
  <c r="AF3947" i="1" l="1"/>
  <c r="AN3946" i="1"/>
  <c r="AF3948" i="1" l="1"/>
  <c r="AN3947" i="1"/>
  <c r="AF3949" i="1" l="1"/>
  <c r="AN3948" i="1"/>
  <c r="AF3950" i="1" l="1"/>
  <c r="AN3949" i="1"/>
  <c r="AF3951" i="1" l="1"/>
  <c r="AN3950" i="1"/>
  <c r="AF3952" i="1" l="1"/>
  <c r="AN3951" i="1"/>
  <c r="AF3953" i="1" l="1"/>
  <c r="AN3952" i="1"/>
  <c r="AF3954" i="1" l="1"/>
  <c r="AN3953" i="1"/>
  <c r="AF3955" i="1" l="1"/>
  <c r="AN3954" i="1"/>
  <c r="AF3956" i="1" l="1"/>
  <c r="AN3955" i="1"/>
  <c r="AF3957" i="1" l="1"/>
  <c r="AN3956" i="1"/>
  <c r="AF3958" i="1" l="1"/>
  <c r="AN3957" i="1"/>
  <c r="AF3959" i="1" l="1"/>
  <c r="AN3958" i="1"/>
  <c r="AF3960" i="1" l="1"/>
  <c r="AN3959" i="1"/>
  <c r="AF3961" i="1" l="1"/>
  <c r="AN3960" i="1"/>
  <c r="AF3962" i="1" l="1"/>
  <c r="AN3961" i="1"/>
  <c r="AF3963" i="1" l="1"/>
  <c r="AN3962" i="1"/>
  <c r="AF3964" i="1" l="1"/>
  <c r="AN3963" i="1"/>
  <c r="AF3965" i="1" l="1"/>
  <c r="AN3964" i="1"/>
  <c r="AF3966" i="1" l="1"/>
  <c r="AN3965" i="1"/>
  <c r="AF3967" i="1" l="1"/>
  <c r="AN3966" i="1"/>
  <c r="AF3968" i="1" l="1"/>
  <c r="AN3967" i="1"/>
  <c r="AF3969" i="1" l="1"/>
  <c r="AN3968" i="1"/>
  <c r="AF3970" i="1" l="1"/>
  <c r="AN3969" i="1"/>
  <c r="AF3971" i="1" l="1"/>
  <c r="AN3970" i="1"/>
  <c r="AF3972" i="1" l="1"/>
  <c r="AN3971" i="1"/>
  <c r="AF3973" i="1" l="1"/>
  <c r="AN3972" i="1"/>
  <c r="AF3974" i="1" l="1"/>
  <c r="AN3973" i="1"/>
  <c r="AF3975" i="1" l="1"/>
  <c r="AN3974" i="1"/>
  <c r="AF3976" i="1" l="1"/>
  <c r="AN3975" i="1"/>
  <c r="AF3977" i="1" l="1"/>
  <c r="AN3976" i="1"/>
  <c r="AF3978" i="1" l="1"/>
  <c r="AN3977" i="1"/>
  <c r="AF3979" i="1" l="1"/>
  <c r="AN3978" i="1"/>
  <c r="AF3980" i="1" l="1"/>
  <c r="AN3979" i="1"/>
  <c r="AF3981" i="1" l="1"/>
  <c r="AN3980" i="1"/>
  <c r="AF3982" i="1" l="1"/>
  <c r="AN3981" i="1"/>
  <c r="AF3983" i="1" l="1"/>
  <c r="AN3982" i="1"/>
  <c r="AF3984" i="1" l="1"/>
  <c r="AN3983" i="1"/>
  <c r="AF3985" i="1" l="1"/>
  <c r="AN3984" i="1"/>
  <c r="AF3986" i="1" l="1"/>
  <c r="AN3985" i="1"/>
  <c r="AF3987" i="1" l="1"/>
  <c r="AN3986" i="1"/>
  <c r="AF3988" i="1" l="1"/>
  <c r="AN3987" i="1"/>
  <c r="AF3989" i="1" l="1"/>
  <c r="AN3988" i="1"/>
  <c r="AF3990" i="1" l="1"/>
  <c r="AN3989" i="1"/>
  <c r="AF3991" i="1" l="1"/>
  <c r="AN3990" i="1"/>
  <c r="AF3992" i="1" l="1"/>
  <c r="AN3991" i="1"/>
  <c r="AF3993" i="1" l="1"/>
  <c r="AN3992" i="1"/>
  <c r="AF3994" i="1" l="1"/>
  <c r="AN3993" i="1"/>
  <c r="AF3995" i="1" l="1"/>
  <c r="AN3994" i="1"/>
  <c r="AF3996" i="1" l="1"/>
  <c r="AN3995" i="1"/>
  <c r="AF3997" i="1" l="1"/>
  <c r="AN3996" i="1"/>
  <c r="AF3998" i="1" l="1"/>
  <c r="AN3997" i="1"/>
  <c r="AF3999" i="1" l="1"/>
  <c r="AN3998" i="1"/>
  <c r="AF4000" i="1" l="1"/>
  <c r="AN4000" i="1" s="1"/>
  <c r="AN39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<sst xmlns="http://schemas.openxmlformats.org/spreadsheetml/2006/main" count="12306" uniqueCount="966">
  <si>
    <t>Team</t>
  </si>
  <si>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</si>
  <si>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</si>
  <si>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</si>
  <si>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</si>
  <si>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</si>
  <si>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</si>
  <si>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</si>
  <si>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</si>
  <si>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</si>
  <si>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</si>
  <si>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Zone Entry/Exit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</si>
  <si>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</si>
  <si>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</si>
  <si>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</si>
  <si>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</si>
  <si>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</si>
  <si>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</si>
  <si>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</si>
  <si>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</si>
  <si>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</si>
  <si>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</si>
  <si>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</si>
  <si>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</si>
  <si>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</si>
  <si>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</si>
  <si>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</si>
  <si>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</si>
  <si>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</si>
  <si>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</si>
  <si>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</si>
  <si>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</si>
  <si>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</si>
  <si>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</si>
  <si>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</si>
  <si>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</si>
  <si>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</si>
  <si>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</si>
  <si>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</si>
  <si>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</si>
  <si>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</si>
  <si>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</si>
  <si>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</si>
  <si>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</si>
  <si>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</si>
  <si>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</si>
  <si>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</si>
  <si>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</si>
  <si>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</si>
  <si>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</si>
  <si>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</si>
  <si>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</si>
  <si>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</si>
  <si>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</si>
  <si>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</si>
  <si>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</si>
  <si>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</si>
  <si>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</si>
  <si>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</si>
  <si>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</si>
  <si>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</si>
  <si>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</si>
  <si>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</si>
  <si>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</si>
  <si>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</si>
  <si>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</si>
  <si>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</si>
  <si>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</si>
  <si>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</si>
  <si>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</si>
  <si>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</si>
  <si>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</si>
  <si>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</si>
  <si>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</si>
  <si>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</si>
  <si>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</si>
  <si>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</si>
  <si>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</si>
  <si>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</si>
  <si>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</si>
  <si>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</si>
  <si>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</si>
  <si>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</si>
  <si>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</si>
  <si>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</si>
  <si>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</si>
  <si>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</si>
  <si>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</si>
  <si>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</si>
  <si>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</si>
  <si>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</si>
  <si>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</si>
  <si>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</si>
  <si>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</si>
  <si>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</si>
  <si>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</si>
  <si>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</si>
  <si>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</si>
  <si>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</si>
  <si>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</si>
  <si>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</si>
  <si>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</si>
  <si>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</si>
  <si>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</si>
  <si>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</si>
  <si>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</si>
  <si>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</si>
  <si>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</si>
  <si>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</si>
  <si>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</si>
  <si>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</si>
  <si>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</si>
  <si>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</si>
  <si>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</si>
  <si>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</si>
  <si>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</si>
  <si>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</si>
  <si>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</si>
  <si>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</si>
  <si>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</si>
  <si>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</si>
  <si>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</si>
  <si>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</si>
  <si>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</si>
  <si>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</si>
  <si>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</si>
  <si>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</si>
  <si>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</si>
  <si>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</si>
  <si>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</si>
  <si>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</si>
  <si>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</si>
  <si>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</si>
  <si>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</si>
  <si>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</si>
  <si>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</si>
  <si>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</si>
  <si>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</si>
  <si>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</si>
  <si>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</si>
  <si>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</si>
  <si>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</si>
  <si>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</si>
  <si>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</si>
  <si>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</si>
  <si>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</si>
  <si>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</si>
  <si>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</si>
  <si>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</si>
  <si>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</si>
  <si>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</si>
  <si>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</si>
  <si>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</si>
  <si>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</si>
  <si>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</si>
  <si>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</si>
  <si>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</si>
  <si>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</si>
  <si>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</si>
  <si>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</si>
  <si>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</si>
  <si>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</si>
  <si>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</si>
  <si>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</si>
  <si>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</si>
  <si>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</si>
  <si>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</si>
  <si>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</si>
  <si>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</si>
  <si>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NHL Net</t>
  </si>
  <si>
    <t>X</t>
  </si>
  <si>
    <t>Y</t>
  </si>
  <si>
    <t>Max</t>
  </si>
  <si>
    <t>Min</t>
  </si>
  <si>
    <t>PostX</t>
  </si>
  <si>
    <t>PostY</t>
  </si>
  <si>
    <t>Total Max</t>
  </si>
  <si>
    <t>Total Min</t>
  </si>
  <si>
    <t>Home</t>
  </si>
  <si>
    <t>Away</t>
  </si>
  <si>
    <t>Save-Rebound</t>
  </si>
  <si>
    <t>Save-Freeze</t>
  </si>
  <si>
    <t>ZoneEntry-Other</t>
  </si>
  <si>
    <t>ZoneExit-Other</t>
  </si>
  <si>
    <t>Stoppage-Play</t>
  </si>
  <si>
    <t>Stoppage-Period</t>
  </si>
  <si>
    <t>PenaltyShot/Shootout</t>
  </si>
  <si>
    <t>Penalty-Minor</t>
  </si>
  <si>
    <t>Penalty-Major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</si>
  <si>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</si>
  <si>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</si>
  <si>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</si>
  <si>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</si>
  <si>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</si>
  <si>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</si>
  <si>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</si>
  <si>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</si>
  <si>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</si>
  <si>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</si>
  <si>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</si>
  <si>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</si>
  <si>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</si>
  <si>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</si>
  <si>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</si>
  <si>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</si>
  <si>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</si>
  <si>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</si>
  <si>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</si>
  <si>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</si>
  <si>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</si>
  <si>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</si>
  <si>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</si>
  <si>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</si>
  <si>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</si>
  <si>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</si>
  <si>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</si>
  <si>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</si>
  <si>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</si>
  <si>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</si>
  <si>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</si>
  <si>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</si>
  <si>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</si>
  <si>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</si>
  <si>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</si>
  <si>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</si>
  <si>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</si>
  <si>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</si>
  <si>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</si>
  <si>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</si>
  <si>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</si>
  <si>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</si>
  <si>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</si>
  <si>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</si>
  <si>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</si>
  <si>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</si>
  <si>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</si>
  <si>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</si>
  <si>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</si>
  <si>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</si>
  <si>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</si>
  <si>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</si>
  <si>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</si>
  <si>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</si>
  <si>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</si>
  <si>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</si>
  <si>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</si>
  <si>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</si>
  <si>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</si>
  <si>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All</t>
  </si>
  <si>
    <t>None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</si>
  <si>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</si>
  <si>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</si>
  <si>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</si>
  <si>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</si>
  <si>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</si>
  <si>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</si>
  <si>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</si>
  <si>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</si>
  <si>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Involved</t>
  </si>
  <si>
    <t>Invoived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</si>
  <si>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</si>
  <si>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</si>
  <si>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</si>
  <si>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</si>
  <si>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</si>
  <si>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</si>
  <si>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</si>
  <si>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</si>
  <si>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</si>
  <si>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</si>
  <si>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</si>
  <si>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</si>
  <si>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event_team_player_2</t>
  </si>
  <si>
    <t>event_team_player_1</t>
  </si>
  <si>
    <t>event_team_player_3</t>
  </si>
  <si>
    <t>event_team_player_4</t>
  </si>
  <si>
    <t>event_team_player_5</t>
  </si>
  <si>
    <t>event_team_player_6</t>
  </si>
  <si>
    <t>opp_team_player_1</t>
  </si>
  <si>
    <t>opp_team_player_2</t>
  </si>
  <si>
    <t>opp_team_player_3</t>
  </si>
  <si>
    <t>opp_team_player_4</t>
  </si>
  <si>
    <t>opp_team_player_5</t>
  </si>
  <si>
    <t>opp_team_player_6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</si>
  <si>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</si>
  <si>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</si>
  <si>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</si>
  <si>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</si>
  <si>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</si>
  <si>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</si>
  <si>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</si>
  <si>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</si>
  <si>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</si>
  <si>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</si>
  <si>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</si>
  <si>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</si>
  <si>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</si>
  <si>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</si>
  <si>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</si>
  <si>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</si>
  <si>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</si>
  <si>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</si>
  <si>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</si>
  <si>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</si>
  <si>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</si>
  <si>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</si>
  <si>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</si>
  <si>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</si>
  <si>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</si>
  <si>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</si>
  <si>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</si>
  <si>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</si>
  <si>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</si>
  <si>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</si>
  <si>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</si>
  <si>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</si>
  <si>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</si>
  <si>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</si>
  <si>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</si>
  <si>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</si>
  <si>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</si>
  <si>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</si>
  <si>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</si>
  <si>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</si>
  <si>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</si>
  <si>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</si>
  <si>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</si>
  <si>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</si>
  <si>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</si>
  <si>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</si>
  <si>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</si>
  <si>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</si>
  <si>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</si>
  <si>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</si>
  <si>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</si>
  <si>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</si>
  <si>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</si>
  <si>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</si>
  <si>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</si>
  <si>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</si>
  <si>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</si>
  <si>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</si>
  <si>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</si>
  <si>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</si>
  <si>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</si>
  <si>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</si>
  <si>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</si>
  <si>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</si>
  <si>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</si>
  <si>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</si>
  <si>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</si>
  <si>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</si>
  <si>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</si>
  <si>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</si>
  <si>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</si>
  <si>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</si>
  <si>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</si>
  <si>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</si>
  <si>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</si>
  <si>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</si>
  <si>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</si>
  <si>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</si>
  <si>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</si>
  <si>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</si>
  <si>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</si>
  <si>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</si>
  <si>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</si>
  <si>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</si>
  <si>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</si>
  <si>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</si>
  <si>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</si>
  <si>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</si>
  <si>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</si>
  <si>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</si>
  <si>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</si>
  <si>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</si>
  <si>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</si>
  <si>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</si>
  <si>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</si>
  <si>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</si>
  <si>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</si>
  <si>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</si>
  <si>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</si>
  <si>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</si>
  <si>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</si>
  <si>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</si>
  <si>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</si>
  <si>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</si>
  <si>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</si>
  <si>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</si>
  <si>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</si>
  <si>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</si>
  <si>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</si>
  <si>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</si>
  <si>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</si>
  <si>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</si>
  <si>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</si>
  <si>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</si>
  <si>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</si>
  <si>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</si>
  <si>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</si>
  <si>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</si>
  <si>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</si>
  <si>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</si>
  <si>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</si>
  <si>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</si>
  <si>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</si>
  <si>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</si>
  <si>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</si>
  <si>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</si>
  <si>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</si>
  <si>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</si>
  <si>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</si>
  <si>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</si>
  <si>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</si>
  <si>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</si>
  <si>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</si>
  <si>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</si>
  <si>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</si>
  <si>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</si>
  <si>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</si>
  <si>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</si>
  <si>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</si>
  <si>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</si>
  <si>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</si>
  <si>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</si>
  <si>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</si>
  <si>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</si>
  <si>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</si>
  <si>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</si>
  <si>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</si>
  <si>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</si>
  <si>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</si>
  <si>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</si>
  <si>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</si>
  <si>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</si>
  <si>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</si>
  <si>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</si>
  <si>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</si>
  <si>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</si>
  <si>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</si>
  <si>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</si>
  <si>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</si>
  <si>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</si>
  <si>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</si>
  <si>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</si>
  <si>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</si>
  <si>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</si>
  <si>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</si>
  <si>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</si>
  <si>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</si>
  <si>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</si>
  <si>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</si>
  <si>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</si>
  <si>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</si>
  <si>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</si>
  <si>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</si>
  <si>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</si>
  <si>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</si>
  <si>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</si>
  <si>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</si>
  <si>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</si>
  <si>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</si>
  <si>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</si>
  <si>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</si>
  <si>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</si>
  <si>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</si>
  <si>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</si>
  <si>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</si>
  <si>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</si>
  <si>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</si>
  <si>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</si>
  <si>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</si>
  <si>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</si>
  <si>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</si>
  <si>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</si>
  <si>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</si>
  <si>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</si>
  <si>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</si>
  <si>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</si>
  <si>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</si>
  <si>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</si>
  <si>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</si>
  <si>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Assist-Secondary</t>
  </si>
  <si>
    <t>Assist-Primary</t>
  </si>
  <si>
    <t>Breakout</t>
  </si>
  <si>
    <t>label</t>
  </si>
  <si>
    <t>play_detail1</t>
  </si>
  <si>
    <t>play_detail2</t>
  </si>
  <si>
    <t>play_detail_successful</t>
  </si>
  <si>
    <t>OffensivePlay-Shot</t>
  </si>
  <si>
    <t>OffensivePlay-Pass</t>
  </si>
  <si>
    <t>OffensivePlay_Breakout</t>
  </si>
  <si>
    <t>OffensivePlay-AssistSecondary</t>
  </si>
  <si>
    <t>OffensivePlay-AssistPrimary</t>
  </si>
  <si>
    <t>DefensivePlay-BlockedShot</t>
  </si>
  <si>
    <t>DefensivePlay-PassIntercepted</t>
  </si>
  <si>
    <t>DefensivePlay-PassBlocked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</si>
  <si>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</si>
  <si>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</si>
  <si>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</si>
  <si>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</si>
  <si>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</si>
  <si>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</si>
  <si>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</si>
  <si>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</si>
  <si>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</si>
  <si>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</si>
  <si>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</si>
  <si>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</si>
  <si>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</si>
  <si>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</si>
  <si>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</si>
  <si>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</si>
  <si>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</si>
  <si>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</si>
  <si>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</si>
  <si>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</si>
  <si>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</si>
  <si>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</si>
  <si>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</si>
  <si>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</si>
  <si>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</si>
  <si>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</si>
  <si>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</si>
  <si>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</si>
  <si>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</si>
  <si>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</si>
  <si>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</si>
  <si>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</si>
  <si>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</si>
  <si>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</si>
  <si>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</si>
  <si>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</si>
  <si>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</si>
  <si>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</si>
  <si>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</si>
  <si>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</si>
  <si>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</si>
  <si>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</si>
  <si>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</si>
  <si>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</si>
  <si>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OffensivePlay-FrontofNet</t>
  </si>
  <si>
    <t>DefensivePlay-FrontofNet</t>
  </si>
  <si>
    <t>DefensivePlay-ClearingAttempt</t>
  </si>
  <si>
    <t>OffensivePlay-DumpInAttempt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</si>
  <si>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</si>
  <si>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</si>
  <si>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</si>
  <si>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</si>
  <si>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</si>
  <si>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</si>
  <si>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</si>
  <si>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</si>
  <si>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</si>
  <si>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</si>
  <si>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</si>
  <si>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End-to-End-Rush</t>
  </si>
  <si>
    <t>pre_shot_pass</t>
  </si>
  <si>
    <t>OffensivePlay-OpenIceDeke</t>
  </si>
  <si>
    <t>OffensivePlay-PuckRetrievalDumpIn</t>
  </si>
  <si>
    <t>OffensivePlay-PuckRetrievalShot</t>
  </si>
  <si>
    <t>OffensivePlay-PuckRetreivalTurnover</t>
  </si>
  <si>
    <t>OffensivePlay-PuckRetreivalPass</t>
  </si>
  <si>
    <t>DefensivePlay-PuckRetrievalDumpIn</t>
  </si>
  <si>
    <t>DefensivePlay-PuckRetrievalShot</t>
  </si>
  <si>
    <t>DefensivePlay-PuckRetreivalTurnover</t>
  </si>
  <si>
    <t>DefensivePlay-PuckRetreivalPass</t>
  </si>
  <si>
    <t>OffensivePlay-DriveMiddle</t>
  </si>
  <si>
    <t>OffensivePlay-DriveWide</t>
  </si>
  <si>
    <t>OffensivePlay-DriveCorner</t>
  </si>
  <si>
    <t>OffensivePlay-DriveNetMiddle</t>
  </si>
  <si>
    <t>OffensivePlay-DriveNetWide</t>
  </si>
  <si>
    <t>OffensivePlay-CrashNet</t>
  </si>
  <si>
    <t>OffensivePlay-Delay</t>
  </si>
  <si>
    <t>OffensivePlay-Deke</t>
  </si>
  <si>
    <t>OffensivePlay-Chip</t>
  </si>
  <si>
    <t>OffensivePlay-Other</t>
  </si>
  <si>
    <t>OffensivePlay-DumpChase</t>
  </si>
  <si>
    <t>OffensivePlay-Forecheck</t>
  </si>
  <si>
    <t>OffensivePlay-Speed</t>
  </si>
  <si>
    <t>OffensivePlay-Dump/RimInZone</t>
  </si>
  <si>
    <t>DefensivePlay-PokeCheck</t>
  </si>
  <si>
    <t>DefensivePlay-PokeCheckFailed</t>
  </si>
  <si>
    <t>DefensivePlay-SeperateFromPuck</t>
  </si>
  <si>
    <t>DefensivePlay-Backcheck</t>
  </si>
  <si>
    <t>DefensivePlay-FroceWide</t>
  </si>
  <si>
    <t>DefensivePlay-Contain</t>
  </si>
  <si>
    <t>DefensivePlay-BeatMiddle</t>
  </si>
  <si>
    <t>DefensivePlay-BeatWide</t>
  </si>
  <si>
    <t>DefensivePlay-BeatDeke</t>
  </si>
  <si>
    <t>DefensivePlay-BeatSpeed</t>
  </si>
  <si>
    <t>DefensivePlay-BoxOut</t>
  </si>
  <si>
    <t>DefensivePlay-AttemptedClear</t>
  </si>
  <si>
    <t>DefensivePlay-Other</t>
  </si>
  <si>
    <t>DefnsivePlay-ForceedDumpin/Clear</t>
  </si>
  <si>
    <t>DefensivePlay-Pressure</t>
  </si>
  <si>
    <t>failed_entry</t>
  </si>
  <si>
    <t>failed_exit</t>
  </si>
  <si>
    <t>botched_retreivals</t>
  </si>
  <si>
    <t>retreival_lead_to_breakout</t>
  </si>
  <si>
    <t>DefensivePlay-ZoneEntryDenial</t>
  </si>
  <si>
    <t>DefensivePlay-ZoneExitDenial</t>
  </si>
  <si>
    <t>possession_change</t>
  </si>
  <si>
    <t>side_of_puck</t>
  </si>
  <si>
    <t>Offensive</t>
  </si>
  <si>
    <t>Defensive</t>
  </si>
  <si>
    <t>OffensivePlay-Drive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</si>
  <si>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</si>
  <si>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</si>
  <si>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</si>
  <si>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</si>
  <si>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</si>
  <si>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</si>
  <si>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</si>
  <si>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</si>
  <si>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</si>
  <si>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</si>
  <si>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</si>
  <si>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</si>
  <si>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</si>
  <si>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</si>
  <si>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</si>
  <si>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</si>
  <si>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</si>
  <si>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</si>
  <si>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</si>
  <si>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</si>
  <si>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</si>
  <si>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</si>
  <si>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</si>
  <si>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</si>
  <si>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</si>
  <si>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</si>
  <si>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</si>
  <si>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</si>
  <si>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</si>
  <si>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</si>
  <si>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</si>
  <si>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</si>
  <si>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</si>
  <si>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</si>
  <si>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</si>
  <si>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</si>
  <si>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</si>
  <si>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</si>
  <si>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</si>
  <si>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PassBlocked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</si>
  <si>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</si>
  <si>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</si>
  <si>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</si>
  <si>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</si>
  <si>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</si>
  <si>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</si>
  <si>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</si>
  <si>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</si>
  <si>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</si>
  <si>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</si>
  <si>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</si>
  <si>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</t>
  </si>
  <si>
    <t>Defensive_Play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</si>
  <si>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</si>
  <si>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</si>
  <si>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</si>
  <si>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</si>
  <si>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</si>
  <si>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</si>
  <si>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</si>
  <si>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</si>
  <si>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</si>
  <si>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</si>
  <si>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</si>
  <si>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</si>
  <si>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</si>
  <si>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</si>
  <si>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PuckRetreivalRebound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</si>
  <si>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</si>
  <si>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</si>
  <si>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</si>
  <si>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</si>
  <si>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</si>
  <si>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</si>
  <si>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</si>
  <si>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</si>
  <si>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</si>
  <si>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</si>
  <si>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</si>
  <si>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</si>
  <si>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</si>
  <si>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</si>
  <si>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</si>
  <si>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</si>
  <si>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</si>
  <si>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</si>
  <si>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</si>
  <si>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</si>
  <si>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</si>
  <si>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</si>
  <si>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</si>
  <si>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</si>
  <si>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</si>
  <si>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</si>
  <si>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</si>
  <si>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</si>
  <si>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</si>
  <si>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</si>
  <si>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</si>
  <si>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</si>
  <si>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</si>
  <si>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</si>
  <si>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</si>
  <si>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</si>
  <si>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</si>
  <si>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</si>
  <si>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</si>
  <si>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</si>
  <si>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</si>
  <si>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</si>
  <si>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</si>
  <si>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</si>
  <si>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</si>
  <si>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</si>
  <si>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</si>
  <si>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</si>
  <si>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</si>
  <si>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</si>
  <si>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</si>
  <si>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</si>
  <si>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</si>
  <si>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</si>
  <si>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</si>
  <si>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</si>
  <si>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</si>
  <si>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</si>
  <si>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</si>
  <si>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</si>
  <si>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</si>
  <si>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</si>
  <si>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</si>
  <si>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</si>
  <si>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</si>
  <si>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</si>
  <si>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</si>
  <si>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</si>
  <si>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</si>
  <si>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</si>
  <si>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PuckRetreivalShot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</si>
  <si>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</si>
  <si>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</si>
  <si>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</si>
  <si>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</si>
  <si>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</si>
  <si>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</si>
  <si>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</si>
  <si>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</si>
  <si>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</si>
  <si>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</si>
  <si>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</si>
  <si>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</si>
  <si>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</si>
  <si>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</si>
  <si>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</si>
  <si>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</si>
  <si>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</si>
  <si>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</si>
  <si>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</si>
  <si>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</si>
  <si>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</si>
  <si>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</si>
  <si>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</si>
  <si>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</si>
  <si>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</si>
  <si>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</si>
  <si>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</si>
  <si>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</si>
  <si>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</si>
  <si>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</si>
  <si>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</si>
  <si>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</si>
  <si>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</si>
  <si>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</si>
  <si>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</si>
  <si>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</si>
  <si>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</si>
  <si>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</si>
  <si>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</si>
  <si>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</si>
  <si>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</si>
  <si>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</si>
  <si>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</si>
  <si>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</si>
  <si>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</si>
  <si>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</si>
  <si>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</si>
  <si>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</si>
  <si>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</si>
  <si>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</si>
  <si>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</si>
  <si>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</si>
  <si>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</si>
  <si>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</si>
  <si>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</si>
  <si>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</si>
  <si>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</si>
  <si>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</si>
  <si>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</si>
  <si>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</si>
  <si>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</si>
  <si>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</si>
  <si>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</si>
  <si>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</si>
  <si>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</si>
  <si>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</si>
  <si>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</si>
  <si>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</si>
  <si>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</si>
  <si>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</si>
  <si>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</si>
  <si>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</si>
  <si>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</si>
  <si>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</si>
  <si>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Offensive_Zone-CededZoneExit</t>
  </si>
  <si>
    <t>Defensive_Zone-CededZoneEntry</t>
  </si>
  <si>
    <t>ZoneEntry-Shot</t>
  </si>
  <si>
    <t>ZoneExit-Shot</t>
  </si>
  <si>
    <t>role_abrev_binary</t>
  </si>
  <si>
    <t>x</t>
  </si>
  <si>
    <t>OffensivePlay_Zone-PuckRetreivalFaceoff</t>
  </si>
  <si>
    <t>OffensivePlay_Zone-PuckRecoveryFaceoff</t>
  </si>
  <si>
    <t>OffensivePlay_Zone-PuckRetreivalOther</t>
  </si>
  <si>
    <t>DefensivePlay_Zone-PuckRecoveryFaceoff</t>
  </si>
  <si>
    <t>Shot_MissedPost</t>
  </si>
  <si>
    <t>OffensivePlay-ZoneKeepin</t>
  </si>
  <si>
    <t>Defensive_PlayPass-PassDeflected</t>
  </si>
  <si>
    <t>OS Offices</t>
  </si>
  <si>
    <t>a</t>
  </si>
  <si>
    <t>17</t>
  </si>
  <si>
    <t>59</t>
  </si>
  <si>
    <t>56</t>
  </si>
  <si>
    <t>n</t>
  </si>
  <si>
    <t>h</t>
  </si>
  <si>
    <t>52</t>
  </si>
  <si>
    <t>50</t>
  </si>
  <si>
    <t>48</t>
  </si>
  <si>
    <t>45</t>
  </si>
  <si>
    <t>d</t>
  </si>
  <si>
    <t>46</t>
  </si>
  <si>
    <t>44</t>
  </si>
  <si>
    <t>40</t>
  </si>
  <si>
    <t>37</t>
  </si>
  <si>
    <t>33</t>
  </si>
  <si>
    <t>32</t>
  </si>
  <si>
    <t>31</t>
  </si>
  <si>
    <t>29</t>
  </si>
  <si>
    <t>27</t>
  </si>
  <si>
    <t>30</t>
  </si>
  <si>
    <t>26</t>
  </si>
  <si>
    <t>25</t>
  </si>
  <si>
    <t>23</t>
  </si>
  <si>
    <t>22</t>
  </si>
  <si>
    <t>21</t>
  </si>
  <si>
    <t>0</t>
  </si>
  <si>
    <t>19</t>
  </si>
  <si>
    <t>18</t>
  </si>
  <si>
    <t>15</t>
  </si>
  <si>
    <t>14</t>
  </si>
  <si>
    <t>12</t>
  </si>
  <si>
    <t>09</t>
  </si>
  <si>
    <t>07</t>
  </si>
  <si>
    <t>03</t>
  </si>
  <si>
    <t>01</t>
  </si>
  <si>
    <t>16</t>
  </si>
  <si>
    <t>58</t>
  </si>
  <si>
    <t>57</t>
  </si>
  <si>
    <t>53</t>
  </si>
  <si>
    <t>51</t>
  </si>
  <si>
    <t>47</t>
  </si>
  <si>
    <t>43</t>
  </si>
  <si>
    <t>39</t>
  </si>
  <si>
    <t>36</t>
  </si>
  <si>
    <t>35</t>
  </si>
  <si>
    <t>34</t>
  </si>
  <si>
    <t>28</t>
  </si>
  <si>
    <t>24</t>
  </si>
  <si>
    <t>04</t>
  </si>
  <si>
    <t>54</t>
  </si>
  <si>
    <t>49</t>
  </si>
  <si>
    <t>4</t>
  </si>
  <si>
    <t>42</t>
  </si>
  <si>
    <t>41</t>
  </si>
  <si>
    <t>5</t>
  </si>
  <si>
    <t>10</t>
  </si>
  <si>
    <t>08</t>
  </si>
  <si>
    <t>05</t>
  </si>
  <si>
    <t>02</t>
  </si>
  <si>
    <t>55</t>
  </si>
  <si>
    <t>Defensive_PlayPass-StoppedDeke</t>
  </si>
  <si>
    <t>38</t>
  </si>
  <si>
    <t>13</t>
  </si>
  <si>
    <t>11</t>
  </si>
  <si>
    <t>1</t>
  </si>
  <si>
    <t>i</t>
  </si>
  <si>
    <t>06</t>
  </si>
  <si>
    <t>9</t>
  </si>
  <si>
    <t>OffensivePlay_Zone-FakeShot</t>
  </si>
  <si>
    <t>Defensive_PlayPossession-BeatFake</t>
  </si>
  <si>
    <t>8</t>
  </si>
  <si>
    <t>7</t>
  </si>
  <si>
    <t>6</t>
  </si>
  <si>
    <t>20</t>
  </si>
  <si>
    <t>3</t>
  </si>
  <si>
    <t>2</t>
  </si>
  <si>
    <t>Defensive_PlayPossession-ForcedMissedPass</t>
  </si>
  <si>
    <t>OffensivePlay_Zone-RegroupDumpin</t>
  </si>
  <si>
    <t>0.01</t>
  </si>
  <si>
    <t/>
  </si>
  <si>
    <t>85</t>
  </si>
  <si>
    <t>OffensivePlay_Zone-ZoneKeepin</t>
  </si>
  <si>
    <t>Zone-PuckRecoveryPass</t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</si>
  <si>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</si>
  <si>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</si>
  <si>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</si>
  <si>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</si>
  <si>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</si>
  <si>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</si>
  <si>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</si>
  <si>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</si>
  <si>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</si>
  <si>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</si>
  <si>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</si>
  <si>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</si>
  <si>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</si>
  <si>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</si>
  <si>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</si>
  <si>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</si>
  <si>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</si>
  <si>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</si>
  <si>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</si>
  <si>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</si>
  <si>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</si>
  <si>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</si>
  <si>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</si>
  <si>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</si>
  <si>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</si>
  <si>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</si>
  <si>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</si>
  <si>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64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</si>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</sst>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3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49" fontId="0" fillId="2" borderId="0" xfId="0" applyNumberFormat="1" applyFill="1"/>
    <xf numFmtId="49" fontId="0" fillId="2" borderId="1" xfId="0" applyNumberFormat="1" applyFill="1" applyBorder="1"/>
    <xf numFmtId="0" fontId="0" fillId="2" borderId="1" xfId="0" applyFill="1" applyBorder="1"/>
    <xf numFmtId="164" fontId="0" fillId="2" borderId="0" xfId="1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0" fillId="2" borderId="2" xfId="0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topLeftCell="A14" workbookViewId="0">
      <selection activeCell="U37" sqref="U37"/>
    </sheetView>
  </sheetViews>
  <sheetFormatPr baseColWidth="10" defaultRowHeight="16" x14ac:dyDescent="0.2"/>
  <sheetData>
    <row r="1" spans="1:51" ht="68" x14ac:dyDescent="0.2">
      <c r="A1" s="3" t="s">
        <v>289</v>
      </c>
      <c r="B1" s="11" t="s">
        <v>1</v>
      </c>
      <c r="C1" s="3" t="s">
        <v>292</v>
      </c>
      <c r="D1" s="10" t="s">
        <v>293</v>
      </c>
      <c r="E1" s="3" t="s">
        <v>294</v>
      </c>
      <c r="F1" s="10" t="s">
        <v>295</v>
      </c>
      <c r="G1" s="11" t="s">
        <v>290</v>
      </c>
      <c r="H1" s="14" t="s">
        <v>291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302</v>
      </c>
      <c r="O1" s="14" t="s">
        <v>301</v>
      </c>
      <c r="P1" s="11" t="s">
        <v>303</v>
      </c>
      <c r="Q1" s="3" t="s">
        <v>304</v>
      </c>
      <c r="R1" s="3" t="s">
        <v>305</v>
      </c>
      <c r="S1" s="3" t="s">
        <v>306</v>
      </c>
      <c r="T1" s="3" t="s">
        <v>307</v>
      </c>
      <c r="U1" s="3" t="s">
        <v>309</v>
      </c>
      <c r="V1" s="3" t="s">
        <v>308</v>
      </c>
      <c r="W1" s="12" t="s">
        <v>310</v>
      </c>
      <c r="X1" s="15" t="s">
        <v>311</v>
      </c>
      <c r="Y1" s="13" t="s">
        <v>312</v>
      </c>
      <c r="Z1" s="19" t="s">
        <v>313</v>
      </c>
      <c r="AA1" s="13" t="s">
        <v>314</v>
      </c>
      <c r="AB1" s="19" t="s">
        <v>315</v>
      </c>
      <c r="AC1" s="13" t="s">
        <v>316</v>
      </c>
      <c r="AD1" s="3" t="s">
        <v>269</v>
      </c>
      <c r="AE1" s="3" t="s">
        <v>270</v>
      </c>
      <c r="AF1" s="3" t="s">
        <v>271</v>
      </c>
      <c r="AG1" s="3" t="s">
        <v>393</v>
      </c>
      <c r="AH1" s="3" t="s">
        <v>392</v>
      </c>
      <c r="AI1" s="3" t="s">
        <v>394</v>
      </c>
      <c r="AJ1" s="3" t="s">
        <v>378</v>
      </c>
      <c r="AK1" s="3" t="s">
        <v>379</v>
      </c>
      <c r="AL1" s="3" t="s">
        <v>380</v>
      </c>
      <c r="AM1" s="3" t="s">
        <v>381</v>
      </c>
      <c r="AN1" s="3" t="s">
        <v>383</v>
      </c>
      <c r="AO1" s="3" t="s">
        <v>382</v>
      </c>
      <c r="AP1" s="3" t="s">
        <v>384</v>
      </c>
      <c r="AQ1" s="3" t="s">
        <v>385</v>
      </c>
      <c r="AR1" s="3" t="s">
        <v>386</v>
      </c>
      <c r="AS1" s="3" t="s">
        <v>395</v>
      </c>
      <c r="AT1" s="3" t="s">
        <v>396</v>
      </c>
      <c r="AU1" s="3" t="s">
        <v>397</v>
      </c>
      <c r="AV1" s="22" t="s">
        <v>429</v>
      </c>
      <c r="AW1" s="22" t="s">
        <v>436</v>
      </c>
      <c r="AX1" s="3" t="s">
        <v>437</v>
      </c>
      <c r="AY1" s="3" t="s">
        <v>438</v>
      </c>
    </row>
    <row r="2" spans="1:51" x14ac:dyDescent="0.2">
      <c r="A2">
        <v>40</v>
      </c>
      <c r="B2">
        <v>1</v>
      </c>
      <c r="C2">
        <v>2</v>
      </c>
      <c r="D2" t="s">
        <v>868</v>
      </c>
      <c r="E2">
        <v>0</v>
      </c>
      <c r="F2" t="s">
        <v>880</v>
      </c>
      <c r="G2" t="s">
        <v>322</v>
      </c>
      <c r="H2" t="s">
        <v>374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880</v>
      </c>
      <c r="E3">
        <v>0</v>
      </c>
      <c r="F3" t="s">
        <v>914</v>
      </c>
      <c r="G3" t="s">
        <v>322</v>
      </c>
      <c r="H3" t="s">
        <v>325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426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863</v>
      </c>
      <c r="G5" t="s">
        <v>317</v>
      </c>
      <c r="H5" t="s">
        <v>374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870</v>
      </c>
      <c r="E8">
        <v>0</v>
      </c>
      <c r="F8" t="s">
        <v>886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886</v>
      </c>
      <c r="E9">
        <v>0</v>
      </c>
      <c r="F9" t="s">
        <v>914</v>
      </c>
      <c r="H9" t="s">
        <v>433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914</v>
      </c>
    </row>
    <row r="25" spans="1:42" ht="34" x14ac:dyDescent="0.2">
      <c r="A25" s="24" t="s">
        <v>263</v>
      </c>
      <c r="B25" s="24" t="s">
        <v>820</v>
      </c>
      <c r="C25" s="24" t="s">
        <v>608</v>
      </c>
      <c r="D25" s="24" t="s">
        <v>819</v>
      </c>
      <c r="E25" s="27" t="s">
        <v>264</v>
      </c>
      <c r="F25" s="27" t="s">
        <v>265</v>
      </c>
      <c r="G25" s="33" t="s">
        <v>715</v>
      </c>
      <c r="H25" s="1" t="s">
        <v>1</v>
      </c>
      <c r="I25" s="25" t="s">
        <v>442</v>
      </c>
      <c r="J25" s="25" t="s">
        <v>443</v>
      </c>
      <c r="K25" s="25" t="s">
        <v>444</v>
      </c>
      <c r="L25" s="26" t="s">
        <v>445</v>
      </c>
      <c r="M25" s="1" t="s">
        <v>285</v>
      </c>
      <c r="N25" s="1" t="s">
        <v>286</v>
      </c>
      <c r="O25" s="1" t="s">
        <v>287</v>
      </c>
      <c r="P25" s="9" t="s">
        <v>288</v>
      </c>
      <c r="Q25" s="24" t="s">
        <v>612</v>
      </c>
      <c r="R25" s="24" t="s">
        <v>5</v>
      </c>
      <c r="S25" s="24" t="s">
        <v>825</v>
      </c>
      <c r="T25" s="24" t="s">
        <v>402</v>
      </c>
      <c r="U25" s="24" t="s">
        <v>439</v>
      </c>
      <c r="V25" s="24" t="s">
        <v>440</v>
      </c>
      <c r="W25" s="24" t="s">
        <v>441</v>
      </c>
      <c r="X25" s="27" t="s">
        <v>482</v>
      </c>
      <c r="Y25" s="24" t="s">
        <v>487</v>
      </c>
      <c r="Z25" s="24" t="s">
        <v>488</v>
      </c>
      <c r="AA25" s="27" t="s">
        <v>489</v>
      </c>
      <c r="AB25" s="27" t="s">
        <v>732</v>
      </c>
      <c r="AC25" s="27" t="s">
        <v>615</v>
      </c>
      <c r="AD25" s="27" t="s">
        <v>616</v>
      </c>
      <c r="AE25" s="27" t="s">
        <v>626</v>
      </c>
      <c r="AF25" s="24" t="s">
        <v>498</v>
      </c>
      <c r="AG25" s="1" t="s">
        <v>499</v>
      </c>
      <c r="AH25" s="1" t="s">
        <v>500</v>
      </c>
      <c r="AI25" s="24" t="s">
        <v>624</v>
      </c>
      <c r="AJ25" s="24" t="s">
        <v>625</v>
      </c>
    </row>
    <row r="27" spans="1:42" x14ac:dyDescent="0.2">
      <c r="A27">
        <v>599</v>
      </c>
      <c r="B27" t="s">
        <v>915</v>
      </c>
      <c r="C27" t="s">
        <v>915</v>
      </c>
      <c r="D27" t="s">
        <v>915</v>
      </c>
      <c r="H27">
        <v>1</v>
      </c>
      <c r="I27" t="s">
        <v>861</v>
      </c>
      <c r="J27" t="s">
        <v>870</v>
      </c>
      <c r="Q27" t="s">
        <v>835</v>
      </c>
      <c r="R27">
        <v>13</v>
      </c>
      <c r="S27">
        <v>1</v>
      </c>
      <c r="T27" t="s">
        <v>400</v>
      </c>
      <c r="U27" t="s">
        <v>7</v>
      </c>
      <c r="V27" t="s">
        <v>198</v>
      </c>
      <c r="W27" t="s">
        <v>55</v>
      </c>
      <c r="X27" t="s">
        <v>688</v>
      </c>
      <c r="AF27" t="s">
        <v>401</v>
      </c>
      <c r="AJ27">
        <v>1</v>
      </c>
      <c r="AM27" t="s">
        <v>7</v>
      </c>
      <c r="AN27" t="s">
        <v>198</v>
      </c>
      <c r="AP27" t="s">
        <v>605</v>
      </c>
    </row>
    <row r="28" spans="1:42" x14ac:dyDescent="0.2">
      <c r="A28">
        <v>599</v>
      </c>
      <c r="B28" t="s">
        <v>915</v>
      </c>
      <c r="C28" t="s">
        <v>915</v>
      </c>
      <c r="D28" t="s">
        <v>915</v>
      </c>
      <c r="H28">
        <v>1</v>
      </c>
      <c r="R28">
        <v>9</v>
      </c>
      <c r="T28" t="s">
        <v>401</v>
      </c>
      <c r="Y28" t="s">
        <v>696</v>
      </c>
      <c r="AA28" t="s">
        <v>689</v>
      </c>
      <c r="AJ28">
        <v>1</v>
      </c>
      <c r="AM28" t="s">
        <v>7</v>
      </c>
      <c r="AN28" t="s">
        <v>198</v>
      </c>
      <c r="AP28" t="s">
        <v>606</v>
      </c>
    </row>
    <row r="29" spans="1:42" x14ac:dyDescent="0.2">
      <c r="A29">
        <v>600</v>
      </c>
      <c r="B29" t="s">
        <v>915</v>
      </c>
      <c r="C29" t="s">
        <v>915</v>
      </c>
      <c r="D29" t="s">
        <v>915</v>
      </c>
      <c r="H29">
        <v>1</v>
      </c>
      <c r="I29" t="s">
        <v>861</v>
      </c>
      <c r="J29" t="s">
        <v>446</v>
      </c>
      <c r="T29" t="s">
        <v>401</v>
      </c>
      <c r="U29" t="s">
        <v>13</v>
      </c>
      <c r="V29" t="s">
        <v>194</v>
      </c>
      <c r="W29" t="s">
        <v>41</v>
      </c>
      <c r="AM29" t="s">
        <v>13</v>
      </c>
      <c r="AN29" t="s">
        <v>194</v>
      </c>
      <c r="AP29" t="s">
        <v>915</v>
      </c>
    </row>
    <row r="30" spans="1:42" x14ac:dyDescent="0.2">
      <c r="A30">
        <v>601</v>
      </c>
      <c r="B30" t="s">
        <v>915</v>
      </c>
      <c r="C30" t="s">
        <v>915</v>
      </c>
      <c r="D30" t="s">
        <v>915</v>
      </c>
      <c r="H30">
        <v>2</v>
      </c>
      <c r="I30" t="s">
        <v>838</v>
      </c>
      <c r="J30" t="s">
        <v>846</v>
      </c>
      <c r="K30" t="s">
        <v>895</v>
      </c>
      <c r="L30" t="s">
        <v>878</v>
      </c>
      <c r="T30" t="s">
        <v>401</v>
      </c>
      <c r="U30" t="s">
        <v>426</v>
      </c>
      <c r="AM30" t="s">
        <v>426</v>
      </c>
      <c r="AN30" t="s">
        <v>915</v>
      </c>
      <c r="AP30" t="s">
        <v>915</v>
      </c>
    </row>
    <row r="31" spans="1:42" x14ac:dyDescent="0.2">
      <c r="A31">
        <v>602</v>
      </c>
      <c r="B31" t="s">
        <v>915</v>
      </c>
      <c r="C31" t="s">
        <v>915</v>
      </c>
      <c r="D31" t="s">
        <v>915</v>
      </c>
      <c r="H31">
        <v>2</v>
      </c>
      <c r="I31" t="s">
        <v>863</v>
      </c>
      <c r="J31" t="s">
        <v>446</v>
      </c>
      <c r="Q31" t="s">
        <v>840</v>
      </c>
      <c r="R31">
        <v>70</v>
      </c>
      <c r="S31">
        <v>1</v>
      </c>
      <c r="T31" t="s">
        <v>400</v>
      </c>
      <c r="U31" t="s">
        <v>6</v>
      </c>
      <c r="V31" t="s">
        <v>214</v>
      </c>
      <c r="AF31" t="s">
        <v>839</v>
      </c>
      <c r="AM31" t="s">
        <v>6</v>
      </c>
      <c r="AN31" t="s">
        <v>214</v>
      </c>
      <c r="AP31" t="s">
        <v>605</v>
      </c>
    </row>
    <row r="34" spans="1:42" x14ac:dyDescent="0.2">
      <c r="A34">
        <v>1438</v>
      </c>
      <c r="B34">
        <v>223</v>
      </c>
      <c r="H34">
        <v>3</v>
      </c>
      <c r="I34" t="s">
        <v>890</v>
      </c>
      <c r="J34" t="s">
        <v>895</v>
      </c>
      <c r="Q34" t="s">
        <v>840</v>
      </c>
      <c r="R34">
        <v>61</v>
      </c>
      <c r="S34">
        <v>1</v>
      </c>
      <c r="T34" t="s">
        <v>400</v>
      </c>
      <c r="U34" t="s">
        <v>7</v>
      </c>
      <c r="V34" t="s">
        <v>261</v>
      </c>
      <c r="AF34" t="s">
        <v>401</v>
      </c>
      <c r="AM34" t="s">
        <v>7</v>
      </c>
      <c r="AN34" t="s">
        <v>261</v>
      </c>
      <c r="AP34" t="s">
        <v>605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401</v>
      </c>
      <c r="AM35" t="s">
        <v>7</v>
      </c>
      <c r="AN35" t="s">
        <v>261</v>
      </c>
      <c r="AP35" t="s">
        <v>606</v>
      </c>
    </row>
    <row r="36" spans="1:42" x14ac:dyDescent="0.2">
      <c r="A36">
        <v>1439</v>
      </c>
      <c r="B36">
        <v>223</v>
      </c>
      <c r="H36">
        <v>3</v>
      </c>
      <c r="I36" t="s">
        <v>890</v>
      </c>
      <c r="J36" t="s">
        <v>895</v>
      </c>
      <c r="Q36" t="s">
        <v>840</v>
      </c>
      <c r="R36">
        <v>61</v>
      </c>
      <c r="S36">
        <v>1</v>
      </c>
      <c r="T36" t="s">
        <v>400</v>
      </c>
      <c r="U36" t="s">
        <v>9</v>
      </c>
      <c r="V36" t="s">
        <v>230</v>
      </c>
      <c r="W36" t="s">
        <v>233</v>
      </c>
      <c r="AF36" t="s">
        <v>401</v>
      </c>
      <c r="AM36" t="s">
        <v>9</v>
      </c>
      <c r="AN36" t="s">
        <v>230</v>
      </c>
      <c r="AP36" t="s">
        <v>605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401</v>
      </c>
      <c r="AM37" t="s">
        <v>9</v>
      </c>
      <c r="AN37" t="s">
        <v>230</v>
      </c>
      <c r="AP37" t="s">
        <v>606</v>
      </c>
    </row>
    <row r="38" spans="1:42" x14ac:dyDescent="0.2">
      <c r="A38">
        <v>1440</v>
      </c>
      <c r="B38">
        <v>223</v>
      </c>
      <c r="H38">
        <v>3</v>
      </c>
      <c r="I38" t="s">
        <v>890</v>
      </c>
      <c r="J38" t="s">
        <v>895</v>
      </c>
      <c r="Q38" t="s">
        <v>840</v>
      </c>
      <c r="R38">
        <v>61</v>
      </c>
      <c r="S38">
        <v>1</v>
      </c>
      <c r="T38" t="s">
        <v>400</v>
      </c>
      <c r="U38" t="s">
        <v>13</v>
      </c>
      <c r="V38" t="s">
        <v>204</v>
      </c>
      <c r="W38" t="s">
        <v>42</v>
      </c>
      <c r="AF38" t="s">
        <v>401</v>
      </c>
      <c r="AJ38">
        <v>1</v>
      </c>
      <c r="AM38" t="s">
        <v>13</v>
      </c>
      <c r="AN38" t="s">
        <v>204</v>
      </c>
      <c r="AP38" t="s">
        <v>915</v>
      </c>
    </row>
    <row r="39" spans="1:42" x14ac:dyDescent="0.2">
      <c r="A39">
        <v>1441</v>
      </c>
      <c r="B39">
        <v>223</v>
      </c>
      <c r="H39">
        <v>3</v>
      </c>
      <c r="I39" t="s">
        <v>890</v>
      </c>
      <c r="J39" t="s">
        <v>895</v>
      </c>
      <c r="K39" t="s">
        <v>890</v>
      </c>
      <c r="L39" t="s">
        <v>852</v>
      </c>
      <c r="Q39" t="s">
        <v>840</v>
      </c>
      <c r="R39">
        <v>61</v>
      </c>
      <c r="S39">
        <v>1</v>
      </c>
      <c r="T39" t="s">
        <v>400</v>
      </c>
      <c r="U39" t="s">
        <v>262</v>
      </c>
      <c r="AF39" t="s">
        <v>401</v>
      </c>
      <c r="AJ39">
        <v>1</v>
      </c>
      <c r="AM39" t="s">
        <v>262</v>
      </c>
      <c r="AN39" t="s">
        <v>915</v>
      </c>
      <c r="AP39" t="s">
        <v>915</v>
      </c>
    </row>
    <row r="43" spans="1:42" x14ac:dyDescent="0.2">
      <c r="A43">
        <v>1590</v>
      </c>
      <c r="H43">
        <v>3</v>
      </c>
      <c r="I43" t="s">
        <v>861</v>
      </c>
      <c r="J43" t="s">
        <v>856</v>
      </c>
      <c r="Q43" t="s">
        <v>840</v>
      </c>
      <c r="R43">
        <v>84</v>
      </c>
      <c r="S43">
        <v>1</v>
      </c>
      <c r="T43" t="s">
        <v>400</v>
      </c>
      <c r="U43" t="s">
        <v>450</v>
      </c>
      <c r="AF43" t="s">
        <v>845</v>
      </c>
      <c r="AJ43">
        <v>1</v>
      </c>
      <c r="AM43" t="s">
        <v>450</v>
      </c>
      <c r="AN43" t="s">
        <v>915</v>
      </c>
      <c r="AP43" t="s">
        <v>605</v>
      </c>
    </row>
    <row r="44" spans="1:42" x14ac:dyDescent="0.2">
      <c r="A44">
        <v>1590</v>
      </c>
      <c r="H44">
        <v>3</v>
      </c>
      <c r="R44">
        <v>3</v>
      </c>
      <c r="T44" t="s">
        <v>401</v>
      </c>
      <c r="AJ44">
        <v>1</v>
      </c>
      <c r="AM44" t="s">
        <v>450</v>
      </c>
      <c r="AN44" t="s">
        <v>915</v>
      </c>
      <c r="AP44" t="s">
        <v>606</v>
      </c>
    </row>
    <row r="45" spans="1:42" x14ac:dyDescent="0.2">
      <c r="A45">
        <v>1591</v>
      </c>
      <c r="B45">
        <v>247</v>
      </c>
      <c r="H45">
        <v>3</v>
      </c>
      <c r="I45" t="s">
        <v>861</v>
      </c>
      <c r="J45" t="s">
        <v>857</v>
      </c>
      <c r="Q45" t="s">
        <v>835</v>
      </c>
      <c r="R45">
        <v>18</v>
      </c>
      <c r="S45">
        <v>1</v>
      </c>
      <c r="T45" t="s">
        <v>400</v>
      </c>
      <c r="U45" t="s">
        <v>7</v>
      </c>
      <c r="V45" t="s">
        <v>222</v>
      </c>
      <c r="W45" t="s">
        <v>53</v>
      </c>
      <c r="X45" t="s">
        <v>689</v>
      </c>
      <c r="AF45" t="s">
        <v>401</v>
      </c>
      <c r="AM45" t="s">
        <v>7</v>
      </c>
      <c r="AN45" t="s">
        <v>222</v>
      </c>
      <c r="AP45" t="s">
        <v>605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400</v>
      </c>
      <c r="Y46" t="s">
        <v>779</v>
      </c>
      <c r="AM46" t="s">
        <v>7</v>
      </c>
      <c r="AN46" t="s">
        <v>222</v>
      </c>
      <c r="AP46" t="s">
        <v>605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401</v>
      </c>
      <c r="AM47" t="s">
        <v>7</v>
      </c>
      <c r="AN47" t="s">
        <v>222</v>
      </c>
      <c r="AP47" t="s">
        <v>606</v>
      </c>
    </row>
    <row r="48" spans="1:42" x14ac:dyDescent="0.2">
      <c r="A48">
        <v>1592</v>
      </c>
      <c r="B48">
        <v>247</v>
      </c>
      <c r="H48">
        <v>3</v>
      </c>
      <c r="I48" t="s">
        <v>861</v>
      </c>
      <c r="J48" t="s">
        <v>857</v>
      </c>
      <c r="Q48" t="s">
        <v>840</v>
      </c>
      <c r="R48">
        <v>39</v>
      </c>
      <c r="S48">
        <v>1</v>
      </c>
      <c r="T48" t="s">
        <v>400</v>
      </c>
      <c r="U48" t="s">
        <v>17</v>
      </c>
      <c r="V48" t="s">
        <v>196</v>
      </c>
      <c r="W48" t="s">
        <v>97</v>
      </c>
      <c r="AF48" t="s">
        <v>845</v>
      </c>
      <c r="AM48" t="s">
        <v>17</v>
      </c>
      <c r="AN48" t="s">
        <v>196</v>
      </c>
      <c r="AP48" t="s">
        <v>606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401</v>
      </c>
      <c r="AM49" t="s">
        <v>17</v>
      </c>
      <c r="AN49" t="s">
        <v>196</v>
      </c>
      <c r="AP49" t="s">
        <v>605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401</v>
      </c>
      <c r="Y50" t="s">
        <v>779</v>
      </c>
      <c r="AM50" t="s">
        <v>17</v>
      </c>
      <c r="AN50" t="s">
        <v>196</v>
      </c>
      <c r="AP50" t="s">
        <v>605</v>
      </c>
    </row>
    <row r="51" spans="1:42" x14ac:dyDescent="0.2">
      <c r="A51">
        <v>1593</v>
      </c>
      <c r="B51">
        <v>247</v>
      </c>
      <c r="H51">
        <v>3</v>
      </c>
      <c r="I51" t="s">
        <v>861</v>
      </c>
      <c r="J51" t="s">
        <v>857</v>
      </c>
      <c r="Q51" t="s">
        <v>840</v>
      </c>
      <c r="R51">
        <v>39</v>
      </c>
      <c r="S51">
        <v>1</v>
      </c>
      <c r="T51" t="s">
        <v>400</v>
      </c>
      <c r="AF51" t="s">
        <v>845</v>
      </c>
      <c r="AM51" t="s">
        <v>915</v>
      </c>
      <c r="AN51" t="s">
        <v>915</v>
      </c>
      <c r="AP51" t="s">
        <v>605</v>
      </c>
    </row>
    <row r="52" spans="1:42" x14ac:dyDescent="0.2">
      <c r="A52">
        <v>1594</v>
      </c>
      <c r="H52">
        <v>3</v>
      </c>
      <c r="I52" t="s">
        <v>861</v>
      </c>
      <c r="J52" t="s">
        <v>860</v>
      </c>
      <c r="Q52" t="s">
        <v>835</v>
      </c>
      <c r="R52">
        <v>56</v>
      </c>
      <c r="S52">
        <v>1</v>
      </c>
      <c r="T52" t="s">
        <v>400</v>
      </c>
      <c r="U52" t="s">
        <v>15</v>
      </c>
      <c r="V52" t="s">
        <v>681</v>
      </c>
      <c r="X52" t="s">
        <v>688</v>
      </c>
      <c r="Y52" t="s">
        <v>705</v>
      </c>
      <c r="AA52" t="s">
        <v>688</v>
      </c>
      <c r="AF52" t="s">
        <v>401</v>
      </c>
      <c r="AM52" t="s">
        <v>15</v>
      </c>
      <c r="AN52" t="s">
        <v>681</v>
      </c>
      <c r="AP52" t="s">
        <v>605</v>
      </c>
    </row>
    <row r="53" spans="1:42" x14ac:dyDescent="0.2">
      <c r="A53">
        <v>1595</v>
      </c>
      <c r="H53">
        <v>3</v>
      </c>
      <c r="I53" t="s">
        <v>861</v>
      </c>
      <c r="J53" t="s">
        <v>860</v>
      </c>
      <c r="Q53" t="s">
        <v>835</v>
      </c>
      <c r="R53">
        <v>56</v>
      </c>
      <c r="S53">
        <v>1</v>
      </c>
      <c r="T53" t="s">
        <v>400</v>
      </c>
      <c r="U53" t="s">
        <v>8</v>
      </c>
      <c r="V53" t="s">
        <v>199</v>
      </c>
      <c r="W53" t="s">
        <v>70</v>
      </c>
      <c r="X53" t="s">
        <v>688</v>
      </c>
      <c r="Y53" t="s">
        <v>749</v>
      </c>
      <c r="AA53" t="s">
        <v>688</v>
      </c>
      <c r="AF53" t="s">
        <v>401</v>
      </c>
      <c r="AJ53">
        <v>1</v>
      </c>
      <c r="AM53" t="s">
        <v>8</v>
      </c>
      <c r="AN53" t="s">
        <v>199</v>
      </c>
      <c r="AP53" t="s">
        <v>605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400</v>
      </c>
      <c r="AM54" t="s">
        <v>8</v>
      </c>
      <c r="AN54" t="s">
        <v>199</v>
      </c>
      <c r="AP54" t="s">
        <v>605</v>
      </c>
    </row>
    <row r="55" spans="1:42" x14ac:dyDescent="0.2">
      <c r="A55">
        <v>1595</v>
      </c>
      <c r="H55">
        <v>3</v>
      </c>
      <c r="R55">
        <v>91</v>
      </c>
      <c r="T55" t="s">
        <v>401</v>
      </c>
      <c r="AJ55">
        <v>1</v>
      </c>
      <c r="AM55" t="s">
        <v>8</v>
      </c>
      <c r="AN55" t="s">
        <v>199</v>
      </c>
      <c r="AP55" t="s">
        <v>606</v>
      </c>
    </row>
    <row r="56" spans="1:42" x14ac:dyDescent="0.2">
      <c r="A56">
        <v>1596</v>
      </c>
      <c r="H56">
        <v>3</v>
      </c>
      <c r="I56" t="s">
        <v>861</v>
      </c>
      <c r="J56" t="s">
        <v>860</v>
      </c>
      <c r="Q56" t="s">
        <v>840</v>
      </c>
      <c r="S56">
        <v>1</v>
      </c>
      <c r="T56" t="s">
        <v>400</v>
      </c>
      <c r="U56" t="s">
        <v>257</v>
      </c>
      <c r="V56" t="s">
        <v>201</v>
      </c>
      <c r="W56" t="s">
        <v>411</v>
      </c>
      <c r="AF56" t="s">
        <v>845</v>
      </c>
      <c r="AM56" t="s">
        <v>257</v>
      </c>
      <c r="AN56" t="s">
        <v>201</v>
      </c>
      <c r="AP56" t="s">
        <v>605</v>
      </c>
    </row>
    <row r="57" spans="1:42" x14ac:dyDescent="0.2">
      <c r="A57">
        <v>1597</v>
      </c>
      <c r="H57">
        <v>3</v>
      </c>
      <c r="I57" t="s">
        <v>861</v>
      </c>
      <c r="J57" t="s">
        <v>836</v>
      </c>
      <c r="K57" t="s">
        <v>861</v>
      </c>
      <c r="L57" t="s">
        <v>864</v>
      </c>
      <c r="Q57" t="s">
        <v>835</v>
      </c>
      <c r="R57">
        <v>44</v>
      </c>
      <c r="S57">
        <v>1</v>
      </c>
      <c r="T57" t="s">
        <v>400</v>
      </c>
      <c r="U57" t="s">
        <v>15</v>
      </c>
      <c r="V57" t="s">
        <v>681</v>
      </c>
      <c r="X57" t="s">
        <v>689</v>
      </c>
      <c r="Y57" t="s">
        <v>712</v>
      </c>
      <c r="AA57" t="s">
        <v>689</v>
      </c>
      <c r="AF57" t="s">
        <v>839</v>
      </c>
      <c r="AM57" t="s">
        <v>15</v>
      </c>
      <c r="AN57" t="s">
        <v>681</v>
      </c>
      <c r="AP57" t="s">
        <v>605</v>
      </c>
    </row>
    <row r="58" spans="1:42" x14ac:dyDescent="0.2">
      <c r="A58">
        <v>1598</v>
      </c>
      <c r="H58">
        <v>3</v>
      </c>
      <c r="I58" t="s">
        <v>861</v>
      </c>
      <c r="J58" t="s">
        <v>864</v>
      </c>
      <c r="Q58" t="s">
        <v>835</v>
      </c>
      <c r="R58">
        <v>44</v>
      </c>
      <c r="S58">
        <v>1</v>
      </c>
      <c r="T58" t="s">
        <v>400</v>
      </c>
      <c r="U58" t="s">
        <v>8</v>
      </c>
      <c r="V58" t="s">
        <v>189</v>
      </c>
      <c r="W58" t="s">
        <v>70</v>
      </c>
      <c r="X58" t="s">
        <v>689</v>
      </c>
      <c r="AF58" t="s">
        <v>839</v>
      </c>
      <c r="AM58" t="s">
        <v>8</v>
      </c>
      <c r="AN58" t="s">
        <v>189</v>
      </c>
      <c r="AP58" t="s">
        <v>605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400</v>
      </c>
      <c r="AM59" t="s">
        <v>8</v>
      </c>
      <c r="AN59" t="s">
        <v>189</v>
      </c>
      <c r="AP59" t="s">
        <v>605</v>
      </c>
    </row>
    <row r="60" spans="1:42" x14ac:dyDescent="0.2">
      <c r="A60">
        <v>1599</v>
      </c>
      <c r="H60">
        <v>3</v>
      </c>
      <c r="I60" t="s">
        <v>861</v>
      </c>
      <c r="J60" t="s">
        <v>865</v>
      </c>
      <c r="Q60" t="s">
        <v>835</v>
      </c>
      <c r="R60">
        <v>18</v>
      </c>
      <c r="S60">
        <v>1</v>
      </c>
      <c r="T60" t="s">
        <v>400</v>
      </c>
      <c r="U60" t="s">
        <v>257</v>
      </c>
      <c r="V60" t="s">
        <v>191</v>
      </c>
      <c r="W60" t="s">
        <v>87</v>
      </c>
      <c r="X60" t="s">
        <v>688</v>
      </c>
      <c r="AF60" t="s">
        <v>401</v>
      </c>
      <c r="AJ60">
        <v>1</v>
      </c>
      <c r="AM60" t="s">
        <v>257</v>
      </c>
      <c r="AN60" t="s">
        <v>191</v>
      </c>
      <c r="AP60" t="s">
        <v>605</v>
      </c>
    </row>
    <row r="61" spans="1:42" x14ac:dyDescent="0.2">
      <c r="A61">
        <v>1599</v>
      </c>
      <c r="H61">
        <v>3</v>
      </c>
      <c r="R61">
        <v>24</v>
      </c>
      <c r="T61" t="s">
        <v>401</v>
      </c>
      <c r="AJ61">
        <v>1</v>
      </c>
      <c r="AM61" t="s">
        <v>257</v>
      </c>
      <c r="AN61" t="s">
        <v>191</v>
      </c>
      <c r="AP61" t="s">
        <v>606</v>
      </c>
    </row>
    <row r="62" spans="1:42" x14ac:dyDescent="0.2">
      <c r="A62">
        <v>1600</v>
      </c>
      <c r="H62">
        <v>3</v>
      </c>
      <c r="I62" t="s">
        <v>861</v>
      </c>
      <c r="J62" t="s">
        <v>866</v>
      </c>
      <c r="Q62" t="s">
        <v>840</v>
      </c>
      <c r="R62">
        <v>24</v>
      </c>
      <c r="S62">
        <v>1</v>
      </c>
      <c r="T62" t="s">
        <v>400</v>
      </c>
      <c r="U62" t="s">
        <v>10</v>
      </c>
      <c r="V62" t="s">
        <v>200</v>
      </c>
      <c r="W62" t="s">
        <v>81</v>
      </c>
      <c r="X62" t="s">
        <v>689</v>
      </c>
      <c r="Y62" t="s">
        <v>725</v>
      </c>
      <c r="AA62" t="s">
        <v>689</v>
      </c>
      <c r="AF62" t="s">
        <v>845</v>
      </c>
      <c r="AJ62">
        <v>1</v>
      </c>
      <c r="AM62" t="s">
        <v>10</v>
      </c>
      <c r="AN62" t="s">
        <v>200</v>
      </c>
      <c r="AP62" t="s">
        <v>606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400</v>
      </c>
      <c r="Y63" t="s">
        <v>696</v>
      </c>
      <c r="AA63" t="s">
        <v>689</v>
      </c>
      <c r="AJ63">
        <v>1</v>
      </c>
      <c r="AM63" t="s">
        <v>10</v>
      </c>
      <c r="AN63" t="s">
        <v>200</v>
      </c>
      <c r="AP63" t="s">
        <v>606</v>
      </c>
    </row>
    <row r="64" spans="1:42" x14ac:dyDescent="0.2">
      <c r="A64">
        <v>1600</v>
      </c>
      <c r="H64">
        <v>3</v>
      </c>
      <c r="R64">
        <v>18</v>
      </c>
      <c r="T64" t="s">
        <v>401</v>
      </c>
      <c r="AJ64">
        <v>1</v>
      </c>
      <c r="AM64" t="s">
        <v>10</v>
      </c>
      <c r="AN64" t="s">
        <v>200</v>
      </c>
      <c r="AP64" t="s">
        <v>605</v>
      </c>
    </row>
    <row r="65" spans="1:42" x14ac:dyDescent="0.2">
      <c r="A65">
        <v>1601</v>
      </c>
      <c r="B65">
        <v>248</v>
      </c>
      <c r="H65">
        <v>3</v>
      </c>
      <c r="I65" t="s">
        <v>861</v>
      </c>
      <c r="J65" t="s">
        <v>899</v>
      </c>
      <c r="Q65" t="s">
        <v>840</v>
      </c>
      <c r="R65">
        <v>84</v>
      </c>
      <c r="S65">
        <v>1</v>
      </c>
      <c r="T65" t="s">
        <v>400</v>
      </c>
      <c r="U65" t="s">
        <v>12</v>
      </c>
      <c r="V65" t="s">
        <v>192</v>
      </c>
      <c r="W65" t="s">
        <v>141</v>
      </c>
      <c r="AF65" t="s">
        <v>845</v>
      </c>
      <c r="AM65" t="s">
        <v>12</v>
      </c>
      <c r="AN65" t="s">
        <v>192</v>
      </c>
      <c r="AP65" t="s">
        <v>605</v>
      </c>
    </row>
    <row r="66" spans="1:42" x14ac:dyDescent="0.2">
      <c r="A66">
        <v>1602</v>
      </c>
      <c r="B66">
        <v>248</v>
      </c>
      <c r="H66">
        <v>3</v>
      </c>
      <c r="I66" t="s">
        <v>861</v>
      </c>
      <c r="J66" t="s">
        <v>899</v>
      </c>
      <c r="K66" t="s">
        <v>861</v>
      </c>
      <c r="L66" t="s">
        <v>446</v>
      </c>
      <c r="Q66" t="s">
        <v>840</v>
      </c>
      <c r="R66">
        <v>84</v>
      </c>
      <c r="S66">
        <v>1</v>
      </c>
      <c r="T66" t="s">
        <v>400</v>
      </c>
      <c r="U66" t="s">
        <v>13</v>
      </c>
      <c r="V66" t="s">
        <v>194</v>
      </c>
      <c r="W66" t="s">
        <v>41</v>
      </c>
      <c r="AF66" t="s">
        <v>845</v>
      </c>
      <c r="AM66" t="s">
        <v>13</v>
      </c>
      <c r="AN66" t="s">
        <v>194</v>
      </c>
      <c r="AP66" t="s">
        <v>915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40" t="s">
        <v>389</v>
      </c>
      <c r="C1" s="43" t="s">
        <v>732</v>
      </c>
    </row>
    <row r="2" spans="1:3" ht="17" x14ac:dyDescent="0.2">
      <c r="A2" s="41" t="s">
        <v>390</v>
      </c>
      <c r="C2" s="43" t="s">
        <v>615</v>
      </c>
    </row>
    <row r="3" spans="1:3" ht="17" x14ac:dyDescent="0.2">
      <c r="A3" s="41" t="s">
        <v>391</v>
      </c>
      <c r="C3" s="43" t="s">
        <v>616</v>
      </c>
    </row>
    <row r="4" spans="1:3" ht="17" x14ac:dyDescent="0.2">
      <c r="A4" s="41" t="s">
        <v>289</v>
      </c>
      <c r="C4" s="43" t="s">
        <v>626</v>
      </c>
    </row>
    <row r="5" spans="1:3" x14ac:dyDescent="0.2">
      <c r="A5" s="42" t="s">
        <v>266</v>
      </c>
    </row>
    <row r="6" spans="1:3" x14ac:dyDescent="0.2">
      <c r="A6" s="41" t="s">
        <v>403</v>
      </c>
    </row>
    <row r="7" spans="1:3" x14ac:dyDescent="0.2">
      <c r="A7" s="40" t="s">
        <v>430</v>
      </c>
    </row>
    <row r="8" spans="1:3" x14ac:dyDescent="0.2">
      <c r="A8" s="41" t="s">
        <v>429</v>
      </c>
    </row>
    <row r="9" spans="1:3" x14ac:dyDescent="0.2">
      <c r="A9" s="41" t="s">
        <v>436</v>
      </c>
    </row>
    <row r="10" spans="1:3" x14ac:dyDescent="0.2">
      <c r="A10" s="41" t="s">
        <v>427</v>
      </c>
    </row>
    <row r="11" spans="1:3" x14ac:dyDescent="0.2">
      <c r="A11" s="41" t="s">
        <v>428</v>
      </c>
    </row>
    <row r="12" spans="1:3" x14ac:dyDescent="0.2">
      <c r="A12" s="41" t="s">
        <v>503</v>
      </c>
    </row>
    <row r="13" spans="1:3" x14ac:dyDescent="0.2">
      <c r="A13" s="41" t="s">
        <v>743</v>
      </c>
    </row>
    <row r="14" spans="1:3" x14ac:dyDescent="0.2">
      <c r="A14" s="41" t="s">
        <v>504</v>
      </c>
    </row>
    <row r="15" spans="1:3" x14ac:dyDescent="0.2">
      <c r="A15" s="41" t="s">
        <v>505</v>
      </c>
    </row>
    <row r="16" spans="1:3" x14ac:dyDescent="0.2">
      <c r="A16" s="41" t="s">
        <v>744</v>
      </c>
    </row>
    <row r="17" spans="1:1" x14ac:dyDescent="0.2">
      <c r="A17" s="41" t="s">
        <v>501</v>
      </c>
    </row>
    <row r="18" spans="1:1" x14ac:dyDescent="0.2">
      <c r="A18" s="41" t="s">
        <v>502</v>
      </c>
    </row>
    <row r="19" spans="1:1" x14ac:dyDescent="0.2">
      <c r="A19" s="41" t="s">
        <v>506</v>
      </c>
    </row>
    <row r="20" spans="1:1" x14ac:dyDescent="0.2">
      <c r="A20" s="41" t="s">
        <v>507</v>
      </c>
    </row>
    <row r="21" spans="1:1" x14ac:dyDescent="0.2">
      <c r="A21" s="41" t="s">
        <v>508</v>
      </c>
    </row>
    <row r="22" spans="1:1" x14ac:dyDescent="0.2">
      <c r="A22" s="41" t="s">
        <v>509</v>
      </c>
    </row>
    <row r="23" spans="1:1" x14ac:dyDescent="0.2">
      <c r="A23" s="41" t="s">
        <v>510</v>
      </c>
    </row>
    <row r="24" spans="1:1" x14ac:dyDescent="0.2">
      <c r="A24" s="41" t="s">
        <v>510</v>
      </c>
    </row>
    <row r="25" spans="1:1" x14ac:dyDescent="0.2">
      <c r="A25" s="41" t="s">
        <v>511</v>
      </c>
    </row>
    <row r="26" spans="1:1" x14ac:dyDescent="0.2">
      <c r="A26" s="41" t="s">
        <v>512</v>
      </c>
    </row>
    <row r="27" spans="1:1" x14ac:dyDescent="0.2">
      <c r="A27" s="41" t="s">
        <v>513</v>
      </c>
    </row>
    <row r="28" spans="1:1" x14ac:dyDescent="0.2">
      <c r="A28" s="41" t="s">
        <v>514</v>
      </c>
    </row>
    <row r="29" spans="1:1" x14ac:dyDescent="0.2">
      <c r="A29" s="41" t="s">
        <v>515</v>
      </c>
    </row>
    <row r="30" spans="1:1" x14ac:dyDescent="0.2">
      <c r="A30" s="41" t="s">
        <v>517</v>
      </c>
    </row>
    <row r="31" spans="1:1" x14ac:dyDescent="0.2">
      <c r="A31" s="41" t="s">
        <v>516</v>
      </c>
    </row>
    <row r="32" spans="1:1" x14ac:dyDescent="0.2">
      <c r="A32" s="41" t="s">
        <v>518</v>
      </c>
    </row>
    <row r="33" spans="1:1" x14ac:dyDescent="0.2">
      <c r="A33" s="41" t="s">
        <v>519</v>
      </c>
    </row>
    <row r="34" spans="1:1" x14ac:dyDescent="0.2">
      <c r="A34" s="41" t="s">
        <v>520</v>
      </c>
    </row>
    <row r="35" spans="1:1" x14ac:dyDescent="0.2">
      <c r="A35" s="41" t="s">
        <v>521</v>
      </c>
    </row>
    <row r="36" spans="1:1" x14ac:dyDescent="0.2">
      <c r="A36" s="41" t="s">
        <v>522</v>
      </c>
    </row>
    <row r="37" spans="1:1" x14ac:dyDescent="0.2">
      <c r="A37" s="41" t="s">
        <v>523</v>
      </c>
    </row>
    <row r="38" spans="1:1" x14ac:dyDescent="0.2">
      <c r="A38" s="41" t="s">
        <v>524</v>
      </c>
    </row>
    <row r="39" spans="1:1" x14ac:dyDescent="0.2">
      <c r="A39" s="41" t="s">
        <v>525</v>
      </c>
    </row>
    <row r="40" spans="1:1" x14ac:dyDescent="0.2">
      <c r="A40" s="41" t="s">
        <v>526</v>
      </c>
    </row>
    <row r="41" spans="1:1" x14ac:dyDescent="0.2">
      <c r="A41" s="41" t="s">
        <v>527</v>
      </c>
    </row>
    <row r="42" spans="1:1" x14ac:dyDescent="0.2">
      <c r="A42" s="41" t="s">
        <v>528</v>
      </c>
    </row>
    <row r="43" spans="1:1" x14ac:dyDescent="0.2">
      <c r="A43" s="41" t="s">
        <v>529</v>
      </c>
    </row>
    <row r="44" spans="1:1" x14ac:dyDescent="0.2">
      <c r="A44" s="41" t="s">
        <v>530</v>
      </c>
    </row>
    <row r="45" spans="1:1" x14ac:dyDescent="0.2">
      <c r="A45" s="41" t="s">
        <v>531</v>
      </c>
    </row>
    <row r="46" spans="1:1" x14ac:dyDescent="0.2">
      <c r="A46" s="41" t="s">
        <v>532</v>
      </c>
    </row>
    <row r="47" spans="1:1" x14ac:dyDescent="0.2">
      <c r="A47" s="41" t="s">
        <v>533</v>
      </c>
    </row>
    <row r="48" spans="1:1" x14ac:dyDescent="0.2">
      <c r="A48" s="41" t="s">
        <v>534</v>
      </c>
    </row>
    <row r="49" spans="1:1" x14ac:dyDescent="0.2">
      <c r="A49" s="41" t="s">
        <v>535</v>
      </c>
    </row>
    <row r="50" spans="1:1" x14ac:dyDescent="0.2">
      <c r="A50" s="41" t="s">
        <v>536</v>
      </c>
    </row>
    <row r="51" spans="1:1" x14ac:dyDescent="0.2">
      <c r="A51" s="41" t="s">
        <v>537</v>
      </c>
    </row>
    <row r="52" spans="1:1" x14ac:dyDescent="0.2">
      <c r="A52" s="41" t="s">
        <v>538</v>
      </c>
    </row>
    <row r="53" spans="1:1" x14ac:dyDescent="0.2">
      <c r="A53" s="41" t="s">
        <v>539</v>
      </c>
    </row>
    <row r="54" spans="1:1" x14ac:dyDescent="0.2">
      <c r="A54" s="41" t="s">
        <v>541</v>
      </c>
    </row>
    <row r="55" spans="1:1" x14ac:dyDescent="0.2">
      <c r="A55" s="41" t="s">
        <v>540</v>
      </c>
    </row>
    <row r="56" spans="1:1" x14ac:dyDescent="0.2">
      <c r="A56" s="41" t="s">
        <v>546</v>
      </c>
    </row>
    <row r="57" spans="1:1" x14ac:dyDescent="0.2">
      <c r="A57" s="41" t="s">
        <v>547</v>
      </c>
    </row>
    <row r="58" spans="1:1" x14ac:dyDescent="0.2">
      <c r="A58" s="41" t="s">
        <v>548</v>
      </c>
    </row>
    <row r="59" spans="1:1" x14ac:dyDescent="0.2">
      <c r="A59" s="41" t="s">
        <v>549</v>
      </c>
    </row>
    <row r="60" spans="1:1" x14ac:dyDescent="0.2">
      <c r="A60" s="41" t="s">
        <v>550</v>
      </c>
    </row>
    <row r="61" spans="1:1" x14ac:dyDescent="0.2">
      <c r="A61" s="41" t="s">
        <v>551</v>
      </c>
    </row>
    <row r="62" spans="1:1" x14ac:dyDescent="0.2">
      <c r="A62" s="41" t="s">
        <v>552</v>
      </c>
    </row>
    <row r="63" spans="1:1" x14ac:dyDescent="0.2">
      <c r="A63" s="41" t="s">
        <v>553</v>
      </c>
    </row>
    <row r="64" spans="1:1" x14ac:dyDescent="0.2">
      <c r="A64" s="41" t="s">
        <v>554</v>
      </c>
    </row>
    <row r="65" spans="1:1" x14ac:dyDescent="0.2">
      <c r="A65" s="41" t="s">
        <v>555</v>
      </c>
    </row>
    <row r="66" spans="1:1" x14ac:dyDescent="0.2">
      <c r="A66" s="41" t="s">
        <v>556</v>
      </c>
    </row>
    <row r="67" spans="1:1" x14ac:dyDescent="0.2">
      <c r="A67" s="41" t="s">
        <v>558</v>
      </c>
    </row>
    <row r="68" spans="1:1" x14ac:dyDescent="0.2">
      <c r="A68" s="41" t="s">
        <v>597</v>
      </c>
    </row>
    <row r="69" spans="1:1" x14ac:dyDescent="0.2">
      <c r="A69" s="41" t="s">
        <v>598</v>
      </c>
    </row>
    <row r="70" spans="1:1" x14ac:dyDescent="0.2">
      <c r="A70" s="41" t="s">
        <v>600</v>
      </c>
    </row>
    <row r="71" spans="1:1" x14ac:dyDescent="0.2">
      <c r="A71" s="41" t="s">
        <v>599</v>
      </c>
    </row>
    <row r="72" spans="1:1" x14ac:dyDescent="0.2">
      <c r="A72" s="41" t="s">
        <v>603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30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30" bestFit="1" customWidth="1"/>
    <col min="11" max="17" width="26.6640625" customWidth="1"/>
    <col min="18" max="18" width="4" customWidth="1"/>
    <col min="19" max="19" width="32.83203125" style="30" bestFit="1" customWidth="1"/>
    <col min="21" max="22" width="24" customWidth="1"/>
    <col min="23" max="26" width="21" customWidth="1"/>
    <col min="27" max="27" width="4.5" customWidth="1"/>
    <col min="28" max="28" width="36.6640625" style="30" bestFit="1" customWidth="1"/>
    <col min="36" max="36" width="4" customWidth="1"/>
    <col min="37" max="37" width="39" style="30" bestFit="1" customWidth="1"/>
    <col min="45" max="45" width="4.5" customWidth="1"/>
    <col min="46" max="46" width="9.83203125" style="30" bestFit="1" customWidth="1"/>
    <col min="52" max="52" width="10.83203125" style="30"/>
    <col min="58" max="58" width="20.1640625" style="30" bestFit="1" customWidth="1"/>
    <col min="65" max="65" width="17.1640625" style="30" bestFit="1" customWidth="1"/>
    <col min="70" max="70" width="33.33203125" style="30" bestFit="1" customWidth="1"/>
  </cols>
  <sheetData>
    <row r="1" spans="1:73" s="28" customFormat="1" x14ac:dyDescent="0.2">
      <c r="A1" s="29" t="s">
        <v>2</v>
      </c>
      <c r="B1" s="28" t="s">
        <v>792</v>
      </c>
      <c r="C1" s="28" t="s">
        <v>793</v>
      </c>
      <c r="D1" s="28" t="s">
        <v>795</v>
      </c>
      <c r="E1" s="28" t="s">
        <v>794</v>
      </c>
      <c r="F1" s="28" t="s">
        <v>801</v>
      </c>
      <c r="G1" s="28" t="s">
        <v>802</v>
      </c>
      <c r="J1" s="29" t="s">
        <v>52</v>
      </c>
      <c r="K1" s="28" t="s">
        <v>792</v>
      </c>
      <c r="L1" s="28" t="s">
        <v>793</v>
      </c>
      <c r="M1" s="28" t="s">
        <v>795</v>
      </c>
      <c r="N1" s="28" t="s">
        <v>794</v>
      </c>
      <c r="O1" s="28" t="s">
        <v>801</v>
      </c>
      <c r="P1" s="28" t="s">
        <v>802</v>
      </c>
      <c r="S1" s="29" t="s">
        <v>144</v>
      </c>
      <c r="T1" s="28" t="s">
        <v>792</v>
      </c>
      <c r="U1" s="28" t="s">
        <v>793</v>
      </c>
      <c r="V1" s="28" t="s">
        <v>795</v>
      </c>
      <c r="W1" s="28" t="s">
        <v>794</v>
      </c>
      <c r="X1" s="28" t="s">
        <v>801</v>
      </c>
      <c r="Y1" s="28" t="s">
        <v>802</v>
      </c>
      <c r="AC1" s="28" t="s">
        <v>792</v>
      </c>
      <c r="AD1" s="28" t="s">
        <v>793</v>
      </c>
      <c r="AE1" s="28" t="s">
        <v>795</v>
      </c>
      <c r="AF1" s="28" t="s">
        <v>794</v>
      </c>
      <c r="AG1" s="28" t="s">
        <v>801</v>
      </c>
      <c r="AH1" s="28" t="s">
        <v>802</v>
      </c>
      <c r="AL1" s="28" t="s">
        <v>792</v>
      </c>
      <c r="AM1" s="28" t="s">
        <v>793</v>
      </c>
      <c r="AN1" s="28" t="s">
        <v>795</v>
      </c>
      <c r="AO1" s="28" t="s">
        <v>794</v>
      </c>
      <c r="AP1" s="28" t="s">
        <v>794</v>
      </c>
      <c r="AQ1" s="28" t="s">
        <v>801</v>
      </c>
      <c r="AR1" s="28" t="s">
        <v>802</v>
      </c>
      <c r="AT1" s="29" t="s">
        <v>615</v>
      </c>
      <c r="AU1" s="28" t="s">
        <v>792</v>
      </c>
      <c r="AV1" s="28" t="s">
        <v>793</v>
      </c>
      <c r="AW1" s="28" t="s">
        <v>795</v>
      </c>
      <c r="AX1" s="28" t="s">
        <v>794</v>
      </c>
      <c r="AZ1" s="29" t="s">
        <v>616</v>
      </c>
      <c r="BA1" s="28" t="s">
        <v>792</v>
      </c>
      <c r="BB1" s="28" t="s">
        <v>793</v>
      </c>
      <c r="BC1" s="28" t="s">
        <v>795</v>
      </c>
      <c r="BD1" s="28" t="s">
        <v>794</v>
      </c>
      <c r="BF1" s="29" t="s">
        <v>691</v>
      </c>
      <c r="BG1" s="28" t="s">
        <v>792</v>
      </c>
      <c r="BH1" s="28" t="s">
        <v>793</v>
      </c>
      <c r="BI1" s="28" t="s">
        <v>795</v>
      </c>
      <c r="BJ1" s="28" t="s">
        <v>794</v>
      </c>
      <c r="BM1" s="29" t="s">
        <v>376</v>
      </c>
      <c r="BN1" s="28" t="s">
        <v>792</v>
      </c>
      <c r="BO1" s="28" t="s">
        <v>793</v>
      </c>
      <c r="BP1" s="28" t="s">
        <v>794</v>
      </c>
      <c r="BR1" s="29" t="s">
        <v>377</v>
      </c>
      <c r="BS1" s="28" t="s">
        <v>792</v>
      </c>
      <c r="BT1" s="28" t="s">
        <v>793</v>
      </c>
      <c r="BU1" s="28" t="s">
        <v>794</v>
      </c>
    </row>
    <row r="2" spans="1:73" x14ac:dyDescent="0.2">
      <c r="A2" s="30" t="s">
        <v>6</v>
      </c>
      <c r="J2" s="30" t="s">
        <v>6</v>
      </c>
      <c r="S2" s="30" t="s">
        <v>186</v>
      </c>
      <c r="AB2" s="29" t="s">
        <v>605</v>
      </c>
      <c r="AH2" t="s">
        <v>817</v>
      </c>
      <c r="AK2" s="29" t="s">
        <v>606</v>
      </c>
      <c r="AR2" t="s">
        <v>817</v>
      </c>
      <c r="AT2" s="30" t="s">
        <v>621</v>
      </c>
      <c r="AZ2" s="30" t="s">
        <v>618</v>
      </c>
      <c r="BF2" s="30" t="s">
        <v>733</v>
      </c>
      <c r="BM2" s="30" t="s">
        <v>317</v>
      </c>
      <c r="BR2" s="30" t="s">
        <v>284</v>
      </c>
    </row>
    <row r="3" spans="1:73" x14ac:dyDescent="0.2">
      <c r="A3" s="30" t="s">
        <v>7</v>
      </c>
      <c r="E3" t="s">
        <v>17</v>
      </c>
      <c r="J3" s="30" t="s">
        <v>19</v>
      </c>
      <c r="S3" s="30" t="s">
        <v>193</v>
      </c>
      <c r="X3" t="s">
        <v>689</v>
      </c>
      <c r="AB3" s="30" t="s">
        <v>661</v>
      </c>
      <c r="AK3" s="30" t="s">
        <v>695</v>
      </c>
      <c r="AT3" s="30" t="s">
        <v>622</v>
      </c>
      <c r="AZ3" s="30" t="s">
        <v>617</v>
      </c>
      <c r="BF3" s="30" t="s">
        <v>734</v>
      </c>
      <c r="BM3" s="30" t="s">
        <v>319</v>
      </c>
      <c r="BR3" s="30" t="s">
        <v>324</v>
      </c>
    </row>
    <row r="4" spans="1:73" x14ac:dyDescent="0.2">
      <c r="A4" s="30" t="s">
        <v>8</v>
      </c>
      <c r="J4" s="30" t="s">
        <v>20</v>
      </c>
      <c r="S4" s="30" t="s">
        <v>203</v>
      </c>
      <c r="X4" t="s">
        <v>688</v>
      </c>
      <c r="AB4" s="30" t="s">
        <v>702</v>
      </c>
      <c r="AK4" s="30" t="s">
        <v>725</v>
      </c>
      <c r="AT4" s="30" t="s">
        <v>623</v>
      </c>
      <c r="AZ4" s="30" t="s">
        <v>156</v>
      </c>
      <c r="BF4" s="30" t="s">
        <v>735</v>
      </c>
      <c r="BM4" s="30" t="s">
        <v>320</v>
      </c>
      <c r="BR4" s="30" t="s">
        <v>325</v>
      </c>
    </row>
    <row r="5" spans="1:73" x14ac:dyDescent="0.2">
      <c r="A5" s="30" t="s">
        <v>9</v>
      </c>
      <c r="E5" t="s">
        <v>7</v>
      </c>
      <c r="J5" s="30" t="s">
        <v>21</v>
      </c>
      <c r="S5" s="30" t="s">
        <v>212</v>
      </c>
      <c r="X5" t="s">
        <v>689</v>
      </c>
      <c r="AB5" s="30" t="s">
        <v>748</v>
      </c>
      <c r="AK5" s="30" t="s">
        <v>757</v>
      </c>
      <c r="AT5" s="30" t="s">
        <v>620</v>
      </c>
      <c r="AZ5" s="30" t="s">
        <v>692</v>
      </c>
      <c r="BF5" s="30" t="s">
        <v>736</v>
      </c>
      <c r="BM5" s="30" t="s">
        <v>321</v>
      </c>
      <c r="BR5" s="30" t="s">
        <v>326</v>
      </c>
    </row>
    <row r="6" spans="1:73" x14ac:dyDescent="0.2">
      <c r="A6" s="30" t="s">
        <v>10</v>
      </c>
      <c r="E6" t="s">
        <v>800</v>
      </c>
      <c r="J6" s="31" t="s">
        <v>22</v>
      </c>
      <c r="S6" s="30" t="s">
        <v>217</v>
      </c>
      <c r="X6" t="s">
        <v>689</v>
      </c>
      <c r="AB6" s="30" t="s">
        <v>758</v>
      </c>
      <c r="AK6" s="30" t="s">
        <v>703</v>
      </c>
      <c r="AZ6" s="30" t="s">
        <v>667</v>
      </c>
      <c r="BF6" s="30" t="s">
        <v>737</v>
      </c>
      <c r="BM6" s="30" t="s">
        <v>322</v>
      </c>
      <c r="BR6" s="30" t="s">
        <v>327</v>
      </c>
    </row>
    <row r="7" spans="1:73" x14ac:dyDescent="0.2">
      <c r="A7" s="30" t="s">
        <v>257</v>
      </c>
      <c r="E7" t="s">
        <v>796</v>
      </c>
      <c r="J7" s="30" t="s">
        <v>23</v>
      </c>
      <c r="S7" s="30" t="s">
        <v>219</v>
      </c>
      <c r="X7" t="s">
        <v>688</v>
      </c>
      <c r="AB7" s="30" t="s">
        <v>759</v>
      </c>
      <c r="AK7" s="30" t="s">
        <v>760</v>
      </c>
      <c r="AZ7" s="30" t="s">
        <v>668</v>
      </c>
      <c r="BF7" s="30" t="s">
        <v>738</v>
      </c>
      <c r="BM7" s="30" t="s">
        <v>323</v>
      </c>
      <c r="BR7" s="30" t="s">
        <v>328</v>
      </c>
    </row>
    <row r="8" spans="1:73" x14ac:dyDescent="0.2">
      <c r="A8" s="30" t="s">
        <v>12</v>
      </c>
      <c r="J8" s="30" t="s">
        <v>24</v>
      </c>
      <c r="S8" s="30" t="s">
        <v>220</v>
      </c>
      <c r="X8" t="s">
        <v>689</v>
      </c>
      <c r="AB8" s="30" t="s">
        <v>724</v>
      </c>
      <c r="AK8" s="30" t="s">
        <v>728</v>
      </c>
      <c r="AZ8" s="30" t="s">
        <v>670</v>
      </c>
      <c r="BF8" s="30" t="s">
        <v>739</v>
      </c>
      <c r="BM8" s="30" t="s">
        <v>426</v>
      </c>
      <c r="BR8" s="30" t="s">
        <v>329</v>
      </c>
    </row>
    <row r="9" spans="1:73" x14ac:dyDescent="0.2">
      <c r="A9" s="30" t="s">
        <v>256</v>
      </c>
      <c r="J9" s="30" t="s">
        <v>25</v>
      </c>
      <c r="AB9" s="30" t="s">
        <v>727</v>
      </c>
      <c r="AK9" s="30" t="s">
        <v>731</v>
      </c>
      <c r="AZ9" s="30" t="s">
        <v>671</v>
      </c>
      <c r="BF9" s="30" t="s">
        <v>740</v>
      </c>
      <c r="BM9" s="30" t="s">
        <v>609</v>
      </c>
      <c r="BR9" s="30" t="s">
        <v>318</v>
      </c>
    </row>
    <row r="10" spans="1:73" x14ac:dyDescent="0.2">
      <c r="A10" s="30" t="s">
        <v>13</v>
      </c>
      <c r="E10" t="s">
        <v>797</v>
      </c>
      <c r="J10" s="30" t="s">
        <v>26</v>
      </c>
      <c r="S10" s="30" t="s">
        <v>194</v>
      </c>
      <c r="AB10" s="30" t="s">
        <v>721</v>
      </c>
      <c r="AK10" s="30" t="s">
        <v>719</v>
      </c>
      <c r="AZ10" s="30" t="s">
        <v>693</v>
      </c>
      <c r="BM10" s="30" t="s">
        <v>320</v>
      </c>
      <c r="BR10" s="30" t="s">
        <v>330</v>
      </c>
    </row>
    <row r="11" spans="1:73" x14ac:dyDescent="0.2">
      <c r="A11" s="30" t="s">
        <v>14</v>
      </c>
      <c r="J11" s="32" t="s">
        <v>27</v>
      </c>
      <c r="S11" s="30" t="s">
        <v>204</v>
      </c>
      <c r="AB11" s="30" t="s">
        <v>716</v>
      </c>
      <c r="AK11" s="30" t="s">
        <v>761</v>
      </c>
      <c r="BR11" s="30" t="s">
        <v>331</v>
      </c>
    </row>
    <row r="12" spans="1:73" x14ac:dyDescent="0.2">
      <c r="A12" s="30" t="s">
        <v>15</v>
      </c>
      <c r="J12" s="30" t="s">
        <v>28</v>
      </c>
      <c r="S12" s="30" t="s">
        <v>213</v>
      </c>
      <c r="AB12" s="30" t="s">
        <v>762</v>
      </c>
      <c r="AK12" s="30" t="s">
        <v>720</v>
      </c>
      <c r="BR12" s="30" t="s">
        <v>332</v>
      </c>
    </row>
    <row r="13" spans="1:73" x14ac:dyDescent="0.2">
      <c r="A13" s="30" t="s">
        <v>16</v>
      </c>
      <c r="J13" s="30" t="s">
        <v>29</v>
      </c>
      <c r="S13" s="30" t="s">
        <v>435</v>
      </c>
      <c r="AB13" s="30" t="s">
        <v>763</v>
      </c>
      <c r="AK13" s="30" t="s">
        <v>764</v>
      </c>
      <c r="BR13" s="30" t="s">
        <v>333</v>
      </c>
    </row>
    <row r="14" spans="1:73" x14ac:dyDescent="0.2">
      <c r="A14" s="30" t="s">
        <v>17</v>
      </c>
      <c r="E14" t="s">
        <v>798</v>
      </c>
      <c r="J14" s="30" t="s">
        <v>30</v>
      </c>
      <c r="AB14" s="30" t="s">
        <v>718</v>
      </c>
      <c r="AK14" s="30" t="s">
        <v>765</v>
      </c>
      <c r="BR14" s="30" t="s">
        <v>334</v>
      </c>
    </row>
    <row r="15" spans="1:73" x14ac:dyDescent="0.2">
      <c r="A15" s="30" t="s">
        <v>18</v>
      </c>
      <c r="J15" s="30" t="s">
        <v>31</v>
      </c>
      <c r="S15" s="30" t="s">
        <v>196</v>
      </c>
      <c r="AB15" s="30" t="s">
        <v>766</v>
      </c>
      <c r="AK15" s="30" t="s">
        <v>767</v>
      </c>
      <c r="BR15" s="30" t="s">
        <v>335</v>
      </c>
    </row>
    <row r="16" spans="1:73" x14ac:dyDescent="0.2">
      <c r="A16" s="30" t="s">
        <v>250</v>
      </c>
      <c r="E16" t="s">
        <v>799</v>
      </c>
      <c r="J16" s="30" t="s">
        <v>32</v>
      </c>
      <c r="S16" s="30" t="s">
        <v>206</v>
      </c>
      <c r="AB16" s="30" t="s">
        <v>723</v>
      </c>
      <c r="AK16" s="30" t="s">
        <v>741</v>
      </c>
      <c r="BR16" s="30" t="s">
        <v>336</v>
      </c>
    </row>
    <row r="17" spans="1:70" x14ac:dyDescent="0.2">
      <c r="A17" s="30" t="s">
        <v>262</v>
      </c>
      <c r="J17" s="30" t="s">
        <v>33</v>
      </c>
      <c r="S17" s="30" t="s">
        <v>417</v>
      </c>
      <c r="AB17" s="30" t="s">
        <v>663</v>
      </c>
      <c r="AK17" s="30" t="s">
        <v>696</v>
      </c>
      <c r="BR17" s="30" t="s">
        <v>337</v>
      </c>
    </row>
    <row r="18" spans="1:70" x14ac:dyDescent="0.2">
      <c r="A18" s="30" t="s">
        <v>247</v>
      </c>
      <c r="J18" s="30" t="s">
        <v>34</v>
      </c>
      <c r="AB18" s="30" t="s">
        <v>768</v>
      </c>
      <c r="AK18" s="30" t="s">
        <v>700</v>
      </c>
      <c r="BR18" s="30" t="s">
        <v>338</v>
      </c>
    </row>
    <row r="19" spans="1:70" x14ac:dyDescent="0.2">
      <c r="A19" s="30" t="s">
        <v>425</v>
      </c>
      <c r="J19" s="30" t="s">
        <v>35</v>
      </c>
      <c r="S19" s="30" t="s">
        <v>67</v>
      </c>
      <c r="X19" t="s">
        <v>815</v>
      </c>
      <c r="AB19" s="30" t="s">
        <v>769</v>
      </c>
      <c r="AK19" s="30" t="s">
        <v>699</v>
      </c>
      <c r="BR19" s="30" t="s">
        <v>339</v>
      </c>
    </row>
    <row r="20" spans="1:70" x14ac:dyDescent="0.2">
      <c r="A20" s="30" t="s">
        <v>426</v>
      </c>
      <c r="J20" s="30" t="s">
        <v>36</v>
      </c>
      <c r="S20" s="30" t="s">
        <v>68</v>
      </c>
      <c r="X20" t="s">
        <v>815</v>
      </c>
      <c r="AB20" s="30" t="s">
        <v>770</v>
      </c>
      <c r="AK20" s="30" t="s">
        <v>745</v>
      </c>
      <c r="BR20" s="30" t="s">
        <v>340</v>
      </c>
    </row>
    <row r="21" spans="1:70" x14ac:dyDescent="0.2">
      <c r="A21" s="30" t="s">
        <v>431</v>
      </c>
      <c r="J21" s="30" t="s">
        <v>37</v>
      </c>
      <c r="S21" s="30" t="s">
        <v>69</v>
      </c>
      <c r="X21" t="s">
        <v>815</v>
      </c>
      <c r="AB21" s="30" t="s">
        <v>771</v>
      </c>
      <c r="AK21" s="30" t="s">
        <v>665</v>
      </c>
      <c r="BR21" s="30" t="s">
        <v>341</v>
      </c>
    </row>
    <row r="22" spans="1:70" x14ac:dyDescent="0.2">
      <c r="A22" s="30" t="s">
        <v>320</v>
      </c>
      <c r="J22" s="30" t="s">
        <v>751</v>
      </c>
      <c r="S22" s="30" t="s">
        <v>70</v>
      </c>
      <c r="X22" t="s">
        <v>815</v>
      </c>
      <c r="AB22" s="30" t="s">
        <v>772</v>
      </c>
      <c r="AK22" s="30" t="s">
        <v>722</v>
      </c>
      <c r="BR22" s="30" t="s">
        <v>342</v>
      </c>
    </row>
    <row r="23" spans="1:70" x14ac:dyDescent="0.2">
      <c r="A23" s="30" t="s">
        <v>433</v>
      </c>
      <c r="J23" s="30" t="s">
        <v>752</v>
      </c>
      <c r="S23" s="30" t="s">
        <v>71</v>
      </c>
      <c r="X23" t="s">
        <v>815</v>
      </c>
      <c r="AB23" s="30" t="s">
        <v>773</v>
      </c>
      <c r="AK23" s="30" t="s">
        <v>774</v>
      </c>
      <c r="BR23" s="30" t="s">
        <v>343</v>
      </c>
    </row>
    <row r="24" spans="1:70" x14ac:dyDescent="0.2">
      <c r="A24" s="30" t="s">
        <v>450</v>
      </c>
      <c r="J24" s="30" t="s">
        <v>753</v>
      </c>
      <c r="S24" s="30" t="s">
        <v>404</v>
      </c>
      <c r="X24" t="s">
        <v>815</v>
      </c>
      <c r="AB24" s="30" t="s">
        <v>730</v>
      </c>
      <c r="AK24" s="30" t="s">
        <v>775</v>
      </c>
      <c r="BR24" s="30" t="s">
        <v>344</v>
      </c>
    </row>
    <row r="25" spans="1:70" x14ac:dyDescent="0.2">
      <c r="A25" s="30" t="s">
        <v>619</v>
      </c>
      <c r="J25" s="30" t="s">
        <v>12</v>
      </c>
      <c r="S25" s="30" t="s">
        <v>405</v>
      </c>
      <c r="X25" t="s">
        <v>815</v>
      </c>
      <c r="AB25" s="30" t="s">
        <v>742</v>
      </c>
      <c r="AK25" s="30" t="s">
        <v>776</v>
      </c>
      <c r="BR25" s="30" t="s">
        <v>345</v>
      </c>
    </row>
    <row r="26" spans="1:70" x14ac:dyDescent="0.2">
      <c r="J26" s="30" t="s">
        <v>38</v>
      </c>
      <c r="S26" s="30" t="s">
        <v>414</v>
      </c>
      <c r="X26" t="s">
        <v>815</v>
      </c>
      <c r="AB26" s="30" t="s">
        <v>749</v>
      </c>
      <c r="AK26" s="30" t="s">
        <v>777</v>
      </c>
      <c r="BR26" s="30" t="s">
        <v>346</v>
      </c>
    </row>
    <row r="27" spans="1:70" x14ac:dyDescent="0.2">
      <c r="J27" s="30" t="s">
        <v>39</v>
      </c>
      <c r="S27" s="30" t="s">
        <v>418</v>
      </c>
      <c r="X27" t="s">
        <v>815</v>
      </c>
      <c r="AB27" s="30" t="s">
        <v>713</v>
      </c>
      <c r="AK27" s="30" t="s">
        <v>778</v>
      </c>
      <c r="BR27" s="30" t="s">
        <v>347</v>
      </c>
    </row>
    <row r="28" spans="1:70" x14ac:dyDescent="0.2">
      <c r="J28" s="30" t="s">
        <v>40</v>
      </c>
      <c r="S28" s="30" t="s">
        <v>477</v>
      </c>
      <c r="X28" t="s">
        <v>815</v>
      </c>
      <c r="AB28" s="30" t="s">
        <v>779</v>
      </c>
      <c r="AK28" s="30" t="s">
        <v>729</v>
      </c>
      <c r="BR28" s="30" t="s">
        <v>348</v>
      </c>
    </row>
    <row r="29" spans="1:70" x14ac:dyDescent="0.2">
      <c r="J29" s="30" t="s">
        <v>41</v>
      </c>
      <c r="S29" s="30" t="s">
        <v>478</v>
      </c>
      <c r="X29" t="s">
        <v>815</v>
      </c>
      <c r="AB29" s="30" t="s">
        <v>662</v>
      </c>
      <c r="AK29" s="30" t="s">
        <v>780</v>
      </c>
      <c r="BR29" s="30" t="s">
        <v>349</v>
      </c>
    </row>
    <row r="30" spans="1:70" x14ac:dyDescent="0.2">
      <c r="J30" s="30" t="s">
        <v>42</v>
      </c>
      <c r="S30" s="32" t="s">
        <v>682</v>
      </c>
      <c r="X30" t="s">
        <v>815</v>
      </c>
      <c r="AB30" s="30" t="s">
        <v>697</v>
      </c>
      <c r="AK30" s="30" t="s">
        <v>781</v>
      </c>
      <c r="BR30" s="30" t="s">
        <v>350</v>
      </c>
    </row>
    <row r="31" spans="1:70" x14ac:dyDescent="0.2">
      <c r="J31" s="30" t="s">
        <v>43</v>
      </c>
      <c r="S31" s="32" t="s">
        <v>683</v>
      </c>
      <c r="X31" t="s">
        <v>815</v>
      </c>
      <c r="AB31" s="30" t="s">
        <v>782</v>
      </c>
      <c r="AK31" s="30" t="s">
        <v>783</v>
      </c>
      <c r="BR31" s="30" t="s">
        <v>351</v>
      </c>
    </row>
    <row r="32" spans="1:70" x14ac:dyDescent="0.2">
      <c r="J32" s="30" t="s">
        <v>44</v>
      </c>
      <c r="S32" s="32" t="s">
        <v>684</v>
      </c>
      <c r="X32" t="s">
        <v>815</v>
      </c>
      <c r="AB32" s="30" t="s">
        <v>664</v>
      </c>
      <c r="AK32" s="30" t="s">
        <v>717</v>
      </c>
      <c r="BR32" s="30" t="s">
        <v>352</v>
      </c>
    </row>
    <row r="33" spans="10:70" x14ac:dyDescent="0.2">
      <c r="J33" s="30" t="s">
        <v>45</v>
      </c>
      <c r="S33" s="32" t="s">
        <v>685</v>
      </c>
      <c r="X33" t="s">
        <v>815</v>
      </c>
      <c r="AB33" s="30" t="s">
        <v>750</v>
      </c>
      <c r="AK33" s="30" t="s">
        <v>784</v>
      </c>
      <c r="BR33" s="30" t="s">
        <v>353</v>
      </c>
    </row>
    <row r="34" spans="10:70" x14ac:dyDescent="0.2">
      <c r="J34" s="30" t="s">
        <v>46</v>
      </c>
      <c r="S34" s="32" t="s">
        <v>686</v>
      </c>
      <c r="X34" t="s">
        <v>815</v>
      </c>
      <c r="AB34" s="30" t="s">
        <v>662</v>
      </c>
      <c r="AK34" s="30" t="s">
        <v>726</v>
      </c>
      <c r="BR34" s="30" t="s">
        <v>354</v>
      </c>
    </row>
    <row r="35" spans="10:70" x14ac:dyDescent="0.2">
      <c r="J35" s="30" t="s">
        <v>47</v>
      </c>
      <c r="S35" s="32" t="s">
        <v>72</v>
      </c>
      <c r="X35" t="s">
        <v>815</v>
      </c>
      <c r="AB35" s="30" t="s">
        <v>785</v>
      </c>
      <c r="AK35" s="30" t="s">
        <v>786</v>
      </c>
      <c r="BR35" s="30" t="s">
        <v>355</v>
      </c>
    </row>
    <row r="36" spans="10:70" x14ac:dyDescent="0.2">
      <c r="J36" s="30" t="s">
        <v>48</v>
      </c>
      <c r="AB36" s="30" t="s">
        <v>698</v>
      </c>
      <c r="AK36" s="30" t="s">
        <v>787</v>
      </c>
      <c r="BR36" s="30" t="s">
        <v>356</v>
      </c>
    </row>
    <row r="37" spans="10:70" x14ac:dyDescent="0.2">
      <c r="J37" s="30" t="s">
        <v>49</v>
      </c>
      <c r="S37" s="30" t="s">
        <v>73</v>
      </c>
      <c r="AB37" s="30" t="s">
        <v>666</v>
      </c>
      <c r="AK37" s="30" t="s">
        <v>788</v>
      </c>
      <c r="BR37" s="30" t="s">
        <v>357</v>
      </c>
    </row>
    <row r="38" spans="10:70" x14ac:dyDescent="0.2">
      <c r="J38" s="30" t="s">
        <v>50</v>
      </c>
      <c r="S38" s="30" t="s">
        <v>74</v>
      </c>
      <c r="AB38" s="30" t="s">
        <v>694</v>
      </c>
      <c r="AK38" s="30" t="s">
        <v>704</v>
      </c>
      <c r="BR38" s="30" t="s">
        <v>358</v>
      </c>
    </row>
    <row r="39" spans="10:70" x14ac:dyDescent="0.2">
      <c r="J39" s="30" t="s">
        <v>51</v>
      </c>
      <c r="S39" s="30" t="s">
        <v>75</v>
      </c>
      <c r="AB39" s="30" t="s">
        <v>701</v>
      </c>
      <c r="AK39" s="30" t="s">
        <v>706</v>
      </c>
      <c r="BR39" s="30" t="s">
        <v>359</v>
      </c>
    </row>
    <row r="40" spans="10:70" x14ac:dyDescent="0.2">
      <c r="J40" s="30" t="s">
        <v>180</v>
      </c>
      <c r="S40" s="30" t="s">
        <v>76</v>
      </c>
      <c r="AB40" s="30" t="s">
        <v>789</v>
      </c>
      <c r="AK40" s="30" t="s">
        <v>707</v>
      </c>
      <c r="BR40" s="30" t="s">
        <v>360</v>
      </c>
    </row>
    <row r="41" spans="10:70" x14ac:dyDescent="0.2">
      <c r="J41" s="30" t="s">
        <v>181</v>
      </c>
      <c r="S41" s="30" t="s">
        <v>77</v>
      </c>
      <c r="AB41" s="30" t="s">
        <v>790</v>
      </c>
      <c r="AK41" s="30" t="s">
        <v>708</v>
      </c>
      <c r="BR41" s="30" t="s">
        <v>361</v>
      </c>
    </row>
    <row r="42" spans="10:70" x14ac:dyDescent="0.2">
      <c r="J42" s="30" t="s">
        <v>17</v>
      </c>
      <c r="S42" s="30" t="s">
        <v>479</v>
      </c>
      <c r="AB42" s="30" t="s">
        <v>791</v>
      </c>
      <c r="AK42" s="30" t="s">
        <v>710</v>
      </c>
      <c r="BR42" s="30" t="s">
        <v>362</v>
      </c>
    </row>
    <row r="43" spans="10:70" x14ac:dyDescent="0.2">
      <c r="J43" s="30" t="s">
        <v>262</v>
      </c>
      <c r="S43" s="30" t="s">
        <v>78</v>
      </c>
      <c r="AB43" s="30" t="s">
        <v>705</v>
      </c>
      <c r="AK43" s="30" t="s">
        <v>709</v>
      </c>
      <c r="BR43" s="30" t="s">
        <v>363</v>
      </c>
    </row>
    <row r="44" spans="10:70" x14ac:dyDescent="0.2">
      <c r="J44" s="30" t="s">
        <v>247</v>
      </c>
      <c r="S44" s="30" t="s">
        <v>79</v>
      </c>
      <c r="AB44" s="30" t="s">
        <v>712</v>
      </c>
      <c r="AK44" s="30" t="s">
        <v>711</v>
      </c>
      <c r="BR44" s="30" t="s">
        <v>364</v>
      </c>
    </row>
    <row r="45" spans="10:70" x14ac:dyDescent="0.2">
      <c r="J45" s="30" t="s">
        <v>432</v>
      </c>
      <c r="S45" s="30" t="s">
        <v>387</v>
      </c>
      <c r="AB45" s="30" t="s">
        <v>714</v>
      </c>
      <c r="BR45" s="30" t="s">
        <v>365</v>
      </c>
    </row>
    <row r="46" spans="10:70" x14ac:dyDescent="0.2">
      <c r="J46" s="30" t="s">
        <v>451</v>
      </c>
      <c r="K46" t="s">
        <v>803</v>
      </c>
      <c r="S46" s="30" t="s">
        <v>398</v>
      </c>
      <c r="AB46" s="30" t="s">
        <v>747</v>
      </c>
      <c r="BR46" s="30" t="s">
        <v>366</v>
      </c>
    </row>
    <row r="47" spans="10:70" x14ac:dyDescent="0.2">
      <c r="J47" s="30" t="s">
        <v>680</v>
      </c>
      <c r="K47" t="s">
        <v>804</v>
      </c>
      <c r="O47" t="s">
        <v>815</v>
      </c>
      <c r="P47" t="s">
        <v>818</v>
      </c>
      <c r="S47" s="30" t="s">
        <v>416</v>
      </c>
      <c r="AB47" s="30" t="s">
        <v>704</v>
      </c>
      <c r="BR47" s="30" t="s">
        <v>367</v>
      </c>
    </row>
    <row r="48" spans="10:70" x14ac:dyDescent="0.2">
      <c r="J48" s="30" t="s">
        <v>681</v>
      </c>
      <c r="K48" t="s">
        <v>805</v>
      </c>
      <c r="O48" t="s">
        <v>815</v>
      </c>
      <c r="S48" s="30" t="s">
        <v>424</v>
      </c>
      <c r="AB48" s="30" t="s">
        <v>706</v>
      </c>
      <c r="BR48" s="30" t="s">
        <v>368</v>
      </c>
    </row>
    <row r="49" spans="10:70" x14ac:dyDescent="0.2">
      <c r="J49" s="30" t="s">
        <v>667</v>
      </c>
      <c r="K49" t="s">
        <v>806</v>
      </c>
      <c r="O49" t="s">
        <v>815</v>
      </c>
      <c r="S49" s="30" t="s">
        <v>80</v>
      </c>
      <c r="AB49" s="30" t="s">
        <v>707</v>
      </c>
      <c r="BR49" s="30" t="s">
        <v>369</v>
      </c>
    </row>
    <row r="50" spans="10:70" x14ac:dyDescent="0.2">
      <c r="O50" t="s">
        <v>815</v>
      </c>
      <c r="AB50" s="30" t="s">
        <v>708</v>
      </c>
      <c r="BR50" s="30" t="s">
        <v>370</v>
      </c>
    </row>
    <row r="51" spans="10:70" x14ac:dyDescent="0.2">
      <c r="S51" s="30" t="s">
        <v>81</v>
      </c>
      <c r="AB51" s="30" t="s">
        <v>710</v>
      </c>
      <c r="BR51" s="30" t="s">
        <v>371</v>
      </c>
    </row>
    <row r="52" spans="10:70" x14ac:dyDescent="0.2">
      <c r="S52" s="30" t="s">
        <v>82</v>
      </c>
      <c r="AB52" s="30" t="s">
        <v>709</v>
      </c>
      <c r="BR52" s="30" t="s">
        <v>372</v>
      </c>
    </row>
    <row r="53" spans="10:70" x14ac:dyDescent="0.2">
      <c r="S53" s="30" t="s">
        <v>83</v>
      </c>
      <c r="AB53" s="30" t="s">
        <v>711</v>
      </c>
      <c r="BR53" s="30" t="s">
        <v>373</v>
      </c>
    </row>
    <row r="54" spans="10:70" x14ac:dyDescent="0.2">
      <c r="S54" s="30" t="s">
        <v>84</v>
      </c>
      <c r="BR54" s="30" t="s">
        <v>374</v>
      </c>
    </row>
    <row r="55" spans="10:70" x14ac:dyDescent="0.2">
      <c r="S55" s="30" t="s">
        <v>85</v>
      </c>
      <c r="BR55" s="30" t="s">
        <v>375</v>
      </c>
    </row>
    <row r="56" spans="10:70" x14ac:dyDescent="0.2">
      <c r="S56" s="30" t="s">
        <v>388</v>
      </c>
      <c r="BR56" s="30" t="s">
        <v>323</v>
      </c>
    </row>
    <row r="57" spans="10:70" x14ac:dyDescent="0.2">
      <c r="S57" s="30" t="s">
        <v>399</v>
      </c>
      <c r="BR57" s="30" t="s">
        <v>610</v>
      </c>
    </row>
    <row r="58" spans="10:70" x14ac:dyDescent="0.2">
      <c r="S58" s="30" t="s">
        <v>86</v>
      </c>
      <c r="BR58" s="30" t="s">
        <v>433</v>
      </c>
    </row>
    <row r="60" spans="10:70" x14ac:dyDescent="0.2">
      <c r="S60" s="30" t="s">
        <v>754</v>
      </c>
      <c r="X60" t="s">
        <v>815</v>
      </c>
    </row>
    <row r="61" spans="10:70" x14ac:dyDescent="0.2">
      <c r="S61" s="30" t="s">
        <v>87</v>
      </c>
      <c r="X61" t="s">
        <v>815</v>
      </c>
    </row>
    <row r="62" spans="10:70" x14ac:dyDescent="0.2">
      <c r="S62" s="30" t="s">
        <v>88</v>
      </c>
      <c r="X62" t="s">
        <v>815</v>
      </c>
    </row>
    <row r="63" spans="10:70" x14ac:dyDescent="0.2">
      <c r="S63" s="30" t="s">
        <v>89</v>
      </c>
      <c r="X63" t="s">
        <v>815</v>
      </c>
    </row>
    <row r="64" spans="10:70" x14ac:dyDescent="0.2">
      <c r="S64" s="30" t="s">
        <v>406</v>
      </c>
      <c r="X64" t="s">
        <v>815</v>
      </c>
    </row>
    <row r="65" spans="19:24" x14ac:dyDescent="0.2">
      <c r="S65" s="30" t="s">
        <v>408</v>
      </c>
      <c r="X65" t="s">
        <v>815</v>
      </c>
    </row>
    <row r="66" spans="19:24" x14ac:dyDescent="0.2">
      <c r="S66" s="30" t="s">
        <v>423</v>
      </c>
      <c r="X66" t="s">
        <v>815</v>
      </c>
    </row>
    <row r="67" spans="19:24" x14ac:dyDescent="0.2">
      <c r="S67" s="30" t="s">
        <v>410</v>
      </c>
      <c r="X67" t="s">
        <v>815</v>
      </c>
    </row>
    <row r="68" spans="19:24" x14ac:dyDescent="0.2">
      <c r="S68" s="30" t="s">
        <v>412</v>
      </c>
      <c r="X68" t="s">
        <v>815</v>
      </c>
    </row>
    <row r="69" spans="19:24" x14ac:dyDescent="0.2">
      <c r="S69" s="30" t="s">
        <v>415</v>
      </c>
      <c r="X69" t="s">
        <v>815</v>
      </c>
    </row>
    <row r="70" spans="19:24" x14ac:dyDescent="0.2">
      <c r="S70" s="30" t="s">
        <v>447</v>
      </c>
      <c r="X70" t="s">
        <v>815</v>
      </c>
    </row>
    <row r="71" spans="19:24" x14ac:dyDescent="0.2">
      <c r="S71" s="30" t="s">
        <v>613</v>
      </c>
      <c r="X71" t="s">
        <v>815</v>
      </c>
    </row>
    <row r="72" spans="19:24" x14ac:dyDescent="0.2">
      <c r="S72" s="30" t="s">
        <v>182</v>
      </c>
      <c r="X72" t="s">
        <v>815</v>
      </c>
    </row>
    <row r="74" spans="19:24" x14ac:dyDescent="0.2">
      <c r="S74" s="30" t="s">
        <v>755</v>
      </c>
      <c r="X74" t="s">
        <v>815</v>
      </c>
    </row>
    <row r="75" spans="19:24" x14ac:dyDescent="0.2">
      <c r="S75" s="30" t="s">
        <v>90</v>
      </c>
      <c r="X75" t="s">
        <v>815</v>
      </c>
    </row>
    <row r="76" spans="19:24" x14ac:dyDescent="0.2">
      <c r="S76" s="30" t="s">
        <v>91</v>
      </c>
      <c r="X76" t="s">
        <v>815</v>
      </c>
    </row>
    <row r="77" spans="19:24" x14ac:dyDescent="0.2">
      <c r="S77" s="30" t="s">
        <v>92</v>
      </c>
      <c r="X77" t="s">
        <v>815</v>
      </c>
    </row>
    <row r="78" spans="19:24" x14ac:dyDescent="0.2">
      <c r="S78" s="30" t="s">
        <v>407</v>
      </c>
      <c r="X78" t="s">
        <v>815</v>
      </c>
    </row>
    <row r="79" spans="19:24" x14ac:dyDescent="0.2">
      <c r="S79" s="30" t="s">
        <v>409</v>
      </c>
      <c r="X79" t="s">
        <v>815</v>
      </c>
    </row>
    <row r="80" spans="19:24" x14ac:dyDescent="0.2">
      <c r="S80" s="30" t="s">
        <v>411</v>
      </c>
      <c r="X80" t="s">
        <v>815</v>
      </c>
    </row>
    <row r="81" spans="19:25" x14ac:dyDescent="0.2">
      <c r="S81" s="30" t="s">
        <v>413</v>
      </c>
      <c r="X81" t="s">
        <v>815</v>
      </c>
    </row>
    <row r="82" spans="19:25" x14ac:dyDescent="0.2">
      <c r="S82" s="30" t="s">
        <v>448</v>
      </c>
      <c r="X82" t="s">
        <v>815</v>
      </c>
    </row>
    <row r="83" spans="19:25" x14ac:dyDescent="0.2">
      <c r="S83" s="30" t="s">
        <v>614</v>
      </c>
      <c r="X83" t="s">
        <v>815</v>
      </c>
    </row>
    <row r="84" spans="19:25" x14ac:dyDescent="0.2">
      <c r="S84" s="30" t="s">
        <v>183</v>
      </c>
      <c r="X84" t="s">
        <v>815</v>
      </c>
    </row>
    <row r="86" spans="19:25" x14ac:dyDescent="0.2">
      <c r="S86" s="30" t="s">
        <v>756</v>
      </c>
      <c r="X86" t="s">
        <v>815</v>
      </c>
    </row>
    <row r="87" spans="19:25" x14ac:dyDescent="0.2">
      <c r="S87" s="30" t="s">
        <v>93</v>
      </c>
      <c r="X87" t="s">
        <v>815</v>
      </c>
    </row>
    <row r="88" spans="19:25" x14ac:dyDescent="0.2">
      <c r="S88" s="30" t="s">
        <v>94</v>
      </c>
      <c r="X88" t="s">
        <v>815</v>
      </c>
    </row>
    <row r="89" spans="19:25" x14ac:dyDescent="0.2">
      <c r="S89" s="30" t="s">
        <v>95</v>
      </c>
      <c r="X89" t="s">
        <v>815</v>
      </c>
    </row>
    <row r="91" spans="19:25" x14ac:dyDescent="0.2">
      <c r="S91" s="30" t="s">
        <v>3</v>
      </c>
      <c r="Y91" t="s">
        <v>816</v>
      </c>
    </row>
    <row r="92" spans="19:25" x14ac:dyDescent="0.2">
      <c r="S92" s="30" t="s">
        <v>145</v>
      </c>
      <c r="T92" t="s">
        <v>807</v>
      </c>
      <c r="X92" t="s">
        <v>815</v>
      </c>
    </row>
    <row r="93" spans="19:25" x14ac:dyDescent="0.2">
      <c r="S93" s="30" t="s">
        <v>146</v>
      </c>
      <c r="T93" t="s">
        <v>808</v>
      </c>
      <c r="X93" t="s">
        <v>815</v>
      </c>
    </row>
    <row r="94" spans="19:25" x14ac:dyDescent="0.2">
      <c r="S94" s="30" t="s">
        <v>147</v>
      </c>
      <c r="T94" t="s">
        <v>809</v>
      </c>
      <c r="X94" t="s">
        <v>815</v>
      </c>
    </row>
    <row r="95" spans="19:25" x14ac:dyDescent="0.2">
      <c r="S95" s="30" t="s">
        <v>148</v>
      </c>
      <c r="T95" t="s">
        <v>810</v>
      </c>
      <c r="X95" t="s">
        <v>815</v>
      </c>
    </row>
    <row r="96" spans="19:25" x14ac:dyDescent="0.2">
      <c r="S96" s="30" t="s">
        <v>149</v>
      </c>
      <c r="T96" t="s">
        <v>811</v>
      </c>
      <c r="X96" t="s">
        <v>815</v>
      </c>
    </row>
    <row r="97" spans="19:25" x14ac:dyDescent="0.2">
      <c r="S97" s="30" t="s">
        <v>150</v>
      </c>
      <c r="T97" t="s">
        <v>812</v>
      </c>
      <c r="X97" t="s">
        <v>815</v>
      </c>
    </row>
    <row r="98" spans="19:25" x14ac:dyDescent="0.2">
      <c r="S98" s="30" t="s">
        <v>151</v>
      </c>
      <c r="X98" t="s">
        <v>815</v>
      </c>
    </row>
    <row r="99" spans="19:25" x14ac:dyDescent="0.2">
      <c r="S99" s="30" t="s">
        <v>152</v>
      </c>
      <c r="X99" t="s">
        <v>815</v>
      </c>
    </row>
    <row r="100" spans="19:25" x14ac:dyDescent="0.2">
      <c r="S100" s="30" t="s">
        <v>153</v>
      </c>
      <c r="X100" t="s">
        <v>815</v>
      </c>
    </row>
    <row r="101" spans="19:25" x14ac:dyDescent="0.2">
      <c r="S101" s="30" t="s">
        <v>154</v>
      </c>
      <c r="X101" t="s">
        <v>815</v>
      </c>
    </row>
    <row r="102" spans="19:25" x14ac:dyDescent="0.2">
      <c r="S102" s="30" t="s">
        <v>155</v>
      </c>
      <c r="T102" t="s">
        <v>813</v>
      </c>
      <c r="X102" t="s">
        <v>815</v>
      </c>
    </row>
    <row r="103" spans="19:25" x14ac:dyDescent="0.2">
      <c r="S103" s="30" t="s">
        <v>156</v>
      </c>
      <c r="T103" t="s">
        <v>814</v>
      </c>
      <c r="X103" t="s">
        <v>815</v>
      </c>
    </row>
    <row r="104" spans="19:25" x14ac:dyDescent="0.2">
      <c r="S104" s="30" t="s">
        <v>157</v>
      </c>
      <c r="X104" t="s">
        <v>815</v>
      </c>
    </row>
    <row r="106" spans="19:25" x14ac:dyDescent="0.2">
      <c r="S106" s="30" t="s">
        <v>4</v>
      </c>
      <c r="Y106" t="s">
        <v>816</v>
      </c>
    </row>
    <row r="107" spans="19:25" x14ac:dyDescent="0.2">
      <c r="S107" s="30" t="s">
        <v>158</v>
      </c>
      <c r="X107" t="s">
        <v>815</v>
      </c>
    </row>
    <row r="108" spans="19:25" x14ac:dyDescent="0.2">
      <c r="S108" s="30" t="s">
        <v>159</v>
      </c>
      <c r="X108" t="s">
        <v>815</v>
      </c>
    </row>
    <row r="109" spans="19:25" x14ac:dyDescent="0.2">
      <c r="S109" s="30" t="s">
        <v>160</v>
      </c>
      <c r="X109" t="s">
        <v>815</v>
      </c>
    </row>
    <row r="110" spans="19:25" x14ac:dyDescent="0.2">
      <c r="S110" s="30" t="s">
        <v>161</v>
      </c>
      <c r="X110" t="s">
        <v>815</v>
      </c>
    </row>
    <row r="111" spans="19:25" x14ac:dyDescent="0.2">
      <c r="S111" s="30" t="s">
        <v>162</v>
      </c>
      <c r="X111" t="s">
        <v>815</v>
      </c>
    </row>
    <row r="112" spans="19:25" x14ac:dyDescent="0.2">
      <c r="S112" s="30" t="s">
        <v>163</v>
      </c>
      <c r="X112" t="s">
        <v>815</v>
      </c>
    </row>
    <row r="113" spans="19:24" x14ac:dyDescent="0.2">
      <c r="S113" s="30" t="s">
        <v>164</v>
      </c>
      <c r="X113" t="s">
        <v>815</v>
      </c>
    </row>
    <row r="114" spans="19:24" x14ac:dyDescent="0.2">
      <c r="S114" s="30" t="s">
        <v>165</v>
      </c>
      <c r="X114" t="s">
        <v>815</v>
      </c>
    </row>
    <row r="115" spans="19:24" x14ac:dyDescent="0.2">
      <c r="S115" s="30" t="s">
        <v>166</v>
      </c>
      <c r="X115" t="s">
        <v>815</v>
      </c>
    </row>
    <row r="116" spans="19:24" x14ac:dyDescent="0.2">
      <c r="S116" s="30" t="s">
        <v>167</v>
      </c>
      <c r="X116" t="s">
        <v>815</v>
      </c>
    </row>
    <row r="117" spans="19:24" x14ac:dyDescent="0.2">
      <c r="S117" s="30" t="s">
        <v>168</v>
      </c>
      <c r="X117" t="s">
        <v>815</v>
      </c>
    </row>
    <row r="118" spans="19:24" x14ac:dyDescent="0.2">
      <c r="S118" s="30" t="s">
        <v>154</v>
      </c>
      <c r="X118" t="s">
        <v>815</v>
      </c>
    </row>
    <row r="120" spans="19:24" x14ac:dyDescent="0.2">
      <c r="S120" s="30" t="s">
        <v>53</v>
      </c>
      <c r="X120" t="s">
        <v>815</v>
      </c>
    </row>
    <row r="121" spans="19:24" x14ac:dyDescent="0.2">
      <c r="S121" s="30" t="s">
        <v>54</v>
      </c>
      <c r="X121" t="s">
        <v>815</v>
      </c>
    </row>
    <row r="122" spans="19:24" x14ac:dyDescent="0.2">
      <c r="S122" s="30" t="s">
        <v>55</v>
      </c>
      <c r="X122" t="s">
        <v>815</v>
      </c>
    </row>
    <row r="123" spans="19:24" x14ac:dyDescent="0.2">
      <c r="S123" s="30" t="s">
        <v>57</v>
      </c>
      <c r="X123" t="s">
        <v>815</v>
      </c>
    </row>
    <row r="124" spans="19:24" x14ac:dyDescent="0.2">
      <c r="S124" s="30" t="s">
        <v>58</v>
      </c>
      <c r="X124" t="s">
        <v>815</v>
      </c>
    </row>
    <row r="125" spans="19:24" x14ac:dyDescent="0.2">
      <c r="S125" s="30" t="s">
        <v>59</v>
      </c>
      <c r="X125" t="s">
        <v>815</v>
      </c>
    </row>
    <row r="126" spans="19:24" x14ac:dyDescent="0.2">
      <c r="S126" s="30" t="s">
        <v>60</v>
      </c>
      <c r="X126" t="s">
        <v>815</v>
      </c>
    </row>
    <row r="127" spans="19:24" x14ac:dyDescent="0.2">
      <c r="S127" s="30" t="s">
        <v>61</v>
      </c>
      <c r="X127" t="s">
        <v>815</v>
      </c>
    </row>
    <row r="128" spans="19:24" x14ac:dyDescent="0.2">
      <c r="S128" s="30" t="s">
        <v>62</v>
      </c>
      <c r="X128" t="s">
        <v>815</v>
      </c>
    </row>
    <row r="129" spans="19:24" x14ac:dyDescent="0.2">
      <c r="S129" s="30" t="s">
        <v>56</v>
      </c>
      <c r="X129" t="s">
        <v>815</v>
      </c>
    </row>
    <row r="130" spans="19:24" x14ac:dyDescent="0.2">
      <c r="S130" s="30" t="s">
        <v>66</v>
      </c>
      <c r="X130" t="s">
        <v>815</v>
      </c>
    </row>
    <row r="132" spans="19:24" x14ac:dyDescent="0.2">
      <c r="S132" s="30" t="s">
        <v>96</v>
      </c>
    </row>
    <row r="133" spans="19:24" x14ac:dyDescent="0.2">
      <c r="S133" s="30" t="s">
        <v>97</v>
      </c>
    </row>
    <row r="134" spans="19:24" x14ac:dyDescent="0.2">
      <c r="S134" s="30" t="s">
        <v>98</v>
      </c>
    </row>
    <row r="135" spans="19:24" x14ac:dyDescent="0.2">
      <c r="S135" s="30" t="s">
        <v>99</v>
      </c>
    </row>
    <row r="136" spans="19:24" x14ac:dyDescent="0.2">
      <c r="S136" s="30" t="s">
        <v>100</v>
      </c>
    </row>
    <row r="137" spans="19:24" x14ac:dyDescent="0.2">
      <c r="S137" s="30" t="s">
        <v>101</v>
      </c>
    </row>
    <row r="138" spans="19:24" x14ac:dyDescent="0.2">
      <c r="S138" s="30" t="s">
        <v>102</v>
      </c>
    </row>
    <row r="139" spans="19:24" x14ac:dyDescent="0.2">
      <c r="S139" s="30" t="s">
        <v>103</v>
      </c>
    </row>
    <row r="140" spans="19:24" x14ac:dyDescent="0.2">
      <c r="S140" s="30" t="s">
        <v>449</v>
      </c>
    </row>
    <row r="141" spans="19:24" x14ac:dyDescent="0.2">
      <c r="S141" s="30" t="s">
        <v>476</v>
      </c>
    </row>
    <row r="142" spans="19:24" x14ac:dyDescent="0.2">
      <c r="S142" s="30" t="s">
        <v>104</v>
      </c>
    </row>
    <row r="144" spans="19:24" x14ac:dyDescent="0.2">
      <c r="S144" s="30" t="s">
        <v>251</v>
      </c>
    </row>
    <row r="145" spans="19:19" x14ac:dyDescent="0.2">
      <c r="S145" s="30" t="s">
        <v>252</v>
      </c>
    </row>
    <row r="146" spans="19:19" x14ac:dyDescent="0.2">
      <c r="S146" s="30" t="s">
        <v>253</v>
      </c>
    </row>
    <row r="147" spans="19:19" x14ac:dyDescent="0.2">
      <c r="S147" s="30" t="s">
        <v>254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DI98"/>
  <sheetViews>
    <sheetView topLeftCell="CF19" workbookViewId="0">
      <selection activeCell="CQ64" sqref="CQ64"/>
    </sheetView>
  </sheetViews>
  <sheetFormatPr baseColWidth="10" defaultRowHeight="16" x14ac:dyDescent="0.2"/>
  <cols>
    <col min="1" max="1" width="13.5" customWidth="1"/>
    <col min="21" max="21" width="16.6640625" customWidth="1"/>
    <col min="22" max="22" width="25.5" customWidth="1"/>
    <col min="23" max="23" width="16.5" customWidth="1"/>
    <col min="28" max="28" width="19.33203125" customWidth="1"/>
    <col min="29" max="29" width="19.6640625" customWidth="1"/>
    <col min="30" max="30" width="18.5" customWidth="1"/>
    <col min="31" max="31" width="17.33203125" customWidth="1"/>
    <col min="36" max="36" width="18.5" customWidth="1"/>
    <col min="38" max="38" width="23.83203125" bestFit="1" customWidth="1"/>
    <col min="41" max="41" width="28.83203125" bestFit="1" customWidth="1"/>
    <col min="43" max="43" width="27.5" customWidth="1"/>
    <col min="46" max="46" width="21.5" customWidth="1"/>
    <col min="55" max="55" width="24.33203125" customWidth="1"/>
    <col min="85" max="85" width="25.6640625" customWidth="1"/>
    <col min="86" max="86" width="21.5" customWidth="1"/>
    <col min="93" max="93" width="32.33203125" customWidth="1"/>
    <col min="94" max="94" width="7.6640625" customWidth="1"/>
    <col min="95" max="95" width="32" bestFit="1" customWidth="1"/>
    <col min="99" max="99" width="13" customWidth="1"/>
    <col min="110" max="110" width="31.6640625" customWidth="1"/>
    <col min="111" max="111" width="23.83203125" bestFit="1" customWidth="1"/>
  </cols>
  <sheetData>
    <row r="1" spans="1:113" s="3" customFormat="1" ht="51" x14ac:dyDescent="0.2">
      <c r="A1" s="3" t="s">
        <v>2</v>
      </c>
      <c r="C1" s="3" t="s">
        <v>52</v>
      </c>
      <c r="E1" s="3" t="s">
        <v>144</v>
      </c>
      <c r="G1" s="3" t="s">
        <v>3</v>
      </c>
      <c r="I1" s="3" t="s">
        <v>4</v>
      </c>
      <c r="K1" s="3" t="s">
        <v>0</v>
      </c>
      <c r="N1" s="3" t="s">
        <v>169</v>
      </c>
      <c r="O1" s="3" t="s">
        <v>172</v>
      </c>
      <c r="P1" s="3" t="s">
        <v>173</v>
      </c>
      <c r="Q1" s="3" t="s">
        <v>176</v>
      </c>
      <c r="R1" s="3" t="s">
        <v>177</v>
      </c>
      <c r="T1" s="3" t="s">
        <v>247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186</v>
      </c>
      <c r="AC1" s="3" t="s">
        <v>13</v>
      </c>
      <c r="AD1" s="3" t="s">
        <v>16</v>
      </c>
      <c r="AE1" s="3" t="s">
        <v>17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188</v>
      </c>
      <c r="AP1" s="3" t="s">
        <v>187</v>
      </c>
      <c r="AQ1" s="3" t="s">
        <v>38</v>
      </c>
      <c r="AR1" s="3" t="s">
        <v>184</v>
      </c>
      <c r="AS1" s="3" t="s">
        <v>185</v>
      </c>
      <c r="AT1" s="3" t="s">
        <v>123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180</v>
      </c>
      <c r="BB1" s="3" t="s">
        <v>181</v>
      </c>
      <c r="BC1" s="3" t="s">
        <v>222</v>
      </c>
      <c r="BD1" s="3" t="s">
        <v>198</v>
      </c>
      <c r="BE1" s="3" t="s">
        <v>208</v>
      </c>
      <c r="BF1" s="3" t="s">
        <v>215</v>
      </c>
      <c r="BG1" s="3" t="s">
        <v>218</v>
      </c>
      <c r="BH1" s="3" t="s">
        <v>223</v>
      </c>
      <c r="BI1" s="3" t="s">
        <v>224</v>
      </c>
      <c r="BJ1" s="3" t="s">
        <v>225</v>
      </c>
      <c r="BK1" s="3" t="s">
        <v>226</v>
      </c>
      <c r="BL1" s="3" t="s">
        <v>227</v>
      </c>
      <c r="BM1" s="3" t="s">
        <v>230</v>
      </c>
      <c r="BN1" s="3" t="s">
        <v>231</v>
      </c>
      <c r="BO1" s="3" t="s">
        <v>232</v>
      </c>
      <c r="BP1" s="3" t="s">
        <v>417</v>
      </c>
      <c r="BQ1" s="3" t="s">
        <v>250</v>
      </c>
      <c r="BR1" s="3" t="s">
        <v>421</v>
      </c>
      <c r="BS1" s="3" t="s">
        <v>422</v>
      </c>
      <c r="BT1" t="s">
        <v>15</v>
      </c>
      <c r="BU1" t="s">
        <v>6</v>
      </c>
      <c r="BV1" t="s">
        <v>249</v>
      </c>
      <c r="BW1" s="3" t="s">
        <v>831</v>
      </c>
      <c r="CA1" s="3" t="s">
        <v>376</v>
      </c>
      <c r="CC1" s="3" t="s">
        <v>377</v>
      </c>
      <c r="CE1" s="3" t="s">
        <v>486</v>
      </c>
      <c r="CG1" s="3" t="s">
        <v>487</v>
      </c>
      <c r="CH1" s="3" t="s">
        <v>488</v>
      </c>
      <c r="CL1" s="3" t="s">
        <v>605</v>
      </c>
      <c r="CM1" s="3" t="s">
        <v>606</v>
      </c>
      <c r="CO1" s="3" t="s">
        <v>605</v>
      </c>
      <c r="CQ1" s="3" t="s">
        <v>606</v>
      </c>
      <c r="CS1" s="3" t="s">
        <v>615</v>
      </c>
      <c r="CU1" s="3" t="s">
        <v>616</v>
      </c>
      <c r="CW1" s="3" t="s">
        <v>691</v>
      </c>
      <c r="CY1" s="3" t="s">
        <v>605</v>
      </c>
      <c r="DD1" s="3" t="s">
        <v>606</v>
      </c>
      <c r="DG1" s="3" t="s">
        <v>754</v>
      </c>
      <c r="DH1" s="3" t="s">
        <v>755</v>
      </c>
      <c r="DI1" s="3" t="s">
        <v>756</v>
      </c>
    </row>
    <row r="2" spans="1:113" x14ac:dyDescent="0.2">
      <c r="K2" t="s">
        <v>178</v>
      </c>
      <c r="L2" t="str">
        <f>K3</f>
        <v>Away</v>
      </c>
      <c r="N2" t="s">
        <v>170</v>
      </c>
      <c r="O2" s="2">
        <v>36</v>
      </c>
      <c r="P2" s="2">
        <v>-36</v>
      </c>
      <c r="Q2" s="2">
        <f>O2+O4</f>
        <v>38.375</v>
      </c>
      <c r="R2" s="2">
        <f>P2-O4</f>
        <v>-38.375</v>
      </c>
      <c r="T2" t="s">
        <v>421</v>
      </c>
      <c r="U2" t="s">
        <v>197</v>
      </c>
      <c r="V2" t="s">
        <v>222</v>
      </c>
      <c r="W2" t="s">
        <v>189</v>
      </c>
      <c r="X2" t="s">
        <v>230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 t="s">
        <v>196</v>
      </c>
      <c r="AF2" t="s">
        <v>67</v>
      </c>
      <c r="AG2" t="s">
        <v>67</v>
      </c>
      <c r="AH2" t="s">
        <v>67</v>
      </c>
      <c r="AI2" t="s">
        <v>67</v>
      </c>
      <c r="AJ2" t="s">
        <v>73</v>
      </c>
      <c r="AK2" t="s">
        <v>81</v>
      </c>
      <c r="AL2" t="s">
        <v>87</v>
      </c>
      <c r="AM2" t="s">
        <v>90</v>
      </c>
      <c r="AN2" t="s">
        <v>93</v>
      </c>
      <c r="AO2" t="s">
        <v>124</v>
      </c>
      <c r="AP2" t="s">
        <v>124</v>
      </c>
      <c r="AQ2" t="s">
        <v>124</v>
      </c>
      <c r="AR2" t="s">
        <v>108</v>
      </c>
      <c r="AS2" t="s">
        <v>105</v>
      </c>
      <c r="AT2" t="s">
        <v>113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53</v>
      </c>
      <c r="BA2" t="s">
        <v>96</v>
      </c>
      <c r="BB2" t="s">
        <v>96</v>
      </c>
      <c r="BC2" t="s">
        <v>53</v>
      </c>
      <c r="BD2" t="s">
        <v>53</v>
      </c>
      <c r="BE2" t="s">
        <v>53</v>
      </c>
      <c r="BF2" t="s">
        <v>53</v>
      </c>
      <c r="BG2" t="s">
        <v>64</v>
      </c>
      <c r="BH2" t="s">
        <v>64</v>
      </c>
      <c r="BI2" t="s">
        <v>56</v>
      </c>
      <c r="BJ2" t="s">
        <v>53</v>
      </c>
      <c r="BL2" t="s">
        <v>64</v>
      </c>
      <c r="BM2" t="s">
        <v>233</v>
      </c>
      <c r="BN2" t="s">
        <v>233</v>
      </c>
      <c r="BO2" t="s">
        <v>233</v>
      </c>
      <c r="BP2" t="s">
        <v>96</v>
      </c>
      <c r="BQ2" t="s">
        <v>251</v>
      </c>
      <c r="BS2" t="s">
        <v>465</v>
      </c>
      <c r="BT2" t="s">
        <v>451</v>
      </c>
      <c r="BU2" t="s">
        <v>7</v>
      </c>
      <c r="BV2" t="s">
        <v>248</v>
      </c>
      <c r="BW2" t="s">
        <v>53</v>
      </c>
      <c r="BX2" t="s">
        <v>273</v>
      </c>
      <c r="BY2" t="s">
        <v>400</v>
      </c>
      <c r="CA2" t="s">
        <v>317</v>
      </c>
      <c r="CC2" t="s">
        <v>284</v>
      </c>
      <c r="CE2" t="s">
        <v>484</v>
      </c>
      <c r="CG2" t="s">
        <v>568</v>
      </c>
      <c r="CJ2" t="s">
        <v>605</v>
      </c>
      <c r="CL2" t="s">
        <v>607</v>
      </c>
      <c r="CO2" t="s">
        <v>628</v>
      </c>
      <c r="CQ2" t="s">
        <v>950</v>
      </c>
      <c r="CS2" t="s">
        <v>621</v>
      </c>
      <c r="CU2" t="s">
        <v>618</v>
      </c>
      <c r="CW2" t="s">
        <v>733</v>
      </c>
      <c r="CY2" t="s">
        <v>659</v>
      </c>
      <c r="CZ2" t="s">
        <v>15</v>
      </c>
      <c r="DA2" t="s">
        <v>145</v>
      </c>
      <c r="DD2" t="s">
        <v>660</v>
      </c>
      <c r="DE2" t="s">
        <v>15</v>
      </c>
      <c r="DF2" t="s">
        <v>158</v>
      </c>
      <c r="DG2" t="s">
        <v>87</v>
      </c>
      <c r="DH2" t="s">
        <v>90</v>
      </c>
      <c r="DI2" t="s">
        <v>93</v>
      </c>
    </row>
    <row r="3" spans="1:113" x14ac:dyDescent="0.2">
      <c r="A3" t="s">
        <v>6</v>
      </c>
      <c r="B3" t="s">
        <v>249</v>
      </c>
      <c r="C3" t="s">
        <v>6</v>
      </c>
      <c r="E3" t="s">
        <v>53</v>
      </c>
      <c r="G3" t="s">
        <v>145</v>
      </c>
      <c r="I3" t="s">
        <v>158</v>
      </c>
      <c r="K3" t="s">
        <v>179</v>
      </c>
      <c r="L3" t="str">
        <f>K2</f>
        <v>Home</v>
      </c>
      <c r="N3" t="s">
        <v>171</v>
      </c>
      <c r="O3" s="2">
        <v>24</v>
      </c>
      <c r="P3" s="2">
        <v>-24</v>
      </c>
      <c r="Q3" s="2">
        <f>O3+O5</f>
        <v>26.375</v>
      </c>
      <c r="R3" s="2">
        <v>-24</v>
      </c>
      <c r="T3" t="s">
        <v>422</v>
      </c>
      <c r="U3" t="s">
        <v>207</v>
      </c>
      <c r="V3" t="s">
        <v>198</v>
      </c>
      <c r="W3" t="s">
        <v>199</v>
      </c>
      <c r="X3" t="s">
        <v>231</v>
      </c>
      <c r="Y3" t="s">
        <v>200</v>
      </c>
      <c r="Z3" t="s">
        <v>201</v>
      </c>
      <c r="AA3" t="s">
        <v>202</v>
      </c>
      <c r="AB3" t="s">
        <v>203</v>
      </c>
      <c r="AC3" t="s">
        <v>204</v>
      </c>
      <c r="AD3" t="s">
        <v>205</v>
      </c>
      <c r="AE3" t="s">
        <v>206</v>
      </c>
      <c r="AF3" t="s">
        <v>68</v>
      </c>
      <c r="AG3" t="s">
        <v>68</v>
      </c>
      <c r="AH3" t="s">
        <v>68</v>
      </c>
      <c r="AI3" t="s">
        <v>68</v>
      </c>
      <c r="AJ3" t="s">
        <v>74</v>
      </c>
      <c r="AK3" t="s">
        <v>82</v>
      </c>
      <c r="AL3" t="s">
        <v>88</v>
      </c>
      <c r="AM3" t="s">
        <v>91</v>
      </c>
      <c r="AN3" t="s">
        <v>94</v>
      </c>
      <c r="AO3" t="s">
        <v>125</v>
      </c>
      <c r="AP3" t="s">
        <v>125</v>
      </c>
      <c r="AQ3" t="s">
        <v>125</v>
      </c>
      <c r="AR3" t="s">
        <v>109</v>
      </c>
      <c r="AS3" t="s">
        <v>106</v>
      </c>
      <c r="AT3" t="s">
        <v>116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97</v>
      </c>
      <c r="BB3" t="s">
        <v>97</v>
      </c>
      <c r="BC3" t="s">
        <v>54</v>
      </c>
      <c r="BD3" t="s">
        <v>54</v>
      </c>
      <c r="BE3" t="s">
        <v>54</v>
      </c>
      <c r="BF3" t="s">
        <v>54</v>
      </c>
      <c r="BG3" t="s">
        <v>53</v>
      </c>
      <c r="BH3" t="s">
        <v>53</v>
      </c>
      <c r="BI3" t="s">
        <v>53</v>
      </c>
      <c r="BJ3" t="s">
        <v>54</v>
      </c>
      <c r="BK3" t="s">
        <v>53</v>
      </c>
      <c r="BL3" t="s">
        <v>53</v>
      </c>
      <c r="BM3" t="s">
        <v>234</v>
      </c>
      <c r="BN3" t="s">
        <v>234</v>
      </c>
      <c r="BO3" t="s">
        <v>234</v>
      </c>
      <c r="BP3" t="s">
        <v>97</v>
      </c>
      <c r="BQ3" t="s">
        <v>252</v>
      </c>
      <c r="BR3" t="s">
        <v>452</v>
      </c>
      <c r="BS3" t="s">
        <v>466</v>
      </c>
      <c r="BT3" t="s">
        <v>680</v>
      </c>
      <c r="BU3" t="s">
        <v>8</v>
      </c>
      <c r="BV3" t="s">
        <v>258</v>
      </c>
      <c r="BW3" t="s">
        <v>54</v>
      </c>
      <c r="BX3" t="s">
        <v>272</v>
      </c>
      <c r="BY3" t="s">
        <v>401</v>
      </c>
      <c r="CA3" t="s">
        <v>319</v>
      </c>
      <c r="CC3" t="s">
        <v>324</v>
      </c>
      <c r="CE3" t="s">
        <v>483</v>
      </c>
      <c r="CG3" t="s">
        <v>569</v>
      </c>
      <c r="CJ3" t="s">
        <v>606</v>
      </c>
      <c r="CO3" t="s">
        <v>629</v>
      </c>
      <c r="CQ3" t="s">
        <v>931</v>
      </c>
      <c r="CS3" t="s">
        <v>622</v>
      </c>
      <c r="CU3" t="s">
        <v>617</v>
      </c>
      <c r="CW3" t="s">
        <v>734</v>
      </c>
      <c r="CY3" t="s">
        <v>659</v>
      </c>
      <c r="CZ3" t="s">
        <v>15</v>
      </c>
      <c r="DA3" t="s">
        <v>146</v>
      </c>
      <c r="DD3" t="s">
        <v>660</v>
      </c>
      <c r="DE3" t="s">
        <v>15</v>
      </c>
      <c r="DF3" t="s">
        <v>160</v>
      </c>
      <c r="DG3" t="s">
        <v>88</v>
      </c>
      <c r="DH3" t="s">
        <v>91</v>
      </c>
      <c r="DI3" t="s">
        <v>94</v>
      </c>
    </row>
    <row r="4" spans="1:113" x14ac:dyDescent="0.2">
      <c r="A4" t="s">
        <v>7</v>
      </c>
      <c r="C4" t="s">
        <v>19</v>
      </c>
      <c r="E4" t="s">
        <v>54</v>
      </c>
      <c r="G4" t="s">
        <v>146</v>
      </c>
      <c r="I4" t="s">
        <v>159</v>
      </c>
      <c r="N4" t="s">
        <v>174</v>
      </c>
      <c r="O4" s="2">
        <v>2.375</v>
      </c>
      <c r="P4" s="2"/>
      <c r="Q4" s="2"/>
      <c r="R4" s="2"/>
      <c r="U4" t="s">
        <v>214</v>
      </c>
      <c r="V4" t="s">
        <v>208</v>
      </c>
      <c r="W4" t="s">
        <v>209</v>
      </c>
      <c r="X4" t="s">
        <v>232</v>
      </c>
      <c r="Z4" t="s">
        <v>210</v>
      </c>
      <c r="AA4" t="s">
        <v>211</v>
      </c>
      <c r="AB4" t="s">
        <v>212</v>
      </c>
      <c r="AC4" s="4" t="s">
        <v>213</v>
      </c>
      <c r="AE4" t="s">
        <v>417</v>
      </c>
      <c r="AF4" t="s">
        <v>69</v>
      </c>
      <c r="AG4" t="s">
        <v>69</v>
      </c>
      <c r="AH4" t="s">
        <v>69</v>
      </c>
      <c r="AI4" t="s">
        <v>69</v>
      </c>
      <c r="AJ4" t="s">
        <v>75</v>
      </c>
      <c r="AK4" t="s">
        <v>83</v>
      </c>
      <c r="AL4" t="s">
        <v>89</v>
      </c>
      <c r="AM4" t="s">
        <v>92</v>
      </c>
      <c r="AN4" t="s">
        <v>95</v>
      </c>
      <c r="AO4" t="s">
        <v>126</v>
      </c>
      <c r="AP4" t="s">
        <v>126</v>
      </c>
      <c r="AQ4" t="s">
        <v>126</v>
      </c>
      <c r="AR4" t="s">
        <v>111</v>
      </c>
      <c r="AS4" t="s">
        <v>41</v>
      </c>
      <c r="AT4" t="s">
        <v>117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98</v>
      </c>
      <c r="BB4" t="s">
        <v>98</v>
      </c>
      <c r="BC4" t="s">
        <v>55</v>
      </c>
      <c r="BD4" t="s">
        <v>55</v>
      </c>
      <c r="BE4" t="s">
        <v>55</v>
      </c>
      <c r="BF4" t="s">
        <v>55</v>
      </c>
      <c r="BG4" t="s">
        <v>54</v>
      </c>
      <c r="BH4" t="s">
        <v>54</v>
      </c>
      <c r="BI4" t="s">
        <v>54</v>
      </c>
      <c r="BJ4" t="s">
        <v>55</v>
      </c>
      <c r="BK4" t="s">
        <v>54</v>
      </c>
      <c r="BL4" t="s">
        <v>54</v>
      </c>
      <c r="BM4" t="s">
        <v>235</v>
      </c>
      <c r="BN4" t="s">
        <v>235</v>
      </c>
      <c r="BO4" t="s">
        <v>235</v>
      </c>
      <c r="BP4" t="s">
        <v>98</v>
      </c>
      <c r="BQ4" t="s">
        <v>253</v>
      </c>
      <c r="BR4" t="s">
        <v>453</v>
      </c>
      <c r="BS4" t="s">
        <v>467</v>
      </c>
      <c r="BT4" t="s">
        <v>681</v>
      </c>
      <c r="BU4" t="s">
        <v>9</v>
      </c>
      <c r="BV4" t="s">
        <v>248</v>
      </c>
      <c r="BW4" t="s">
        <v>55</v>
      </c>
      <c r="BX4" t="s">
        <v>274</v>
      </c>
      <c r="CA4" t="s">
        <v>320</v>
      </c>
      <c r="CC4" t="s">
        <v>325</v>
      </c>
      <c r="CE4" t="s">
        <v>485</v>
      </c>
      <c r="CG4" t="s">
        <v>570</v>
      </c>
      <c r="CO4" t="s">
        <v>690</v>
      </c>
      <c r="CQ4" t="s">
        <v>929</v>
      </c>
      <c r="CS4" t="s">
        <v>623</v>
      </c>
      <c r="CU4" t="s">
        <v>156</v>
      </c>
      <c r="CW4" t="s">
        <v>735</v>
      </c>
      <c r="CY4" t="s">
        <v>659</v>
      </c>
      <c r="CZ4" t="s">
        <v>15</v>
      </c>
      <c r="DA4" t="s">
        <v>147</v>
      </c>
      <c r="DD4" t="s">
        <v>660</v>
      </c>
      <c r="DE4" t="s">
        <v>15</v>
      </c>
      <c r="DF4" t="s">
        <v>161</v>
      </c>
      <c r="DG4" t="s">
        <v>89</v>
      </c>
      <c r="DH4" t="s">
        <v>92</v>
      </c>
      <c r="DI4" t="s">
        <v>95</v>
      </c>
    </row>
    <row r="5" spans="1:113" x14ac:dyDescent="0.2">
      <c r="A5" t="s">
        <v>8</v>
      </c>
      <c r="C5" t="s">
        <v>20</v>
      </c>
      <c r="E5" t="s">
        <v>55</v>
      </c>
      <c r="G5" t="s">
        <v>147</v>
      </c>
      <c r="I5" t="s">
        <v>160</v>
      </c>
      <c r="N5" t="s">
        <v>175</v>
      </c>
      <c r="O5" s="2">
        <v>2.375</v>
      </c>
      <c r="P5" s="2"/>
      <c r="Q5" s="2"/>
      <c r="R5" s="2"/>
      <c r="U5" t="s">
        <v>255</v>
      </c>
      <c r="V5" t="s">
        <v>215</v>
      </c>
      <c r="W5" t="s">
        <v>216</v>
      </c>
      <c r="Z5" t="s">
        <v>751</v>
      </c>
      <c r="AB5" t="s">
        <v>217</v>
      </c>
      <c r="AC5" t="s">
        <v>435</v>
      </c>
      <c r="AF5" t="s">
        <v>70</v>
      </c>
      <c r="AG5" t="s">
        <v>70</v>
      </c>
      <c r="AH5" t="s">
        <v>70</v>
      </c>
      <c r="AI5" t="s">
        <v>70</v>
      </c>
      <c r="AJ5" t="s">
        <v>76</v>
      </c>
      <c r="AK5" t="s">
        <v>84</v>
      </c>
      <c r="AL5" t="s">
        <v>406</v>
      </c>
      <c r="AM5" t="s">
        <v>407</v>
      </c>
      <c r="AO5" t="s">
        <v>127</v>
      </c>
      <c r="AP5" t="s">
        <v>127</v>
      </c>
      <c r="AQ5" t="s">
        <v>127</v>
      </c>
      <c r="AR5" t="s">
        <v>112</v>
      </c>
      <c r="AT5" t="s">
        <v>120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99</v>
      </c>
      <c r="BB5" t="s">
        <v>99</v>
      </c>
      <c r="BC5" t="s">
        <v>57</v>
      </c>
      <c r="BD5" t="s">
        <v>57</v>
      </c>
      <c r="BE5" t="s">
        <v>57</v>
      </c>
      <c r="BF5" t="s">
        <v>57</v>
      </c>
      <c r="BG5" t="s">
        <v>55</v>
      </c>
      <c r="BH5" t="s">
        <v>55</v>
      </c>
      <c r="BI5" t="s">
        <v>55</v>
      </c>
      <c r="BJ5" t="s">
        <v>57</v>
      </c>
      <c r="BK5" t="s">
        <v>55</v>
      </c>
      <c r="BL5" t="s">
        <v>55</v>
      </c>
      <c r="BM5" t="s">
        <v>236</v>
      </c>
      <c r="BN5" t="s">
        <v>237</v>
      </c>
      <c r="BO5" t="s">
        <v>237</v>
      </c>
      <c r="BP5" t="s">
        <v>99</v>
      </c>
      <c r="BQ5" t="s">
        <v>254</v>
      </c>
      <c r="BR5" t="s">
        <v>454</v>
      </c>
      <c r="BS5" t="s">
        <v>468</v>
      </c>
      <c r="BT5" t="s">
        <v>667</v>
      </c>
      <c r="BU5" t="s">
        <v>10</v>
      </c>
      <c r="BV5" t="s">
        <v>258</v>
      </c>
      <c r="BW5" t="s">
        <v>57</v>
      </c>
      <c r="BX5" t="s">
        <v>275</v>
      </c>
      <c r="CA5" t="s">
        <v>321</v>
      </c>
      <c r="CC5" t="s">
        <v>326</v>
      </c>
      <c r="CE5" t="s">
        <v>557</v>
      </c>
      <c r="CG5" t="s">
        <v>571</v>
      </c>
      <c r="CO5" t="s">
        <v>931</v>
      </c>
      <c r="CQ5" t="s">
        <v>930</v>
      </c>
      <c r="CS5" t="s">
        <v>620</v>
      </c>
      <c r="CU5" t="s">
        <v>692</v>
      </c>
      <c r="CW5" t="s">
        <v>736</v>
      </c>
      <c r="CY5" t="s">
        <v>659</v>
      </c>
      <c r="CZ5" t="s">
        <v>15</v>
      </c>
      <c r="DA5" t="s">
        <v>148</v>
      </c>
      <c r="DD5" t="s">
        <v>660</v>
      </c>
      <c r="DE5" t="s">
        <v>15</v>
      </c>
      <c r="DF5" t="s">
        <v>162</v>
      </c>
      <c r="DG5" t="s">
        <v>406</v>
      </c>
      <c r="DH5" t="s">
        <v>407</v>
      </c>
    </row>
    <row r="6" spans="1:113" x14ac:dyDescent="0.2">
      <c r="A6" t="s">
        <v>9</v>
      </c>
      <c r="C6" t="s">
        <v>21</v>
      </c>
      <c r="E6" t="s">
        <v>56</v>
      </c>
      <c r="G6" t="s">
        <v>148</v>
      </c>
      <c r="I6" t="s">
        <v>161</v>
      </c>
      <c r="O6" s="2"/>
      <c r="P6" s="2"/>
      <c r="Q6" s="2"/>
      <c r="R6" s="2"/>
      <c r="U6" t="s">
        <v>434</v>
      </c>
      <c r="V6" t="s">
        <v>218</v>
      </c>
      <c r="Z6" t="s">
        <v>752</v>
      </c>
      <c r="AB6" t="s">
        <v>219</v>
      </c>
      <c r="AF6" t="s">
        <v>71</v>
      </c>
      <c r="AG6" t="s">
        <v>71</v>
      </c>
      <c r="AH6" t="s">
        <v>71</v>
      </c>
      <c r="AI6" t="s">
        <v>71</v>
      </c>
      <c r="AJ6" t="s">
        <v>77</v>
      </c>
      <c r="AK6" t="s">
        <v>85</v>
      </c>
      <c r="AL6" t="s">
        <v>408</v>
      </c>
      <c r="AM6" t="s">
        <v>409</v>
      </c>
      <c r="AO6" t="s">
        <v>128</v>
      </c>
      <c r="AP6" t="s">
        <v>128</v>
      </c>
      <c r="AQ6" t="s">
        <v>128</v>
      </c>
      <c r="AR6" t="s">
        <v>114</v>
      </c>
      <c r="AT6" t="s">
        <v>121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100</v>
      </c>
      <c r="BB6" t="s">
        <v>100</v>
      </c>
      <c r="BC6" t="s">
        <v>58</v>
      </c>
      <c r="BD6" t="s">
        <v>58</v>
      </c>
      <c r="BE6" t="s">
        <v>58</v>
      </c>
      <c r="BF6" t="s">
        <v>58</v>
      </c>
      <c r="BG6" t="s">
        <v>57</v>
      </c>
      <c r="BH6" t="s">
        <v>57</v>
      </c>
      <c r="BI6" t="s">
        <v>57</v>
      </c>
      <c r="BJ6" t="s">
        <v>58</v>
      </c>
      <c r="BK6" t="s">
        <v>57</v>
      </c>
      <c r="BL6" t="s">
        <v>57</v>
      </c>
      <c r="BM6" t="s">
        <v>237</v>
      </c>
      <c r="BN6" t="s">
        <v>238</v>
      </c>
      <c r="BO6" t="s">
        <v>238</v>
      </c>
      <c r="BP6" t="s">
        <v>100</v>
      </c>
      <c r="BR6" t="s">
        <v>455</v>
      </c>
      <c r="BS6" t="s">
        <v>469</v>
      </c>
      <c r="BU6" t="s">
        <v>257</v>
      </c>
      <c r="BV6" t="s">
        <v>258</v>
      </c>
      <c r="BW6" t="s">
        <v>58</v>
      </c>
      <c r="BX6" t="s">
        <v>276</v>
      </c>
      <c r="CA6" t="s">
        <v>322</v>
      </c>
      <c r="CC6" t="s">
        <v>327</v>
      </c>
      <c r="CG6" t="s">
        <v>572</v>
      </c>
      <c r="CO6" t="s">
        <v>929</v>
      </c>
      <c r="CQ6" t="s">
        <v>932</v>
      </c>
      <c r="CU6" t="s">
        <v>667</v>
      </c>
      <c r="CW6" t="s">
        <v>737</v>
      </c>
      <c r="CY6" t="s">
        <v>659</v>
      </c>
      <c r="CZ6" t="s">
        <v>15</v>
      </c>
      <c r="DA6" t="s">
        <v>149</v>
      </c>
      <c r="DD6" t="s">
        <v>660</v>
      </c>
      <c r="DE6" t="s">
        <v>15</v>
      </c>
      <c r="DF6" t="s">
        <v>163</v>
      </c>
      <c r="DG6" t="s">
        <v>408</v>
      </c>
      <c r="DH6" t="s">
        <v>409</v>
      </c>
    </row>
    <row r="7" spans="1:113" x14ac:dyDescent="0.2">
      <c r="A7" t="s">
        <v>10</v>
      </c>
      <c r="C7" t="s">
        <v>22</v>
      </c>
      <c r="E7" t="s">
        <v>57</v>
      </c>
      <c r="G7" t="s">
        <v>149</v>
      </c>
      <c r="I7" t="s">
        <v>162</v>
      </c>
      <c r="V7" t="s">
        <v>223</v>
      </c>
      <c r="Z7" t="s">
        <v>753</v>
      </c>
      <c r="AB7" t="s">
        <v>220</v>
      </c>
      <c r="AF7" t="s">
        <v>404</v>
      </c>
      <c r="AG7" t="s">
        <v>404</v>
      </c>
      <c r="AH7" t="s">
        <v>404</v>
      </c>
      <c r="AI7" t="s">
        <v>404</v>
      </c>
      <c r="AJ7" t="s">
        <v>479</v>
      </c>
      <c r="AK7" t="s">
        <v>388</v>
      </c>
      <c r="AL7" t="s">
        <v>423</v>
      </c>
      <c r="AM7" t="s">
        <v>411</v>
      </c>
      <c r="AO7" t="s">
        <v>129</v>
      </c>
      <c r="AP7" t="s">
        <v>129</v>
      </c>
      <c r="AQ7" t="s">
        <v>129</v>
      </c>
      <c r="AR7" t="s">
        <v>115</v>
      </c>
      <c r="AT7" t="s">
        <v>122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101</v>
      </c>
      <c r="BB7" t="s">
        <v>101</v>
      </c>
      <c r="BC7" t="s">
        <v>59</v>
      </c>
      <c r="BD7" t="s">
        <v>59</v>
      </c>
      <c r="BE7" t="s">
        <v>59</v>
      </c>
      <c r="BF7" t="s">
        <v>59</v>
      </c>
      <c r="BG7" t="s">
        <v>58</v>
      </c>
      <c r="BH7" t="s">
        <v>58</v>
      </c>
      <c r="BI7" t="s">
        <v>58</v>
      </c>
      <c r="BJ7" t="s">
        <v>59</v>
      </c>
      <c r="BK7" t="s">
        <v>58</v>
      </c>
      <c r="BL7" t="s">
        <v>58</v>
      </c>
      <c r="BM7" t="s">
        <v>238</v>
      </c>
      <c r="BN7" t="s">
        <v>239</v>
      </c>
      <c r="BO7" t="s">
        <v>239</v>
      </c>
      <c r="BP7" t="s">
        <v>101</v>
      </c>
      <c r="BR7" t="s">
        <v>456</v>
      </c>
      <c r="BS7" t="s">
        <v>470</v>
      </c>
      <c r="BU7" t="s">
        <v>12</v>
      </c>
      <c r="BV7" t="s">
        <v>258</v>
      </c>
      <c r="BW7" t="s">
        <v>59</v>
      </c>
      <c r="BX7" t="s">
        <v>277</v>
      </c>
      <c r="CA7" t="s">
        <v>323</v>
      </c>
      <c r="CC7" t="s">
        <v>328</v>
      </c>
      <c r="CG7" t="s">
        <v>573</v>
      </c>
      <c r="CO7" t="s">
        <v>930</v>
      </c>
      <c r="CQ7" t="s">
        <v>933</v>
      </c>
      <c r="CU7" t="s">
        <v>668</v>
      </c>
      <c r="CW7" t="s">
        <v>738</v>
      </c>
      <c r="CY7" t="s">
        <v>659</v>
      </c>
      <c r="CZ7" t="s">
        <v>15</v>
      </c>
      <c r="DA7" t="s">
        <v>150</v>
      </c>
      <c r="DD7" t="s">
        <v>660</v>
      </c>
      <c r="DE7" t="s">
        <v>15</v>
      </c>
      <c r="DF7" t="s">
        <v>164</v>
      </c>
      <c r="DG7" t="s">
        <v>423</v>
      </c>
      <c r="DH7" t="s">
        <v>411</v>
      </c>
    </row>
    <row r="8" spans="1:113" x14ac:dyDescent="0.2">
      <c r="A8" t="s">
        <v>257</v>
      </c>
      <c r="C8" t="s">
        <v>23</v>
      </c>
      <c r="E8" t="s">
        <v>58</v>
      </c>
      <c r="G8" t="s">
        <v>150</v>
      </c>
      <c r="I8" t="s">
        <v>163</v>
      </c>
      <c r="V8" t="s">
        <v>221</v>
      </c>
      <c r="AF8" t="s">
        <v>405</v>
      </c>
      <c r="AG8" t="s">
        <v>405</v>
      </c>
      <c r="AH8" t="s">
        <v>405</v>
      </c>
      <c r="AI8" t="s">
        <v>405</v>
      </c>
      <c r="AJ8" t="s">
        <v>78</v>
      </c>
      <c r="AK8" t="s">
        <v>399</v>
      </c>
      <c r="AL8" t="s">
        <v>410</v>
      </c>
      <c r="AM8" t="s">
        <v>413</v>
      </c>
      <c r="AO8" t="s">
        <v>130</v>
      </c>
      <c r="AP8" t="s">
        <v>130</v>
      </c>
      <c r="AQ8" t="s">
        <v>130</v>
      </c>
      <c r="AR8" t="s">
        <v>118</v>
      </c>
      <c r="AT8" t="s">
        <v>123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102</v>
      </c>
      <c r="BB8" t="s">
        <v>102</v>
      </c>
      <c r="BC8" t="s">
        <v>60</v>
      </c>
      <c r="BD8" t="s">
        <v>60</v>
      </c>
      <c r="BE8" t="s">
        <v>60</v>
      </c>
      <c r="BF8" t="s">
        <v>60</v>
      </c>
      <c r="BG8" t="s">
        <v>59</v>
      </c>
      <c r="BH8" t="s">
        <v>59</v>
      </c>
      <c r="BI8" t="s">
        <v>59</v>
      </c>
      <c r="BJ8" t="s">
        <v>60</v>
      </c>
      <c r="BK8" t="s">
        <v>59</v>
      </c>
      <c r="BL8" t="s">
        <v>59</v>
      </c>
      <c r="BM8" t="s">
        <v>239</v>
      </c>
      <c r="BN8" t="s">
        <v>240</v>
      </c>
      <c r="BO8" t="s">
        <v>240</v>
      </c>
      <c r="BP8" t="s">
        <v>102</v>
      </c>
      <c r="BR8" t="s">
        <v>457</v>
      </c>
      <c r="BS8" t="s">
        <v>471</v>
      </c>
      <c r="BU8" t="s">
        <v>256</v>
      </c>
      <c r="BV8" t="s">
        <v>258</v>
      </c>
      <c r="BW8" t="s">
        <v>60</v>
      </c>
      <c r="BX8" t="s">
        <v>278</v>
      </c>
      <c r="CA8" t="s">
        <v>426</v>
      </c>
      <c r="CC8" t="s">
        <v>329</v>
      </c>
      <c r="CG8" t="s">
        <v>574</v>
      </c>
      <c r="CO8" t="s">
        <v>932</v>
      </c>
      <c r="CQ8" t="s">
        <v>934</v>
      </c>
      <c r="CU8" t="s">
        <v>670</v>
      </c>
      <c r="CW8" t="s">
        <v>739</v>
      </c>
      <c r="CY8" t="s">
        <v>659</v>
      </c>
      <c r="CZ8" t="s">
        <v>15</v>
      </c>
      <c r="DA8" t="s">
        <v>151</v>
      </c>
      <c r="DD8" t="s">
        <v>660</v>
      </c>
      <c r="DE8" t="s">
        <v>15</v>
      </c>
      <c r="DF8" t="s">
        <v>165</v>
      </c>
      <c r="DG8" t="s">
        <v>410</v>
      </c>
      <c r="DH8" t="s">
        <v>413</v>
      </c>
    </row>
    <row r="9" spans="1:113" x14ac:dyDescent="0.2">
      <c r="A9" t="s">
        <v>12</v>
      </c>
      <c r="C9" t="s">
        <v>24</v>
      </c>
      <c r="E9" t="s">
        <v>59</v>
      </c>
      <c r="G9" t="s">
        <v>151</v>
      </c>
      <c r="I9" t="s">
        <v>164</v>
      </c>
      <c r="V9" t="s">
        <v>224</v>
      </c>
      <c r="AF9" t="s">
        <v>414</v>
      </c>
      <c r="AG9" t="s">
        <v>414</v>
      </c>
      <c r="AH9" t="s">
        <v>414</v>
      </c>
      <c r="AI9" t="s">
        <v>414</v>
      </c>
      <c r="AJ9" t="s">
        <v>79</v>
      </c>
      <c r="AK9" t="s">
        <v>86</v>
      </c>
      <c r="AL9" t="s">
        <v>412</v>
      </c>
      <c r="AM9" t="s">
        <v>448</v>
      </c>
      <c r="AO9" t="s">
        <v>131</v>
      </c>
      <c r="AP9" t="s">
        <v>131</v>
      </c>
      <c r="AQ9" t="s">
        <v>131</v>
      </c>
      <c r="AR9" t="s">
        <v>110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103</v>
      </c>
      <c r="BB9" t="s">
        <v>103</v>
      </c>
      <c r="BC9" t="s">
        <v>61</v>
      </c>
      <c r="BD9" t="s">
        <v>61</v>
      </c>
      <c r="BE9" t="s">
        <v>61</v>
      </c>
      <c r="BF9" t="s">
        <v>61</v>
      </c>
      <c r="BG9" t="s">
        <v>60</v>
      </c>
      <c r="BH9" t="s">
        <v>60</v>
      </c>
      <c r="BI9" t="s">
        <v>60</v>
      </c>
      <c r="BJ9" t="s">
        <v>61</v>
      </c>
      <c r="BK9" t="s">
        <v>60</v>
      </c>
      <c r="BL9" t="s">
        <v>60</v>
      </c>
      <c r="BM9" t="s">
        <v>240</v>
      </c>
      <c r="BN9" t="s">
        <v>241</v>
      </c>
      <c r="BO9" t="s">
        <v>241</v>
      </c>
      <c r="BP9" t="s">
        <v>103</v>
      </c>
      <c r="BR9" t="s">
        <v>458</v>
      </c>
      <c r="BS9" t="s">
        <v>472</v>
      </c>
      <c r="BU9" t="s">
        <v>13</v>
      </c>
      <c r="BV9" t="s">
        <v>249</v>
      </c>
      <c r="BW9" t="s">
        <v>61</v>
      </c>
      <c r="BX9" t="s">
        <v>279</v>
      </c>
      <c r="CA9" t="s">
        <v>609</v>
      </c>
      <c r="CC9" t="s">
        <v>318</v>
      </c>
      <c r="CG9" t="s">
        <v>575</v>
      </c>
      <c r="CO9" t="s">
        <v>933</v>
      </c>
      <c r="CQ9" t="s">
        <v>928</v>
      </c>
      <c r="CU9" t="s">
        <v>671</v>
      </c>
      <c r="CW9" t="s">
        <v>740</v>
      </c>
      <c r="CY9" t="s">
        <v>659</v>
      </c>
      <c r="CZ9" t="s">
        <v>15</v>
      </c>
      <c r="DA9" t="s">
        <v>152</v>
      </c>
      <c r="DD9" t="s">
        <v>660</v>
      </c>
      <c r="DE9" t="s">
        <v>15</v>
      </c>
      <c r="DF9" t="s">
        <v>166</v>
      </c>
      <c r="DG9" t="s">
        <v>412</v>
      </c>
      <c r="DH9" t="s">
        <v>448</v>
      </c>
    </row>
    <row r="10" spans="1:113" x14ac:dyDescent="0.2">
      <c r="A10" t="s">
        <v>256</v>
      </c>
      <c r="C10" t="s">
        <v>25</v>
      </c>
      <c r="E10" t="s">
        <v>60</v>
      </c>
      <c r="G10" t="s">
        <v>152</v>
      </c>
      <c r="I10" t="s">
        <v>165</v>
      </c>
      <c r="V10" t="s">
        <v>225</v>
      </c>
      <c r="AF10" t="s">
        <v>418</v>
      </c>
      <c r="AG10" t="s">
        <v>418</v>
      </c>
      <c r="AH10" t="s">
        <v>418</v>
      </c>
      <c r="AI10" t="s">
        <v>418</v>
      </c>
      <c r="AJ10" t="s">
        <v>387</v>
      </c>
      <c r="AL10" t="s">
        <v>415</v>
      </c>
      <c r="AM10" t="s">
        <v>614</v>
      </c>
      <c r="AO10" t="s">
        <v>132</v>
      </c>
      <c r="AP10" t="s">
        <v>132</v>
      </c>
      <c r="AQ10" t="s">
        <v>132</v>
      </c>
      <c r="AR10" t="s">
        <v>107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449</v>
      </c>
      <c r="BB10" t="s">
        <v>449</v>
      </c>
      <c r="BC10" t="s">
        <v>62</v>
      </c>
      <c r="BD10" t="s">
        <v>62</v>
      </c>
      <c r="BE10" t="s">
        <v>62</v>
      </c>
      <c r="BF10" t="s">
        <v>62</v>
      </c>
      <c r="BG10" t="s">
        <v>61</v>
      </c>
      <c r="BH10" t="s">
        <v>61</v>
      </c>
      <c r="BI10" t="s">
        <v>61</v>
      </c>
      <c r="BJ10" t="s">
        <v>62</v>
      </c>
      <c r="BK10" t="s">
        <v>61</v>
      </c>
      <c r="BL10" t="s">
        <v>61</v>
      </c>
      <c r="BM10" t="s">
        <v>241</v>
      </c>
      <c r="BN10" t="s">
        <v>242</v>
      </c>
      <c r="BO10" t="s">
        <v>242</v>
      </c>
      <c r="BP10" t="s">
        <v>104</v>
      </c>
      <c r="BR10" t="s">
        <v>480</v>
      </c>
      <c r="BS10" t="s">
        <v>473</v>
      </c>
      <c r="BU10" t="s">
        <v>14</v>
      </c>
      <c r="BV10" t="s">
        <v>258</v>
      </c>
      <c r="BW10" t="s">
        <v>62</v>
      </c>
      <c r="BX10" t="s">
        <v>280</v>
      </c>
      <c r="CA10" t="s">
        <v>320</v>
      </c>
      <c r="CC10" t="s">
        <v>330</v>
      </c>
      <c r="CG10" t="s">
        <v>576</v>
      </c>
      <c r="CO10" t="s">
        <v>934</v>
      </c>
      <c r="CQ10" t="s">
        <v>161</v>
      </c>
      <c r="CU10" t="s">
        <v>693</v>
      </c>
      <c r="CY10" t="s">
        <v>659</v>
      </c>
      <c r="CZ10" t="s">
        <v>15</v>
      </c>
      <c r="DA10" t="s">
        <v>153</v>
      </c>
      <c r="DD10" t="s">
        <v>660</v>
      </c>
      <c r="DE10" t="s">
        <v>15</v>
      </c>
      <c r="DF10" t="s">
        <v>167</v>
      </c>
      <c r="DG10" t="s">
        <v>415</v>
      </c>
      <c r="DH10" t="s">
        <v>614</v>
      </c>
    </row>
    <row r="11" spans="1:113" x14ac:dyDescent="0.2">
      <c r="A11" t="s">
        <v>13</v>
      </c>
      <c r="C11" t="s">
        <v>26</v>
      </c>
      <c r="E11" t="s">
        <v>61</v>
      </c>
      <c r="G11" t="s">
        <v>153</v>
      </c>
      <c r="I11" t="s">
        <v>166</v>
      </c>
      <c r="V11" t="s">
        <v>228</v>
      </c>
      <c r="AF11" t="s">
        <v>477</v>
      </c>
      <c r="AG11" t="s">
        <v>477</v>
      </c>
      <c r="AH11" t="s">
        <v>477</v>
      </c>
      <c r="AI11" t="s">
        <v>477</v>
      </c>
      <c r="AJ11" t="s">
        <v>398</v>
      </c>
      <c r="AL11" t="s">
        <v>447</v>
      </c>
      <c r="AM11" t="s">
        <v>824</v>
      </c>
      <c r="AO11" t="s">
        <v>133</v>
      </c>
      <c r="AP11" t="s">
        <v>133</v>
      </c>
      <c r="AQ11" t="s">
        <v>133</v>
      </c>
      <c r="AR11" t="s">
        <v>43</v>
      </c>
      <c r="AU11" t="s">
        <v>56</v>
      </c>
      <c r="AV11" t="s">
        <v>56</v>
      </c>
      <c r="AW11" t="s">
        <v>66</v>
      </c>
      <c r="AX11" t="s">
        <v>66</v>
      </c>
      <c r="AY11" t="s">
        <v>66</v>
      </c>
      <c r="AZ11" t="s">
        <v>66</v>
      </c>
      <c r="BA11" t="s">
        <v>476</v>
      </c>
      <c r="BB11" t="s">
        <v>476</v>
      </c>
      <c r="BC11" t="s">
        <v>63</v>
      </c>
      <c r="BD11" t="s">
        <v>63</v>
      </c>
      <c r="BE11" t="s">
        <v>63</v>
      </c>
      <c r="BF11" t="s">
        <v>63</v>
      </c>
      <c r="BG11" t="s">
        <v>62</v>
      </c>
      <c r="BH11" t="s">
        <v>62</v>
      </c>
      <c r="BI11" t="s">
        <v>62</v>
      </c>
      <c r="BJ11" t="s">
        <v>63</v>
      </c>
      <c r="BK11" t="s">
        <v>62</v>
      </c>
      <c r="BL11" t="s">
        <v>62</v>
      </c>
      <c r="BM11" t="s">
        <v>242</v>
      </c>
      <c r="BN11" t="s">
        <v>246</v>
      </c>
      <c r="BO11" t="s">
        <v>246</v>
      </c>
      <c r="BR11" t="s">
        <v>459</v>
      </c>
      <c r="BS11" t="s">
        <v>474</v>
      </c>
      <c r="BU11" t="s">
        <v>15</v>
      </c>
      <c r="BV11" t="s">
        <v>258</v>
      </c>
      <c r="BW11" t="s">
        <v>63</v>
      </c>
      <c r="BX11" t="s">
        <v>281</v>
      </c>
      <c r="CC11" t="s">
        <v>331</v>
      </c>
      <c r="CG11" t="s">
        <v>577</v>
      </c>
      <c r="CO11" t="s">
        <v>928</v>
      </c>
      <c r="CQ11" t="s">
        <v>166</v>
      </c>
      <c r="CY11" t="s">
        <v>659</v>
      </c>
      <c r="CZ11" t="s">
        <v>15</v>
      </c>
      <c r="DA11" t="s">
        <v>154</v>
      </c>
      <c r="DD11" t="s">
        <v>660</v>
      </c>
      <c r="DE11" t="s">
        <v>15</v>
      </c>
      <c r="DF11" t="s">
        <v>650</v>
      </c>
      <c r="DG11" t="s">
        <v>447</v>
      </c>
      <c r="DH11" t="s">
        <v>183</v>
      </c>
    </row>
    <row r="12" spans="1:113" x14ac:dyDescent="0.2">
      <c r="A12" t="s">
        <v>14</v>
      </c>
      <c r="C12" t="s">
        <v>27</v>
      </c>
      <c r="E12" t="s">
        <v>62</v>
      </c>
      <c r="G12" t="s">
        <v>154</v>
      </c>
      <c r="I12" t="s">
        <v>167</v>
      </c>
      <c r="V12" t="s">
        <v>229</v>
      </c>
      <c r="AF12" t="s">
        <v>478</v>
      </c>
      <c r="AG12" t="s">
        <v>478</v>
      </c>
      <c r="AH12" t="s">
        <v>478</v>
      </c>
      <c r="AI12" t="s">
        <v>478</v>
      </c>
      <c r="AJ12" t="s">
        <v>416</v>
      </c>
      <c r="AL12" t="s">
        <v>613</v>
      </c>
      <c r="AM12" t="s">
        <v>183</v>
      </c>
      <c r="AO12" t="s">
        <v>134</v>
      </c>
      <c r="AP12" t="s">
        <v>134</v>
      </c>
      <c r="AQ12" t="s">
        <v>134</v>
      </c>
      <c r="AR12" t="s">
        <v>42</v>
      </c>
      <c r="AU12" t="s">
        <v>66</v>
      </c>
      <c r="AV12" t="s">
        <v>66</v>
      </c>
      <c r="BA12" t="s">
        <v>104</v>
      </c>
      <c r="BB12" t="s">
        <v>104</v>
      </c>
      <c r="BC12" t="s">
        <v>65</v>
      </c>
      <c r="BD12" t="s">
        <v>65</v>
      </c>
      <c r="BE12" t="s">
        <v>65</v>
      </c>
      <c r="BF12" t="s">
        <v>65</v>
      </c>
      <c r="BG12" t="s">
        <v>63</v>
      </c>
      <c r="BH12" t="s">
        <v>63</v>
      </c>
      <c r="BI12" t="s">
        <v>63</v>
      </c>
      <c r="BJ12" t="s">
        <v>65</v>
      </c>
      <c r="BK12" t="s">
        <v>63</v>
      </c>
      <c r="BL12" t="s">
        <v>63</v>
      </c>
      <c r="BM12" t="s">
        <v>243</v>
      </c>
      <c r="BR12" t="s">
        <v>460</v>
      </c>
      <c r="BS12" t="s">
        <v>475</v>
      </c>
      <c r="BU12" t="s">
        <v>16</v>
      </c>
      <c r="BV12" t="s">
        <v>249</v>
      </c>
      <c r="BW12" t="s">
        <v>65</v>
      </c>
      <c r="BX12" t="s">
        <v>282</v>
      </c>
      <c r="CC12" t="s">
        <v>332</v>
      </c>
      <c r="CG12" t="s">
        <v>578</v>
      </c>
      <c r="CO12" t="s">
        <v>485</v>
      </c>
      <c r="CQ12" t="s">
        <v>920</v>
      </c>
      <c r="CY12" t="s">
        <v>659</v>
      </c>
      <c r="CZ12" t="s">
        <v>15</v>
      </c>
      <c r="DA12" t="s">
        <v>157</v>
      </c>
      <c r="DD12" t="s">
        <v>660</v>
      </c>
      <c r="DE12" t="s">
        <v>15</v>
      </c>
      <c r="DF12" t="s">
        <v>645</v>
      </c>
      <c r="DG12" t="s">
        <v>613</v>
      </c>
    </row>
    <row r="13" spans="1:113" x14ac:dyDescent="0.2">
      <c r="A13" t="s">
        <v>15</v>
      </c>
      <c r="C13" t="s">
        <v>28</v>
      </c>
      <c r="E13" t="s">
        <v>63</v>
      </c>
      <c r="G13" t="s">
        <v>155</v>
      </c>
      <c r="I13" t="s">
        <v>168</v>
      </c>
      <c r="V13" t="s">
        <v>261</v>
      </c>
      <c r="AF13" t="s">
        <v>682</v>
      </c>
      <c r="AG13" t="s">
        <v>72</v>
      </c>
      <c r="AH13" t="s">
        <v>72</v>
      </c>
      <c r="AI13" t="s">
        <v>72</v>
      </c>
      <c r="AJ13" t="s">
        <v>424</v>
      </c>
      <c r="AL13" t="s">
        <v>823</v>
      </c>
      <c r="AO13" t="s">
        <v>136</v>
      </c>
      <c r="AP13" t="s">
        <v>135</v>
      </c>
      <c r="AQ13" t="s">
        <v>135</v>
      </c>
      <c r="BC13" t="s">
        <v>56</v>
      </c>
      <c r="BD13" t="s">
        <v>221</v>
      </c>
      <c r="BE13" t="s">
        <v>221</v>
      </c>
      <c r="BF13" t="s">
        <v>221</v>
      </c>
      <c r="BG13" t="s">
        <v>65</v>
      </c>
      <c r="BH13" t="s">
        <v>65</v>
      </c>
      <c r="BI13" t="s">
        <v>65</v>
      </c>
      <c r="BJ13" t="s">
        <v>66</v>
      </c>
      <c r="BK13" t="s">
        <v>65</v>
      </c>
      <c r="BL13" t="s">
        <v>65</v>
      </c>
      <c r="BM13" t="s">
        <v>244</v>
      </c>
      <c r="BR13" t="s">
        <v>461</v>
      </c>
      <c r="BS13" t="s">
        <v>481</v>
      </c>
      <c r="BU13" t="s">
        <v>17</v>
      </c>
      <c r="BV13" t="s">
        <v>258</v>
      </c>
      <c r="BW13" t="s">
        <v>221</v>
      </c>
      <c r="BX13" t="s">
        <v>283</v>
      </c>
      <c r="CC13" t="s">
        <v>333</v>
      </c>
      <c r="CG13" t="s">
        <v>579</v>
      </c>
      <c r="CO13" t="s">
        <v>485</v>
      </c>
      <c r="CQ13" t="s">
        <v>164</v>
      </c>
      <c r="CY13" t="s">
        <v>659</v>
      </c>
      <c r="CZ13" t="s">
        <v>15</v>
      </c>
      <c r="DA13" t="s">
        <v>630</v>
      </c>
      <c r="DD13" t="s">
        <v>660</v>
      </c>
      <c r="DE13" t="s">
        <v>15</v>
      </c>
      <c r="DF13" t="s">
        <v>654</v>
      </c>
      <c r="DG13" t="s">
        <v>182</v>
      </c>
    </row>
    <row r="14" spans="1:113" x14ac:dyDescent="0.2">
      <c r="A14" t="s">
        <v>16</v>
      </c>
      <c r="C14" t="s">
        <v>29</v>
      </c>
      <c r="E14" t="s">
        <v>64</v>
      </c>
      <c r="G14" t="s">
        <v>156</v>
      </c>
      <c r="I14" t="s">
        <v>154</v>
      </c>
      <c r="V14" t="s">
        <v>831</v>
      </c>
      <c r="AF14" t="s">
        <v>683</v>
      </c>
      <c r="AG14" t="s">
        <v>683</v>
      </c>
      <c r="AH14" t="s">
        <v>683</v>
      </c>
      <c r="AI14" t="s">
        <v>683</v>
      </c>
      <c r="AJ14" t="s">
        <v>80</v>
      </c>
      <c r="AL14" t="s">
        <v>182</v>
      </c>
      <c r="AO14" t="s">
        <v>137</v>
      </c>
      <c r="AP14" t="s">
        <v>136</v>
      </c>
      <c r="AQ14" t="s">
        <v>136</v>
      </c>
      <c r="BC14" t="s">
        <v>66</v>
      </c>
      <c r="BD14" t="s">
        <v>66</v>
      </c>
      <c r="BE14" t="s">
        <v>66</v>
      </c>
      <c r="BF14" t="s">
        <v>66</v>
      </c>
      <c r="BG14" t="s">
        <v>66</v>
      </c>
      <c r="BH14" t="s">
        <v>66</v>
      </c>
      <c r="BI14" t="s">
        <v>66</v>
      </c>
      <c r="BJ14" t="s">
        <v>64</v>
      </c>
      <c r="BK14" t="s">
        <v>66</v>
      </c>
      <c r="BL14" t="s">
        <v>66</v>
      </c>
      <c r="BM14" t="s">
        <v>245</v>
      </c>
      <c r="BR14" t="s">
        <v>462</v>
      </c>
      <c r="BS14" t="s">
        <v>460</v>
      </c>
      <c r="BU14" t="s">
        <v>18</v>
      </c>
      <c r="BV14" t="s">
        <v>249</v>
      </c>
      <c r="BW14" t="s">
        <v>66</v>
      </c>
      <c r="CC14" t="s">
        <v>334</v>
      </c>
      <c r="CG14" t="s">
        <v>580</v>
      </c>
      <c r="CO14" t="s">
        <v>936</v>
      </c>
      <c r="CQ14" t="s">
        <v>167</v>
      </c>
      <c r="CY14" t="s">
        <v>659</v>
      </c>
      <c r="CZ14" t="s">
        <v>15</v>
      </c>
      <c r="DA14" t="s">
        <v>635</v>
      </c>
      <c r="DD14" t="s">
        <v>660</v>
      </c>
      <c r="DE14" t="s">
        <v>15</v>
      </c>
      <c r="DF14" t="s">
        <v>655</v>
      </c>
    </row>
    <row r="15" spans="1:113" x14ac:dyDescent="0.2">
      <c r="A15" t="s">
        <v>17</v>
      </c>
      <c r="C15" t="s">
        <v>30</v>
      </c>
      <c r="E15" t="s">
        <v>65</v>
      </c>
      <c r="G15" t="s">
        <v>157</v>
      </c>
      <c r="AF15" t="s">
        <v>684</v>
      </c>
      <c r="AG15" t="s">
        <v>684</v>
      </c>
      <c r="AH15" t="s">
        <v>684</v>
      </c>
      <c r="AI15" t="s">
        <v>684</v>
      </c>
      <c r="AO15" t="s">
        <v>138</v>
      </c>
      <c r="AP15" t="s">
        <v>137</v>
      </c>
      <c r="AQ15" t="s">
        <v>137</v>
      </c>
      <c r="BJ15" t="s">
        <v>56</v>
      </c>
      <c r="BM15" t="s">
        <v>246</v>
      </c>
      <c r="BR15" t="s">
        <v>463</v>
      </c>
      <c r="BU15" t="s">
        <v>250</v>
      </c>
      <c r="BV15" t="s">
        <v>259</v>
      </c>
      <c r="CC15" t="s">
        <v>335</v>
      </c>
      <c r="CG15" t="s">
        <v>581</v>
      </c>
      <c r="CO15" t="s">
        <v>935</v>
      </c>
      <c r="CQ15" t="s">
        <v>165</v>
      </c>
      <c r="CY15" t="s">
        <v>659</v>
      </c>
      <c r="CZ15" t="s">
        <v>15</v>
      </c>
      <c r="DA15" t="s">
        <v>636</v>
      </c>
      <c r="DD15" t="s">
        <v>660</v>
      </c>
      <c r="DE15" t="s">
        <v>15</v>
      </c>
      <c r="DF15" t="s">
        <v>656</v>
      </c>
    </row>
    <row r="16" spans="1:113" x14ac:dyDescent="0.2">
      <c r="A16" t="s">
        <v>18</v>
      </c>
      <c r="C16" t="s">
        <v>31</v>
      </c>
      <c r="E16" t="s">
        <v>66</v>
      </c>
      <c r="AF16" t="s">
        <v>685</v>
      </c>
      <c r="AG16" t="s">
        <v>685</v>
      </c>
      <c r="AH16" t="s">
        <v>685</v>
      </c>
      <c r="AI16" t="s">
        <v>685</v>
      </c>
      <c r="AO16" t="s">
        <v>140</v>
      </c>
      <c r="AP16" t="s">
        <v>138</v>
      </c>
      <c r="AQ16" t="s">
        <v>138</v>
      </c>
      <c r="BR16" t="s">
        <v>464</v>
      </c>
      <c r="CC16" t="s">
        <v>336</v>
      </c>
      <c r="CG16" t="s">
        <v>582</v>
      </c>
      <c r="CO16" t="s">
        <v>153</v>
      </c>
      <c r="CQ16" t="s">
        <v>646</v>
      </c>
      <c r="CY16" t="s">
        <v>659</v>
      </c>
      <c r="CZ16" t="s">
        <v>15</v>
      </c>
      <c r="DA16" t="s">
        <v>638</v>
      </c>
      <c r="DD16" t="s">
        <v>660</v>
      </c>
      <c r="DE16" t="s">
        <v>15</v>
      </c>
      <c r="DF16" t="s">
        <v>658</v>
      </c>
    </row>
    <row r="17" spans="1:110" x14ac:dyDescent="0.2">
      <c r="A17" t="s">
        <v>250</v>
      </c>
      <c r="C17" t="s">
        <v>32</v>
      </c>
      <c r="E17" t="s">
        <v>67</v>
      </c>
      <c r="AF17" t="s">
        <v>686</v>
      </c>
      <c r="AG17" t="s">
        <v>686</v>
      </c>
      <c r="AH17" t="s">
        <v>686</v>
      </c>
      <c r="AI17" t="s">
        <v>686</v>
      </c>
      <c r="AO17" t="s">
        <v>141</v>
      </c>
      <c r="AP17" t="s">
        <v>139</v>
      </c>
      <c r="AQ17" t="s">
        <v>139</v>
      </c>
      <c r="CC17" t="s">
        <v>337</v>
      </c>
      <c r="CG17" t="s">
        <v>583</v>
      </c>
      <c r="CO17" t="s">
        <v>150</v>
      </c>
      <c r="CQ17" t="s">
        <v>168</v>
      </c>
      <c r="CY17" t="s">
        <v>659</v>
      </c>
      <c r="CZ17" t="s">
        <v>15</v>
      </c>
      <c r="DA17" t="s">
        <v>640</v>
      </c>
      <c r="DD17" t="s">
        <v>660</v>
      </c>
      <c r="DE17" t="s">
        <v>8</v>
      </c>
      <c r="DF17" t="s">
        <v>647</v>
      </c>
    </row>
    <row r="18" spans="1:110" x14ac:dyDescent="0.2">
      <c r="A18" t="s">
        <v>262</v>
      </c>
      <c r="C18" t="s">
        <v>33</v>
      </c>
      <c r="E18" t="s">
        <v>68</v>
      </c>
      <c r="AF18" t="s">
        <v>72</v>
      </c>
      <c r="AG18" t="s">
        <v>72</v>
      </c>
      <c r="AH18" t="s">
        <v>72</v>
      </c>
      <c r="AI18" t="s">
        <v>72</v>
      </c>
      <c r="AO18" t="s">
        <v>143</v>
      </c>
      <c r="AP18" t="s">
        <v>140</v>
      </c>
      <c r="AQ18" t="s">
        <v>140</v>
      </c>
      <c r="CC18" t="s">
        <v>338</v>
      </c>
      <c r="CG18" t="s">
        <v>584</v>
      </c>
      <c r="CO18" t="s">
        <v>638</v>
      </c>
      <c r="CQ18" t="s">
        <v>936</v>
      </c>
      <c r="CY18" t="s">
        <v>659</v>
      </c>
      <c r="CZ18" t="s">
        <v>15</v>
      </c>
      <c r="DA18" t="s">
        <v>644</v>
      </c>
      <c r="DD18" t="s">
        <v>660</v>
      </c>
      <c r="DE18" t="s">
        <v>8</v>
      </c>
      <c r="DF18" t="s">
        <v>648</v>
      </c>
    </row>
    <row r="19" spans="1:110" x14ac:dyDescent="0.2">
      <c r="A19" t="s">
        <v>247</v>
      </c>
      <c r="C19" t="s">
        <v>34</v>
      </c>
      <c r="E19" t="s">
        <v>69</v>
      </c>
      <c r="AP19" t="s">
        <v>141</v>
      </c>
      <c r="AQ19" t="s">
        <v>141</v>
      </c>
      <c r="CC19" t="s">
        <v>339</v>
      </c>
      <c r="CG19" t="s">
        <v>585</v>
      </c>
      <c r="CO19" t="s">
        <v>617</v>
      </c>
      <c r="CQ19" t="s">
        <v>935</v>
      </c>
      <c r="CY19" t="s">
        <v>659</v>
      </c>
      <c r="CZ19" t="s">
        <v>8</v>
      </c>
      <c r="DA19" t="s">
        <v>628</v>
      </c>
      <c r="DD19" t="s">
        <v>660</v>
      </c>
      <c r="DE19" t="s">
        <v>8</v>
      </c>
      <c r="DF19" t="s">
        <v>657</v>
      </c>
    </row>
    <row r="20" spans="1:110" x14ac:dyDescent="0.2">
      <c r="A20" t="s">
        <v>425</v>
      </c>
      <c r="C20" t="s">
        <v>35</v>
      </c>
      <c r="E20" t="s">
        <v>70</v>
      </c>
      <c r="AP20" t="s">
        <v>142</v>
      </c>
      <c r="AQ20" t="s">
        <v>142</v>
      </c>
      <c r="CC20" t="s">
        <v>340</v>
      </c>
      <c r="CG20" t="s">
        <v>586</v>
      </c>
      <c r="CO20" t="s">
        <v>152</v>
      </c>
      <c r="CQ20" t="s">
        <v>649</v>
      </c>
      <c r="CY20" t="s">
        <v>659</v>
      </c>
      <c r="CZ20" t="s">
        <v>8</v>
      </c>
      <c r="DA20" t="s">
        <v>629</v>
      </c>
      <c r="DD20" t="s">
        <v>660</v>
      </c>
      <c r="DE20" t="s">
        <v>7</v>
      </c>
      <c r="DF20" t="s">
        <v>168</v>
      </c>
    </row>
    <row r="21" spans="1:110" x14ac:dyDescent="0.2">
      <c r="A21" t="s">
        <v>426</v>
      </c>
      <c r="C21" t="s">
        <v>36</v>
      </c>
      <c r="E21" t="s">
        <v>71</v>
      </c>
      <c r="AP21" t="s">
        <v>143</v>
      </c>
      <c r="AQ21" t="s">
        <v>143</v>
      </c>
      <c r="CC21" t="s">
        <v>341</v>
      </c>
      <c r="CG21" t="s">
        <v>587</v>
      </c>
      <c r="CO21" t="s">
        <v>151</v>
      </c>
      <c r="CQ21" t="s">
        <v>163</v>
      </c>
      <c r="CY21" t="s">
        <v>659</v>
      </c>
      <c r="CZ21" t="s">
        <v>8</v>
      </c>
      <c r="DA21" t="s">
        <v>690</v>
      </c>
      <c r="DD21" t="s">
        <v>660</v>
      </c>
      <c r="DE21" t="s">
        <v>7</v>
      </c>
      <c r="DF21" t="s">
        <v>646</v>
      </c>
    </row>
    <row r="22" spans="1:110" x14ac:dyDescent="0.2">
      <c r="A22" t="s">
        <v>431</v>
      </c>
      <c r="C22" t="s">
        <v>37</v>
      </c>
      <c r="E22" t="s">
        <v>72</v>
      </c>
      <c r="CC22" t="s">
        <v>342</v>
      </c>
      <c r="CG22" t="s">
        <v>588</v>
      </c>
      <c r="CO22" t="s">
        <v>147</v>
      </c>
      <c r="CQ22" t="s">
        <v>678</v>
      </c>
      <c r="CY22" t="s">
        <v>659</v>
      </c>
      <c r="CZ22" t="s">
        <v>8</v>
      </c>
      <c r="DA22" t="s">
        <v>639</v>
      </c>
      <c r="DD22" t="s">
        <v>660</v>
      </c>
      <c r="DE22" t="s">
        <v>7</v>
      </c>
      <c r="DF22" t="s">
        <v>636</v>
      </c>
    </row>
    <row r="23" spans="1:110" x14ac:dyDescent="0.2">
      <c r="A23" t="s">
        <v>320</v>
      </c>
      <c r="C23" t="s">
        <v>12</v>
      </c>
      <c r="E23" t="s">
        <v>73</v>
      </c>
      <c r="CC23" t="s">
        <v>343</v>
      </c>
      <c r="CG23" t="s">
        <v>589</v>
      </c>
      <c r="CO23" t="s">
        <v>145</v>
      </c>
      <c r="CQ23" t="s">
        <v>922</v>
      </c>
      <c r="CY23" t="s">
        <v>659</v>
      </c>
      <c r="CZ23" t="s">
        <v>8</v>
      </c>
      <c r="DA23" t="s">
        <v>641</v>
      </c>
      <c r="DD23" t="s">
        <v>660</v>
      </c>
      <c r="DE23" t="s">
        <v>645</v>
      </c>
      <c r="DF23" t="s">
        <v>649</v>
      </c>
    </row>
    <row r="24" spans="1:110" x14ac:dyDescent="0.2">
      <c r="A24" t="s">
        <v>433</v>
      </c>
      <c r="C24" t="s">
        <v>38</v>
      </c>
      <c r="E24" t="s">
        <v>74</v>
      </c>
      <c r="CC24" t="s">
        <v>344</v>
      </c>
      <c r="CG24" t="s">
        <v>590</v>
      </c>
      <c r="CO24" t="s">
        <v>148</v>
      </c>
      <c r="CQ24" t="s">
        <v>924</v>
      </c>
      <c r="CY24" t="s">
        <v>659</v>
      </c>
      <c r="CZ24" t="s">
        <v>8</v>
      </c>
      <c r="DA24" t="s">
        <v>642</v>
      </c>
      <c r="DD24" t="s">
        <v>660</v>
      </c>
      <c r="DE24" t="s">
        <v>645</v>
      </c>
      <c r="DF24" t="s">
        <v>651</v>
      </c>
    </row>
    <row r="25" spans="1:110" x14ac:dyDescent="0.2">
      <c r="A25" t="s">
        <v>450</v>
      </c>
      <c r="C25" t="s">
        <v>39</v>
      </c>
      <c r="E25" t="s">
        <v>75</v>
      </c>
      <c r="CC25" t="s">
        <v>345</v>
      </c>
      <c r="CG25" t="s">
        <v>591</v>
      </c>
      <c r="CO25" t="s">
        <v>149</v>
      </c>
      <c r="CQ25" t="s">
        <v>923</v>
      </c>
      <c r="CY25" t="s">
        <v>659</v>
      </c>
      <c r="CZ25" t="s">
        <v>8</v>
      </c>
      <c r="DA25" t="s">
        <v>669</v>
      </c>
      <c r="DD25" t="s">
        <v>660</v>
      </c>
      <c r="DE25" t="s">
        <v>645</v>
      </c>
      <c r="DF25" t="s">
        <v>652</v>
      </c>
    </row>
    <row r="26" spans="1:110" x14ac:dyDescent="0.2">
      <c r="A26" t="s">
        <v>619</v>
      </c>
      <c r="C26" t="s">
        <v>40</v>
      </c>
      <c r="E26" t="s">
        <v>76</v>
      </c>
      <c r="CC26" t="s">
        <v>346</v>
      </c>
      <c r="CG26" t="s">
        <v>592</v>
      </c>
      <c r="CO26" t="s">
        <v>146</v>
      </c>
      <c r="CQ26" t="s">
        <v>921</v>
      </c>
      <c r="CY26" t="s">
        <v>659</v>
      </c>
      <c r="CZ26" t="s">
        <v>8</v>
      </c>
      <c r="DA26" t="s">
        <v>687</v>
      </c>
      <c r="DD26" t="s">
        <v>660</v>
      </c>
      <c r="DE26" t="s">
        <v>645</v>
      </c>
      <c r="DF26" t="s">
        <v>653</v>
      </c>
    </row>
    <row r="27" spans="1:110" x14ac:dyDescent="0.2">
      <c r="C27" t="s">
        <v>41</v>
      </c>
      <c r="E27" t="s">
        <v>77</v>
      </c>
      <c r="CC27" t="s">
        <v>347</v>
      </c>
      <c r="CG27" t="s">
        <v>593</v>
      </c>
      <c r="CO27" t="s">
        <v>627</v>
      </c>
      <c r="CQ27" t="s">
        <v>949</v>
      </c>
      <c r="CY27" t="s">
        <v>659</v>
      </c>
      <c r="CZ27" t="s">
        <v>7</v>
      </c>
      <c r="DA27" t="s">
        <v>643</v>
      </c>
      <c r="DD27" t="s">
        <v>660</v>
      </c>
      <c r="DE27" t="s">
        <v>645</v>
      </c>
      <c r="DF27" t="s">
        <v>631</v>
      </c>
    </row>
    <row r="28" spans="1:110" x14ac:dyDescent="0.2">
      <c r="C28" t="s">
        <v>42</v>
      </c>
      <c r="E28" t="s">
        <v>78</v>
      </c>
      <c r="CC28" t="s">
        <v>348</v>
      </c>
      <c r="CG28" t="s">
        <v>594</v>
      </c>
      <c r="CO28" t="s">
        <v>155</v>
      </c>
      <c r="CQ28" t="s">
        <v>156</v>
      </c>
      <c r="CY28" t="s">
        <v>659</v>
      </c>
      <c r="CZ28" t="s">
        <v>645</v>
      </c>
      <c r="DA28" t="s">
        <v>485</v>
      </c>
      <c r="DD28" t="s">
        <v>660</v>
      </c>
      <c r="DE28" t="s">
        <v>645</v>
      </c>
      <c r="DF28" t="s">
        <v>632</v>
      </c>
    </row>
    <row r="29" spans="1:110" x14ac:dyDescent="0.2">
      <c r="C29" t="s">
        <v>43</v>
      </c>
      <c r="E29" t="s">
        <v>79</v>
      </c>
      <c r="CC29" t="s">
        <v>349</v>
      </c>
      <c r="CG29" t="s">
        <v>490</v>
      </c>
      <c r="CO29" t="s">
        <v>637</v>
      </c>
      <c r="CQ29" t="s">
        <v>636</v>
      </c>
      <c r="CY29" t="s">
        <v>659</v>
      </c>
      <c r="CZ29" t="s">
        <v>645</v>
      </c>
      <c r="DA29" t="s">
        <v>155</v>
      </c>
      <c r="DD29" t="s">
        <v>660</v>
      </c>
      <c r="DE29" t="s">
        <v>645</v>
      </c>
      <c r="DF29" t="s">
        <v>633</v>
      </c>
    </row>
    <row r="30" spans="1:110" x14ac:dyDescent="0.2">
      <c r="C30" t="s">
        <v>44</v>
      </c>
      <c r="E30" t="s">
        <v>80</v>
      </c>
      <c r="CC30" t="s">
        <v>350</v>
      </c>
      <c r="CG30" t="s">
        <v>491</v>
      </c>
      <c r="CO30" t="s">
        <v>635</v>
      </c>
      <c r="CQ30" t="s">
        <v>919</v>
      </c>
      <c r="CY30" t="s">
        <v>659</v>
      </c>
      <c r="CZ30" t="s">
        <v>645</v>
      </c>
      <c r="DA30" t="s">
        <v>156</v>
      </c>
      <c r="DD30" t="s">
        <v>660</v>
      </c>
      <c r="DE30" t="s">
        <v>645</v>
      </c>
      <c r="DF30" t="s">
        <v>634</v>
      </c>
    </row>
    <row r="31" spans="1:110" x14ac:dyDescent="0.2">
      <c r="C31" t="s">
        <v>45</v>
      </c>
      <c r="E31" t="s">
        <v>81</v>
      </c>
      <c r="CC31" t="s">
        <v>351</v>
      </c>
      <c r="CG31" t="s">
        <v>492</v>
      </c>
      <c r="CO31" t="s">
        <v>925</v>
      </c>
      <c r="CQ31" t="s">
        <v>657</v>
      </c>
      <c r="CY31" t="s">
        <v>659</v>
      </c>
      <c r="CZ31" t="s">
        <v>645</v>
      </c>
      <c r="DA31" t="s">
        <v>627</v>
      </c>
      <c r="DD31" t="s">
        <v>660</v>
      </c>
      <c r="DE31" t="s">
        <v>645</v>
      </c>
      <c r="DF31" t="s">
        <v>677</v>
      </c>
    </row>
    <row r="32" spans="1:110" x14ac:dyDescent="0.2">
      <c r="C32" t="s">
        <v>46</v>
      </c>
      <c r="E32" t="s">
        <v>82</v>
      </c>
      <c r="CC32" t="s">
        <v>352</v>
      </c>
      <c r="CG32" t="s">
        <v>494</v>
      </c>
      <c r="CO32" t="s">
        <v>644</v>
      </c>
      <c r="CQ32" t="s">
        <v>927</v>
      </c>
      <c r="CY32" t="s">
        <v>659</v>
      </c>
      <c r="CZ32" t="s">
        <v>645</v>
      </c>
      <c r="DA32" t="s">
        <v>637</v>
      </c>
      <c r="DD32" t="s">
        <v>660</v>
      </c>
      <c r="DE32" t="s">
        <v>645</v>
      </c>
      <c r="DF32" t="s">
        <v>672</v>
      </c>
    </row>
    <row r="33" spans="3:110" x14ac:dyDescent="0.2">
      <c r="C33" t="s">
        <v>47</v>
      </c>
      <c r="E33" t="s">
        <v>83</v>
      </c>
      <c r="CC33" t="s">
        <v>353</v>
      </c>
      <c r="CG33" t="s">
        <v>493</v>
      </c>
      <c r="CO33" t="s">
        <v>156</v>
      </c>
      <c r="CQ33" t="s">
        <v>926</v>
      </c>
      <c r="CY33" t="s">
        <v>659</v>
      </c>
      <c r="CZ33" t="s">
        <v>645</v>
      </c>
      <c r="DA33" t="s">
        <v>485</v>
      </c>
      <c r="DD33" t="s">
        <v>660</v>
      </c>
      <c r="DE33" t="s">
        <v>645</v>
      </c>
      <c r="DF33" t="s">
        <v>673</v>
      </c>
    </row>
    <row r="34" spans="3:110" x14ac:dyDescent="0.2">
      <c r="C34" t="s">
        <v>48</v>
      </c>
      <c r="E34" t="s">
        <v>84</v>
      </c>
      <c r="CC34" t="s">
        <v>354</v>
      </c>
      <c r="CG34" t="s">
        <v>495</v>
      </c>
      <c r="CO34" t="s">
        <v>636</v>
      </c>
      <c r="CQ34" t="s">
        <v>654</v>
      </c>
      <c r="CY34" t="s">
        <v>659</v>
      </c>
      <c r="CZ34" t="s">
        <v>645</v>
      </c>
      <c r="DA34" t="s">
        <v>617</v>
      </c>
      <c r="DD34" t="s">
        <v>660</v>
      </c>
      <c r="DE34" t="s">
        <v>645</v>
      </c>
      <c r="DF34" t="s">
        <v>674</v>
      </c>
    </row>
    <row r="35" spans="3:110" x14ac:dyDescent="0.2">
      <c r="C35" t="s">
        <v>49</v>
      </c>
      <c r="E35" t="s">
        <v>85</v>
      </c>
      <c r="CC35" t="s">
        <v>355</v>
      </c>
      <c r="CG35" t="s">
        <v>497</v>
      </c>
      <c r="CO35" t="s">
        <v>639</v>
      </c>
      <c r="CQ35" t="s">
        <v>944</v>
      </c>
      <c r="CY35" t="s">
        <v>659</v>
      </c>
      <c r="CZ35" t="s">
        <v>645</v>
      </c>
      <c r="DA35" t="s">
        <v>631</v>
      </c>
      <c r="DD35" t="s">
        <v>660</v>
      </c>
      <c r="DE35" t="s">
        <v>645</v>
      </c>
      <c r="DF35" t="s">
        <v>676</v>
      </c>
    </row>
    <row r="36" spans="3:110" x14ac:dyDescent="0.2">
      <c r="C36" t="s">
        <v>50</v>
      </c>
      <c r="E36" t="s">
        <v>86</v>
      </c>
      <c r="CC36" t="s">
        <v>356</v>
      </c>
      <c r="CG36" t="s">
        <v>496</v>
      </c>
      <c r="CO36" t="s">
        <v>927</v>
      </c>
      <c r="CQ36" t="s">
        <v>648</v>
      </c>
      <c r="CY36" t="s">
        <v>659</v>
      </c>
      <c r="CZ36" t="s">
        <v>645</v>
      </c>
      <c r="DA36" t="s">
        <v>632</v>
      </c>
      <c r="DD36" t="s">
        <v>660</v>
      </c>
      <c r="DE36" t="s">
        <v>645</v>
      </c>
      <c r="DF36" t="s">
        <v>679</v>
      </c>
    </row>
    <row r="37" spans="3:110" x14ac:dyDescent="0.2">
      <c r="C37" t="s">
        <v>51</v>
      </c>
      <c r="E37" t="s">
        <v>87</v>
      </c>
      <c r="CC37" t="s">
        <v>357</v>
      </c>
      <c r="CG37" t="s">
        <v>542</v>
      </c>
      <c r="CO37" t="s">
        <v>926</v>
      </c>
      <c r="CQ37" t="s">
        <v>653</v>
      </c>
      <c r="CY37" t="s">
        <v>659</v>
      </c>
      <c r="CZ37" t="s">
        <v>645</v>
      </c>
      <c r="DA37" t="s">
        <v>633</v>
      </c>
      <c r="DD37" t="s">
        <v>660</v>
      </c>
      <c r="DE37" t="s">
        <v>645</v>
      </c>
      <c r="DF37" t="s">
        <v>678</v>
      </c>
    </row>
    <row r="38" spans="3:110" x14ac:dyDescent="0.2">
      <c r="C38" t="s">
        <v>180</v>
      </c>
      <c r="E38" t="s">
        <v>88</v>
      </c>
      <c r="CC38" t="s">
        <v>358</v>
      </c>
      <c r="CG38" t="s">
        <v>543</v>
      </c>
      <c r="CO38" t="s">
        <v>948</v>
      </c>
      <c r="CQ38" t="s">
        <v>158</v>
      </c>
      <c r="CY38" t="s">
        <v>659</v>
      </c>
      <c r="CZ38" t="s">
        <v>645</v>
      </c>
      <c r="DA38" t="s">
        <v>634</v>
      </c>
    </row>
    <row r="39" spans="3:110" x14ac:dyDescent="0.2">
      <c r="C39" t="s">
        <v>181</v>
      </c>
      <c r="E39" t="s">
        <v>89</v>
      </c>
      <c r="CC39" t="s">
        <v>359</v>
      </c>
      <c r="CG39" t="s">
        <v>545</v>
      </c>
      <c r="CO39" t="s">
        <v>947</v>
      </c>
      <c r="CQ39" t="s">
        <v>650</v>
      </c>
      <c r="CY39" t="s">
        <v>659</v>
      </c>
      <c r="CZ39" t="s">
        <v>645</v>
      </c>
      <c r="DA39" t="s">
        <v>675</v>
      </c>
    </row>
    <row r="40" spans="3:110" x14ac:dyDescent="0.2">
      <c r="C40" t="s">
        <v>17</v>
      </c>
      <c r="E40" t="s">
        <v>90</v>
      </c>
      <c r="CC40" t="s">
        <v>360</v>
      </c>
      <c r="CG40" t="s">
        <v>544</v>
      </c>
      <c r="CO40" t="s">
        <v>630</v>
      </c>
      <c r="CQ40" t="s">
        <v>672</v>
      </c>
      <c r="CY40" t="s">
        <v>659</v>
      </c>
      <c r="CZ40" t="s">
        <v>645</v>
      </c>
      <c r="DA40" t="s">
        <v>746</v>
      </c>
    </row>
    <row r="41" spans="3:110" x14ac:dyDescent="0.2">
      <c r="C41" t="s">
        <v>262</v>
      </c>
      <c r="E41" t="s">
        <v>91</v>
      </c>
      <c r="CC41" t="s">
        <v>361</v>
      </c>
      <c r="CG41" t="s">
        <v>559</v>
      </c>
      <c r="CO41" t="s">
        <v>154</v>
      </c>
      <c r="CQ41" t="s">
        <v>938</v>
      </c>
      <c r="CY41" t="s">
        <v>659</v>
      </c>
      <c r="CZ41" t="s">
        <v>645</v>
      </c>
      <c r="DA41" t="s">
        <v>672</v>
      </c>
    </row>
    <row r="42" spans="3:110" x14ac:dyDescent="0.2">
      <c r="C42" t="s">
        <v>247</v>
      </c>
      <c r="E42" t="s">
        <v>92</v>
      </c>
      <c r="CC42" t="s">
        <v>362</v>
      </c>
      <c r="CG42" t="s">
        <v>560</v>
      </c>
      <c r="CO42" t="s">
        <v>672</v>
      </c>
      <c r="CQ42" t="s">
        <v>940</v>
      </c>
      <c r="CY42" t="s">
        <v>659</v>
      </c>
      <c r="CZ42" t="s">
        <v>645</v>
      </c>
      <c r="DA42" t="s">
        <v>673</v>
      </c>
    </row>
    <row r="43" spans="3:110" x14ac:dyDescent="0.2">
      <c r="C43" t="s">
        <v>432</v>
      </c>
      <c r="E43" t="s">
        <v>93</v>
      </c>
      <c r="CC43" t="s">
        <v>363</v>
      </c>
      <c r="CG43" t="s">
        <v>561</v>
      </c>
      <c r="CO43" t="s">
        <v>938</v>
      </c>
      <c r="CQ43" t="s">
        <v>676</v>
      </c>
      <c r="CY43" t="s">
        <v>659</v>
      </c>
      <c r="CZ43" t="s">
        <v>645</v>
      </c>
      <c r="DA43" t="s">
        <v>674</v>
      </c>
    </row>
    <row r="44" spans="3:110" x14ac:dyDescent="0.2">
      <c r="E44" t="s">
        <v>94</v>
      </c>
      <c r="CC44" t="s">
        <v>364</v>
      </c>
      <c r="CG44" t="s">
        <v>562</v>
      </c>
      <c r="CO44" t="s">
        <v>940</v>
      </c>
      <c r="CQ44" t="s">
        <v>679</v>
      </c>
      <c r="CY44" t="s">
        <v>659</v>
      </c>
      <c r="CZ44" t="s">
        <v>645</v>
      </c>
      <c r="DA44" t="s">
        <v>676</v>
      </c>
    </row>
    <row r="45" spans="3:110" x14ac:dyDescent="0.2">
      <c r="E45" t="s">
        <v>95</v>
      </c>
      <c r="CC45" t="s">
        <v>365</v>
      </c>
      <c r="CG45" t="s">
        <v>563</v>
      </c>
      <c r="CO45" t="s">
        <v>676</v>
      </c>
      <c r="CQ45" t="s">
        <v>673</v>
      </c>
      <c r="CY45" t="s">
        <v>659</v>
      </c>
      <c r="CZ45" t="s">
        <v>645</v>
      </c>
      <c r="DA45" t="s">
        <v>679</v>
      </c>
    </row>
    <row r="46" spans="3:110" x14ac:dyDescent="0.2">
      <c r="E46" t="s">
        <v>96</v>
      </c>
      <c r="CC46" t="s">
        <v>366</v>
      </c>
      <c r="CG46" t="s">
        <v>564</v>
      </c>
      <c r="CO46" t="s">
        <v>679</v>
      </c>
      <c r="CQ46" t="s">
        <v>674</v>
      </c>
    </row>
    <row r="47" spans="3:110" x14ac:dyDescent="0.2">
      <c r="E47" t="s">
        <v>97</v>
      </c>
      <c r="CC47" t="s">
        <v>367</v>
      </c>
      <c r="CG47" t="s">
        <v>565</v>
      </c>
      <c r="CO47" t="s">
        <v>673</v>
      </c>
      <c r="CQ47" t="s">
        <v>937</v>
      </c>
    </row>
    <row r="48" spans="3:110" x14ac:dyDescent="0.2">
      <c r="E48" t="s">
        <v>98</v>
      </c>
      <c r="CC48" t="s">
        <v>368</v>
      </c>
      <c r="CG48" t="s">
        <v>566</v>
      </c>
      <c r="CO48" t="s">
        <v>674</v>
      </c>
      <c r="CQ48" t="s">
        <v>939</v>
      </c>
    </row>
    <row r="49" spans="5:95" x14ac:dyDescent="0.2">
      <c r="E49" t="s">
        <v>99</v>
      </c>
      <c r="CC49" t="s">
        <v>369</v>
      </c>
      <c r="CG49" t="s">
        <v>567</v>
      </c>
      <c r="CO49" t="s">
        <v>937</v>
      </c>
      <c r="CQ49" t="s">
        <v>634</v>
      </c>
    </row>
    <row r="50" spans="5:95" x14ac:dyDescent="0.2">
      <c r="E50" t="s">
        <v>100</v>
      </c>
      <c r="CC50" t="s">
        <v>370</v>
      </c>
      <c r="CG50" t="s">
        <v>595</v>
      </c>
      <c r="CO50" t="s">
        <v>939</v>
      </c>
      <c r="CQ50" t="s">
        <v>633</v>
      </c>
    </row>
    <row r="51" spans="5:95" x14ac:dyDescent="0.2">
      <c r="E51" t="s">
        <v>101</v>
      </c>
      <c r="CC51" t="s">
        <v>371</v>
      </c>
      <c r="CG51" t="s">
        <v>596</v>
      </c>
      <c r="CO51" t="s">
        <v>634</v>
      </c>
      <c r="CQ51" t="s">
        <v>631</v>
      </c>
    </row>
    <row r="52" spans="5:95" x14ac:dyDescent="0.2">
      <c r="E52" t="s">
        <v>102</v>
      </c>
      <c r="CC52" t="s">
        <v>372</v>
      </c>
      <c r="CG52" t="s">
        <v>601</v>
      </c>
      <c r="CO52" t="s">
        <v>675</v>
      </c>
      <c r="CQ52" t="s">
        <v>677</v>
      </c>
    </row>
    <row r="53" spans="5:95" x14ac:dyDescent="0.2">
      <c r="E53" t="s">
        <v>103</v>
      </c>
      <c r="CC53" t="s">
        <v>373</v>
      </c>
      <c r="CG53" t="s">
        <v>602</v>
      </c>
      <c r="CO53" t="s">
        <v>746</v>
      </c>
      <c r="CQ53" t="s">
        <v>632</v>
      </c>
    </row>
    <row r="54" spans="5:95" x14ac:dyDescent="0.2">
      <c r="E54" t="s">
        <v>104</v>
      </c>
      <c r="CC54" t="s">
        <v>374</v>
      </c>
      <c r="CG54" t="s">
        <v>832</v>
      </c>
      <c r="CO54" t="s">
        <v>633</v>
      </c>
      <c r="CQ54" t="s">
        <v>941</v>
      </c>
    </row>
    <row r="55" spans="5:95" x14ac:dyDescent="0.2">
      <c r="E55" t="s">
        <v>105</v>
      </c>
      <c r="CC55" t="s">
        <v>375</v>
      </c>
      <c r="CO55" t="s">
        <v>631</v>
      </c>
      <c r="CQ55" t="s">
        <v>160</v>
      </c>
    </row>
    <row r="56" spans="5:95" x14ac:dyDescent="0.2">
      <c r="E56" t="s">
        <v>106</v>
      </c>
      <c r="CC56" t="s">
        <v>323</v>
      </c>
      <c r="CO56" t="s">
        <v>632</v>
      </c>
      <c r="CQ56" t="s">
        <v>658</v>
      </c>
    </row>
    <row r="57" spans="5:95" x14ac:dyDescent="0.2">
      <c r="E57" t="s">
        <v>41</v>
      </c>
      <c r="CC57" t="s">
        <v>610</v>
      </c>
      <c r="CO57" t="s">
        <v>642</v>
      </c>
      <c r="CQ57" t="s">
        <v>945</v>
      </c>
    </row>
    <row r="58" spans="5:95" x14ac:dyDescent="0.2">
      <c r="E58" t="s">
        <v>107</v>
      </c>
      <c r="CC58" t="s">
        <v>433</v>
      </c>
      <c r="CO58" t="s">
        <v>687</v>
      </c>
      <c r="CQ58" t="s">
        <v>656</v>
      </c>
    </row>
    <row r="59" spans="5:95" x14ac:dyDescent="0.2">
      <c r="E59" t="s">
        <v>43</v>
      </c>
      <c r="CO59" t="s">
        <v>667</v>
      </c>
      <c r="CQ59" t="s">
        <v>655</v>
      </c>
    </row>
    <row r="60" spans="5:95" x14ac:dyDescent="0.2">
      <c r="E60" t="s">
        <v>108</v>
      </c>
      <c r="CO60" t="s">
        <v>942</v>
      </c>
      <c r="CQ60" t="s">
        <v>645</v>
      </c>
    </row>
    <row r="61" spans="5:95" x14ac:dyDescent="0.2">
      <c r="E61" t="s">
        <v>109</v>
      </c>
      <c r="CO61" t="s">
        <v>641</v>
      </c>
      <c r="CQ61" t="s">
        <v>651</v>
      </c>
    </row>
    <row r="62" spans="5:95" x14ac:dyDescent="0.2">
      <c r="E62" t="s">
        <v>110</v>
      </c>
      <c r="CO62" t="s">
        <v>643</v>
      </c>
      <c r="CQ62" t="s">
        <v>652</v>
      </c>
    </row>
    <row r="63" spans="5:95" x14ac:dyDescent="0.2">
      <c r="E63" t="s">
        <v>111</v>
      </c>
      <c r="CO63" t="s">
        <v>669</v>
      </c>
    </row>
    <row r="64" spans="5:95" x14ac:dyDescent="0.2">
      <c r="E64" t="s">
        <v>112</v>
      </c>
      <c r="CO64" t="s">
        <v>157</v>
      </c>
    </row>
    <row r="65" spans="5:93" x14ac:dyDescent="0.2">
      <c r="E65" t="s">
        <v>113</v>
      </c>
      <c r="CO65" t="s">
        <v>640</v>
      </c>
    </row>
    <row r="66" spans="5:93" x14ac:dyDescent="0.2">
      <c r="E66" t="s">
        <v>114</v>
      </c>
      <c r="CO66" t="s">
        <v>943</v>
      </c>
    </row>
    <row r="67" spans="5:93" x14ac:dyDescent="0.2">
      <c r="E67" t="s">
        <v>115</v>
      </c>
    </row>
    <row r="68" spans="5:93" x14ac:dyDescent="0.2">
      <c r="E68" t="s">
        <v>116</v>
      </c>
    </row>
    <row r="69" spans="5:93" x14ac:dyDescent="0.2">
      <c r="E69" t="s">
        <v>117</v>
      </c>
    </row>
    <row r="70" spans="5:93" x14ac:dyDescent="0.2">
      <c r="E70" t="s">
        <v>118</v>
      </c>
    </row>
    <row r="71" spans="5:93" x14ac:dyDescent="0.2">
      <c r="E71" t="s">
        <v>119</v>
      </c>
    </row>
    <row r="72" spans="5:93" x14ac:dyDescent="0.2">
      <c r="E72" t="s">
        <v>120</v>
      </c>
    </row>
    <row r="73" spans="5:93" x14ac:dyDescent="0.2">
      <c r="E73" t="s">
        <v>121</v>
      </c>
    </row>
    <row r="74" spans="5:93" x14ac:dyDescent="0.2">
      <c r="E74" t="s">
        <v>122</v>
      </c>
    </row>
    <row r="75" spans="5:93" x14ac:dyDescent="0.2">
      <c r="E75" t="s">
        <v>123</v>
      </c>
    </row>
    <row r="76" spans="5:93" x14ac:dyDescent="0.2">
      <c r="E76" t="s">
        <v>124</v>
      </c>
    </row>
    <row r="77" spans="5:93" x14ac:dyDescent="0.2">
      <c r="E77" t="s">
        <v>125</v>
      </c>
    </row>
    <row r="78" spans="5:93" x14ac:dyDescent="0.2">
      <c r="E78" t="s">
        <v>126</v>
      </c>
    </row>
    <row r="79" spans="5:93" x14ac:dyDescent="0.2">
      <c r="E79" t="s">
        <v>127</v>
      </c>
    </row>
    <row r="80" spans="5:93" x14ac:dyDescent="0.2">
      <c r="E80" t="s">
        <v>128</v>
      </c>
    </row>
    <row r="81" spans="5:5" x14ac:dyDescent="0.2">
      <c r="E81" t="s">
        <v>129</v>
      </c>
    </row>
    <row r="82" spans="5:5" x14ac:dyDescent="0.2">
      <c r="E82" t="s">
        <v>130</v>
      </c>
    </row>
    <row r="83" spans="5:5" x14ac:dyDescent="0.2">
      <c r="E83" t="s">
        <v>131</v>
      </c>
    </row>
    <row r="84" spans="5:5" x14ac:dyDescent="0.2">
      <c r="E84" t="s">
        <v>132</v>
      </c>
    </row>
    <row r="85" spans="5:5" x14ac:dyDescent="0.2">
      <c r="E85" t="s">
        <v>133</v>
      </c>
    </row>
    <row r="86" spans="5:5" x14ac:dyDescent="0.2">
      <c r="E86" t="s">
        <v>134</v>
      </c>
    </row>
    <row r="87" spans="5:5" x14ac:dyDescent="0.2">
      <c r="E87" t="s">
        <v>135</v>
      </c>
    </row>
    <row r="88" spans="5:5" x14ac:dyDescent="0.2">
      <c r="E88" t="s">
        <v>136</v>
      </c>
    </row>
    <row r="89" spans="5:5" x14ac:dyDescent="0.2">
      <c r="E89" t="s">
        <v>137</v>
      </c>
    </row>
    <row r="90" spans="5:5" x14ac:dyDescent="0.2">
      <c r="E90" t="s">
        <v>138</v>
      </c>
    </row>
    <row r="91" spans="5:5" x14ac:dyDescent="0.2">
      <c r="E91" t="s">
        <v>139</v>
      </c>
    </row>
    <row r="92" spans="5:5" x14ac:dyDescent="0.2">
      <c r="E92" t="s">
        <v>140</v>
      </c>
    </row>
    <row r="93" spans="5:5" x14ac:dyDescent="0.2">
      <c r="E93" t="s">
        <v>141</v>
      </c>
    </row>
    <row r="94" spans="5:5" x14ac:dyDescent="0.2">
      <c r="E94" t="s">
        <v>142</v>
      </c>
    </row>
    <row r="95" spans="5:5" x14ac:dyDescent="0.2">
      <c r="E95" t="s">
        <v>143</v>
      </c>
    </row>
    <row r="96" spans="5:5" x14ac:dyDescent="0.2">
      <c r="E96" t="s">
        <v>262</v>
      </c>
    </row>
    <row r="97" spans="5:5" x14ac:dyDescent="0.2">
      <c r="E97" t="s">
        <v>419</v>
      </c>
    </row>
    <row r="98" spans="5:5" x14ac:dyDescent="0.2">
      <c r="E98" t="s">
        <v>420</v>
      </c>
    </row>
  </sheetData>
  <sortState xmlns:xlrd2="http://schemas.microsoft.com/office/spreadsheetml/2017/richdata2" ref="CQ2:CQ60">
    <sortCondition ref="CQ2:CQ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dimension ref="A1:BF4000"/>
  <sheetViews>
    <sheetView tabSelected="1" zoomScale="90" zoomScaleNormal="90" workbookViewId="0">
      <pane ySplit="1" topLeftCell="A2086" activePane="bottomLeft" state="frozen"/>
      <selection pane="bottomLeft" activeCell="L2106" sqref="L2106"/>
    </sheetView>
  </sheetViews>
  <sheetFormatPr baseColWidth="10" defaultRowHeight="16" x14ac:dyDescent="0.2"/>
  <cols>
    <col min="1" max="1" width="9.1640625" customWidth="1"/>
    <col min="2" max="2" width="8.33203125" customWidth="1"/>
    <col min="3" max="3" width="9.6640625" customWidth="1"/>
    <col min="4" max="4" width="7.33203125" customWidth="1"/>
    <col min="5" max="6" width="10.83203125" style="5" customWidth="1"/>
    <col min="7" max="7" width="9.6640625" style="5" customWidth="1"/>
    <col min="8" max="8" width="10.83203125" style="7" customWidth="1"/>
    <col min="9" max="9" width="7.1640625" customWidth="1"/>
    <col min="10" max="10" width="12.1640625" customWidth="1"/>
    <col min="11" max="11" width="11.5" customWidth="1"/>
    <col min="12" max="12" width="10.33203125" customWidth="1"/>
    <col min="13" max="13" width="17.6640625" customWidth="1"/>
    <col min="14" max="14" width="18.83203125" customWidth="1"/>
    <col min="15" max="15" width="14.33203125" customWidth="1"/>
    <col min="16" max="16" width="11.5" customWidth="1"/>
    <col min="17" max="17" width="15.6640625" customWidth="1"/>
    <col min="18" max="18" width="13.83203125" customWidth="1"/>
    <col min="19" max="19" width="15.1640625" customWidth="1"/>
    <col min="20" max="20" width="11.5" customWidth="1"/>
    <col min="21" max="21" width="10.5" style="8" customWidth="1"/>
    <col min="22" max="22" width="10.5" customWidth="1"/>
    <col min="23" max="25" width="10.33203125" customWidth="1"/>
    <col min="26" max="26" width="10.5" customWidth="1"/>
    <col min="27" max="27" width="10.33203125" customWidth="1"/>
    <col min="28" max="29" width="10.83203125" customWidth="1"/>
    <col min="30" max="30" width="8.33203125" customWidth="1"/>
    <col min="31" max="31" width="13.5" customWidth="1"/>
    <col min="32" max="32" width="15.5" customWidth="1"/>
    <col min="33" max="33" width="15.1640625" customWidth="1"/>
    <col min="34" max="34" width="13.33203125" customWidth="1"/>
    <col min="35" max="35" width="15.1640625" customWidth="1"/>
    <col min="36" max="36" width="18.33203125" customWidth="1"/>
    <col min="37" max="39" width="15.1640625" customWidth="1"/>
    <col min="40" max="41" width="12" customWidth="1"/>
    <col min="42" max="42" width="12.6640625" customWidth="1"/>
    <col min="43" max="43" width="17.1640625" customWidth="1"/>
    <col min="44" max="44" width="7" style="6" customWidth="1"/>
    <col min="45" max="45" width="7.6640625" customWidth="1"/>
    <col min="46" max="46" width="8.1640625" customWidth="1"/>
    <col min="47" max="47" width="10.1640625" customWidth="1"/>
    <col min="48" max="48" width="7.1640625" style="18" customWidth="1"/>
    <col min="49" max="51" width="10.83203125" customWidth="1"/>
    <col min="52" max="52" width="13.6640625" style="6" customWidth="1"/>
    <col min="53" max="53" width="12.5" customWidth="1"/>
    <col min="54" max="54" width="12.5" style="18" customWidth="1"/>
    <col min="55" max="56" width="12.83203125" customWidth="1"/>
    <col min="57" max="58" width="10.83203125" customWidth="1"/>
  </cols>
  <sheetData>
    <row r="1" spans="1:58" s="1" customFormat="1" ht="68" x14ac:dyDescent="0.2">
      <c r="A1" s="24" t="s">
        <v>965</v>
      </c>
      <c r="B1" s="24" t="s">
        <v>820</v>
      </c>
      <c r="C1" s="24" t="s">
        <v>264</v>
      </c>
      <c r="D1" s="24" t="s">
        <v>265</v>
      </c>
      <c r="E1" s="25" t="s">
        <v>442</v>
      </c>
      <c r="F1" s="25" t="s">
        <v>443</v>
      </c>
      <c r="G1" s="25" t="s">
        <v>444</v>
      </c>
      <c r="H1" s="26" t="s">
        <v>445</v>
      </c>
      <c r="I1" s="24" t="s">
        <v>951</v>
      </c>
      <c r="J1" s="24" t="s">
        <v>952</v>
      </c>
      <c r="K1" s="24" t="s">
        <v>953</v>
      </c>
      <c r="L1" s="24" t="s">
        <v>954</v>
      </c>
      <c r="M1" s="24" t="s">
        <v>955</v>
      </c>
      <c r="N1" s="24" t="s">
        <v>440</v>
      </c>
      <c r="O1" s="24" t="s">
        <v>441</v>
      </c>
      <c r="P1" s="24" t="s">
        <v>963</v>
      </c>
      <c r="Q1" s="24" t="s">
        <v>487</v>
      </c>
      <c r="R1" s="24" t="s">
        <v>488</v>
      </c>
      <c r="S1" s="24" t="s">
        <v>489</v>
      </c>
      <c r="T1" s="24" t="s">
        <v>625</v>
      </c>
      <c r="U1" s="44" t="s">
        <v>964</v>
      </c>
      <c r="V1" s="1" t="s">
        <v>958</v>
      </c>
      <c r="W1" s="1" t="s">
        <v>959</v>
      </c>
      <c r="X1" s="1" t="s">
        <v>960</v>
      </c>
      <c r="Y1" s="1" t="s">
        <v>961</v>
      </c>
      <c r="Z1" s="1" t="s">
        <v>285</v>
      </c>
      <c r="AA1" s="1" t="s">
        <v>286</v>
      </c>
      <c r="AB1" s="1" t="s">
        <v>287</v>
      </c>
      <c r="AC1" s="1" t="s">
        <v>288</v>
      </c>
      <c r="AD1" s="1" t="s">
        <v>402</v>
      </c>
      <c r="AE1" s="1" t="s">
        <v>260</v>
      </c>
      <c r="AF1" s="1" t="s">
        <v>267</v>
      </c>
      <c r="AG1" s="1" t="s">
        <v>268</v>
      </c>
      <c r="AH1" s="1" t="s">
        <v>962</v>
      </c>
      <c r="AI1" s="1" t="s">
        <v>498</v>
      </c>
      <c r="AJ1" s="1" t="s">
        <v>499</v>
      </c>
      <c r="AK1" s="1" t="s">
        <v>500</v>
      </c>
      <c r="AL1" s="1" t="s">
        <v>956</v>
      </c>
      <c r="AM1" s="1" t="s">
        <v>957</v>
      </c>
      <c r="AN1" s="1" t="s">
        <v>604</v>
      </c>
      <c r="AO1" s="1" t="s">
        <v>263</v>
      </c>
      <c r="AP1" s="1" t="s">
        <v>608</v>
      </c>
      <c r="AQ1" s="1" t="s">
        <v>819</v>
      </c>
      <c r="AR1" s="9" t="s">
        <v>715</v>
      </c>
      <c r="AS1" s="1" t="s">
        <v>269</v>
      </c>
      <c r="AT1" s="1" t="s">
        <v>270</v>
      </c>
      <c r="AU1" s="1" t="s">
        <v>271</v>
      </c>
      <c r="AV1" s="17" t="s">
        <v>389</v>
      </c>
      <c r="AW1" s="1" t="s">
        <v>390</v>
      </c>
      <c r="AX1" s="1" t="s">
        <v>391</v>
      </c>
      <c r="AY1" s="1" t="s">
        <v>289</v>
      </c>
      <c r="AZ1" s="9" t="s">
        <v>266</v>
      </c>
      <c r="BA1" s="1" t="s">
        <v>403</v>
      </c>
      <c r="BB1" s="17" t="s">
        <v>430</v>
      </c>
      <c r="BC1" s="1" t="s">
        <v>429</v>
      </c>
      <c r="BD1" s="1" t="s">
        <v>436</v>
      </c>
      <c r="BE1" s="1" t="s">
        <v>427</v>
      </c>
      <c r="BF1" s="1" t="s">
        <v>428</v>
      </c>
    </row>
    <row r="2" spans="1:58" ht="16" customHeight="1" x14ac:dyDescent="0.2">
      <c r="A2">
        <v>0</v>
      </c>
      <c r="K2" t="s">
        <v>826</v>
      </c>
      <c r="U2" s="8">
        <v>1</v>
      </c>
      <c r="V2" t="str">
        <f>IF(I2="","",IF(I2="Home",L2,""))</f>
        <v/>
      </c>
      <c r="X2" t="str">
        <f>IF(I2="H","Home",IF(I2="A","Away",""))</f>
        <v/>
      </c>
      <c r="AB2" t="str">
        <f>IF(G2&lt;&gt;"",G2,IF($A2=$A1,AB1,""))</f>
        <v/>
      </c>
      <c r="AC2" t="str">
        <f>IF(H2&lt;&gt;"",H2,IF($A2=$A1,AC1,""))</f>
        <v/>
      </c>
      <c r="AD2" t="str">
        <f t="shared" ref="AD2:AD65" si="0">IF(K2="x","",IF(K2=1,"e","o"))</f>
        <v/>
      </c>
      <c r="AE2" t="str">
        <f>IF(M2&lt;&gt;"",M2,IF(A2=A1,M2,""))</f>
        <v/>
      </c>
      <c r="AO2">
        <f>A2+1000</f>
        <v>1000</v>
      </c>
      <c r="AP2" t="str">
        <f>IF(B2&lt;&gt;"",9000+B2,"")</f>
        <v/>
      </c>
      <c r="AQ2">
        <f>IF(AP2&lt;&gt;"",AP2,A2+1000)</f>
        <v>1000</v>
      </c>
      <c r="AR2" s="6">
        <v>1</v>
      </c>
      <c r="AS2">
        <v>18965</v>
      </c>
      <c r="AT2" t="s">
        <v>834</v>
      </c>
      <c r="AU2" t="s">
        <v>611</v>
      </c>
      <c r="BC2">
        <v>0</v>
      </c>
      <c r="BD2">
        <v>0</v>
      </c>
      <c r="BE2">
        <f>IF(BD2&lt;5,0,BD2-5)</f>
        <v>0</v>
      </c>
      <c r="BF2" s="21">
        <f>BE2+AV2+5</f>
        <v>5</v>
      </c>
    </row>
    <row r="3" spans="1:58" ht="16" customHeight="1" x14ac:dyDescent="0.2">
      <c r="A3">
        <v>1</v>
      </c>
      <c r="E3" s="5">
        <v>18</v>
      </c>
      <c r="F3" s="5" t="s">
        <v>446</v>
      </c>
      <c r="I3" t="s">
        <v>835</v>
      </c>
      <c r="J3">
        <v>70</v>
      </c>
      <c r="K3">
        <v>1</v>
      </c>
      <c r="L3" t="s">
        <v>839</v>
      </c>
      <c r="M3" t="s">
        <v>6</v>
      </c>
      <c r="N3" t="s">
        <v>434</v>
      </c>
      <c r="U3" s="8">
        <f t="shared" ref="U3:U66" si="1">IF(M3="Intermission",U2+1,U2)</f>
        <v>1</v>
      </c>
      <c r="V3" t="str">
        <f>IF($I3="","",IF(L3="","",IF($I3="Home",$L3,IF($L3="n","n",IF($L3="d","o",IF($L3="o","d",""))))))</f>
        <v>n</v>
      </c>
      <c r="W3" t="str">
        <f>IF($I3="","",IF(L3="","",IF($I3="Away",$L3,IF($L3="n","n",IF($L3="d","o",IF($L3="o","d",""))))))</f>
        <v>n</v>
      </c>
      <c r="X3" t="str">
        <f>IF(Y3="H","Home",IF(Y3="A","Away",""))</f>
        <v>Away</v>
      </c>
      <c r="Y3" t="str">
        <f>IF($I3&lt;&gt;"",$I3,IF($A3=$A2,Y2,""))</f>
        <v>a</v>
      </c>
      <c r="Z3">
        <f>IF(E3&lt;&gt;"",E3,IF($AQ3=$AQ2,Z2,Z3))</f>
        <v>18</v>
      </c>
      <c r="AA3" t="str">
        <f>IF($AQ3=$AQ2,AA2,F3)</f>
        <v>00</v>
      </c>
      <c r="AB3" t="str">
        <f t="shared" ref="AB3:AC5" si="2">IF(G3&lt;&gt;"",G3,IF($AQ3=$AQ2,AB2,""))</f>
        <v/>
      </c>
      <c r="AC3" t="str">
        <f t="shared" si="2"/>
        <v/>
      </c>
      <c r="AD3" t="str">
        <f t="shared" si="0"/>
        <v>e</v>
      </c>
      <c r="AE3" t="str">
        <f>IF($M3&lt;&gt;"",$M3,IF($A3=$A2,AE2,""))</f>
        <v>Faceoff</v>
      </c>
      <c r="AF3" t="str">
        <f t="shared" ref="AF3:AF66" si="3">IF(N3&lt;&gt;"",N3,IF($A3=$A2,AF2,""))</f>
        <v>Faceoff_GameStart</v>
      </c>
      <c r="AG3" t="str">
        <f t="shared" ref="AG3:AG66" si="4">IF(O3&lt;&gt;"",O3,IF($A3=$A2,AG2,""))</f>
        <v/>
      </c>
      <c r="AH3" t="str">
        <f>IF($P3&lt;&gt;"",$P3,IF($A3=$A2,AH2,""))</f>
        <v/>
      </c>
      <c r="AI3" t="str">
        <f>IF($L3&lt;&gt;"",$L3,IF($A3=$A2,AI2,""))</f>
        <v>n</v>
      </c>
      <c r="AJ3" t="str">
        <f>IF(V3&lt;&gt;"",V3,IF($A3=$A2,AJ2,""))</f>
        <v>n</v>
      </c>
      <c r="AK3" t="str">
        <f>IF(W3&lt;&gt;"",W3,IF($A3=$A2,AK2,""))</f>
        <v>n</v>
      </c>
      <c r="AL3" t="str">
        <f>IF(X3&lt;&gt;"",X3,IF($A3=$A2,AL2,""))</f>
        <v>Away</v>
      </c>
      <c r="AM3" t="str">
        <f>IF(Y3&lt;&gt;"",Y3,IF($A3=$A2,AM2,""))</f>
        <v>a</v>
      </c>
      <c r="AN3" t="str">
        <f t="shared" ref="AN3:AN8" si="5">IF(AND(AD3="e",OR(AE3="Save",AF3="Turnover_Takeaway",AF3="Play_Defensive")),"Defensive",IF(AND(AD3="o",OR(AE3="Save",AF3="Turnover_Takeaway",AF3="Play_Defensive")),"Offensive",IF(OR(AE3="Deadice",AE3="Stoppage",AE3="Intermission"),"",IF(AD3="e","Offensive",IF(AD3="o","Defensive","")))))</f>
        <v>Offensive</v>
      </c>
      <c r="AO3">
        <f>A3+1000</f>
        <v>1001</v>
      </c>
      <c r="AP3" t="str">
        <f t="shared" ref="AP3:AP22" si="6">IF(B3&lt;&gt;"",9000+B3,"")</f>
        <v/>
      </c>
      <c r="AQ3">
        <f>IF(AP3&lt;&gt;"",AP3,A3+1000)</f>
        <v>1001</v>
      </c>
      <c r="AR3" s="6">
        <f>IF(OR(N3="Zone_Entry",N3="Zone_Exit"),AR2+1,AR2)</f>
        <v>1</v>
      </c>
      <c r="AV3" s="18">
        <f>IF(AND(AB3="",AC3=""),0,((Z3*60)+AA3)-((AB3*60)+AC3))</f>
        <v>0</v>
      </c>
      <c r="AW3">
        <f>(Z3*60)+AA3</f>
        <v>1080</v>
      </c>
      <c r="AX3">
        <f>IF(AND(AB3="",AC3=""),AW3,((AB3*60)+AC3))</f>
        <v>1080</v>
      </c>
      <c r="AY3" cm="1">
        <f t="array" ref="AY3">_xlfn._xlws.FILTER(shifts!A:A,(shifts!B:B=events!U3)*(shifts!AG:AG&gt;=events!AW3)*(shifts!AH:AH&lt;=events!AX3))</f>
        <v>1</v>
      </c>
      <c r="AZ3" s="6" t="str">
        <f>IF(AD3="e","event_team_player_"&amp;BA3,IF(AD3="o","opp_team_player_"&amp;BA3,""))</f>
        <v>event_team_player_1</v>
      </c>
      <c r="BA3">
        <f>COUNTIFS(A$3:A3,"="&amp;A3,AD$3:AD3,"="&amp;AD3)</f>
        <v>1</v>
      </c>
      <c r="BB3" s="18">
        <f>SUMIFS(AV3:AV3,M3:M3,"=Intermission")</f>
        <v>0</v>
      </c>
      <c r="BC3">
        <f>IF(U3=1,0,IF(U3=2,1080+BB3,IF(U3=3,(1080*2)+BB3,0)))</f>
        <v>0</v>
      </c>
      <c r="BD3" s="23">
        <f>IF(M3="Intermission",BD2,((1080)-((Z3*60)+AA3))+BC3)</f>
        <v>0</v>
      </c>
      <c r="BE3">
        <f>IF(BD3&lt;5,0,BD3-5)</f>
        <v>0</v>
      </c>
      <c r="BF3" s="21">
        <f>BE3+AV3+5</f>
        <v>5</v>
      </c>
    </row>
    <row r="4" spans="1:58" x14ac:dyDescent="0.2">
      <c r="A4">
        <v>1</v>
      </c>
      <c r="J4">
        <v>84</v>
      </c>
      <c r="U4" s="8">
        <f t="shared" si="1"/>
        <v>1</v>
      </c>
      <c r="V4" t="str">
        <f>IF($I4="","",IF(L4="","",IF($I4="Home",$L4,IF($L4="n","n",IF($L4="d","o",IF($L4="o","d",""))))))</f>
        <v/>
      </c>
      <c r="W4" t="str">
        <f>IF($I4="","",IF(L4="","",IF($I4="Away",$L4,IF($L4="n","n",IF($L4="d","o",IF($L4="o","d",""))))))</f>
        <v/>
      </c>
      <c r="X4" t="str">
        <f>IF(Y4="H","Home",IF(Y4="A","Away",""))</f>
        <v>Away</v>
      </c>
      <c r="Y4" t="str">
        <f>IF($I4&lt;&gt;"",$I4,IF($A4=$A3,Y3,""))</f>
        <v>a</v>
      </c>
      <c r="Z4">
        <f>IF($AQ4=$AQ3,Z3,E4)</f>
        <v>18</v>
      </c>
      <c r="AA4" t="str">
        <f>IF($AQ4=$AQ3,AA3,F4)</f>
        <v>00</v>
      </c>
      <c r="AB4" t="str">
        <f t="shared" si="2"/>
        <v/>
      </c>
      <c r="AC4" t="str">
        <f t="shared" si="2"/>
        <v/>
      </c>
      <c r="AD4" t="str">
        <f t="shared" si="0"/>
        <v>o</v>
      </c>
      <c r="AE4" t="str">
        <f t="shared" ref="AE4:AE67" si="7">IF(M4&lt;&gt;"",M4,IF($A4=$A3,AE3,""))</f>
        <v>Faceoff</v>
      </c>
      <c r="AF4" t="str">
        <f t="shared" si="3"/>
        <v>Faceoff_GameStart</v>
      </c>
      <c r="AG4" t="str">
        <f t="shared" si="4"/>
        <v/>
      </c>
      <c r="AN4" t="str">
        <f t="shared" si="5"/>
        <v>Defensive</v>
      </c>
      <c r="AP4" t="str">
        <f t="shared" si="6"/>
        <v/>
      </c>
      <c r="AQ4">
        <f>IF(AP4&lt;&gt;"",AP4,A4+1000)</f>
        <v>1001</v>
      </c>
      <c r="AR4" s="6">
        <f>IF(OR(N4="Zone_Entry",N4="Zone_Exit"),AR3+1,AR3)</f>
        <v>1</v>
      </c>
      <c r="AV4" s="18">
        <f>IF(AND(AB4="",AC4=""),0,((Z4*60)+AA4)-((AB4*60)+AC4))</f>
        <v>0</v>
      </c>
      <c r="AW4">
        <f>(Z4*60)+AA4</f>
        <v>1080</v>
      </c>
      <c r="AX4">
        <f>IF(AND(AB4="",AC4=""),AW4,((AB4*60)+AC4))</f>
        <v>1080</v>
      </c>
      <c r="AY4" cm="1">
        <f t="array" ref="AY4">_xlfn._xlws.FILTER(shifts!A:A,(shifts!B:B=events!U4)*(shifts!AG:AG&gt;=events!AW4)*(shifts!AH:AH&lt;=events!AX4))</f>
        <v>1</v>
      </c>
      <c r="AZ4" s="6" t="str">
        <f>IF(AD4="e","event_team_player_"&amp;BA4,IF(AD4="o","opp_team_player_"&amp;BA4,""))</f>
        <v>opp_team_player_1</v>
      </c>
      <c r="BA4">
        <f>COUNTIFS(A$3:A4,"="&amp;A4,AD$3:AD4,"="&amp;AD4)</f>
        <v>1</v>
      </c>
      <c r="BB4" s="18">
        <f>SUMIFS(AV4:AV4,M4:M4,"=Intermission")</f>
        <v>0</v>
      </c>
      <c r="BC4">
        <f>IF(U4=1,0,IF(U4=2,1080+BB4,IF(U4=3,(1080*2)+BB4,0)))</f>
        <v>0</v>
      </c>
      <c r="BD4" s="23">
        <f>IF(M4="Intermission",BD3,((1080)-((Z4*60)+AA4))+BC4)</f>
        <v>0</v>
      </c>
      <c r="BE4">
        <f>IF(BD4&lt;5,0,BD4-5)</f>
        <v>0</v>
      </c>
      <c r="BF4" s="21">
        <f>BE4+AV4+5</f>
        <v>5</v>
      </c>
    </row>
    <row r="5" spans="1:58" x14ac:dyDescent="0.2">
      <c r="A5">
        <v>1</v>
      </c>
      <c r="J5">
        <v>46</v>
      </c>
      <c r="U5" s="8">
        <f t="shared" si="1"/>
        <v>1</v>
      </c>
      <c r="V5" t="str">
        <f>IF($I5="","",IF(L5="","",IF($I5="Home",$L5,IF($L5="n","n",IF($L5="d","o",IF($L5="o","d",""))))))</f>
        <v/>
      </c>
      <c r="W5" t="str">
        <f>IF($I5="","",IF(L5="","",IF($I5="Away",$L5,IF($L5="n","n",IF($L5="d","o",IF($L5="o","d",""))))))</f>
        <v/>
      </c>
      <c r="Z5">
        <f t="shared" ref="Z5:Z16" si="8">IF($AQ5=$AQ4,Z4,E5)</f>
        <v>18</v>
      </c>
      <c r="AA5" t="str">
        <f t="shared" ref="AA5:AA16" si="9">IF($AQ5=$AQ4,AA4,F5)</f>
        <v>00</v>
      </c>
      <c r="AB5" t="str">
        <f t="shared" si="2"/>
        <v/>
      </c>
      <c r="AC5" t="str">
        <f t="shared" si="2"/>
        <v/>
      </c>
      <c r="AD5" t="str">
        <f t="shared" si="0"/>
        <v>o</v>
      </c>
      <c r="AE5" t="str">
        <f t="shared" si="7"/>
        <v>Faceoff</v>
      </c>
      <c r="AF5" t="str">
        <f t="shared" si="3"/>
        <v>Faceoff_GameStart</v>
      </c>
      <c r="AG5" t="str">
        <f t="shared" si="4"/>
        <v/>
      </c>
      <c r="AN5" t="str">
        <f t="shared" si="5"/>
        <v>Defensive</v>
      </c>
      <c r="AP5" t="str">
        <f t="shared" si="6"/>
        <v/>
      </c>
      <c r="AQ5">
        <f>IF(AP5&lt;&gt;"",AP5,A5+1000)</f>
        <v>1001</v>
      </c>
      <c r="AV5" s="18">
        <f>IF(AND(AB5="",AC5=""),0,((Z5*60)+AA5)-((AB5*60)+AC5))</f>
        <v>0</v>
      </c>
      <c r="BB5" s="18">
        <f>SUMIFS(AV5:AV5,M5:M5,"=Intermission")</f>
        <v>0</v>
      </c>
      <c r="BC5">
        <f>IF(U5=1,0,IF(U5=2,1080+BB5,IF(U5=3,(1080*2)+BB5,0)))</f>
        <v>0</v>
      </c>
      <c r="BD5" s="23">
        <f>IF(M5="Intermission",BD4,((1080)-((Z5*60)+AA5))+BC5)</f>
        <v>0</v>
      </c>
      <c r="BE5">
        <f>IF(BD5&lt;5,0,BD5-5)</f>
        <v>0</v>
      </c>
      <c r="BF5" s="21">
        <f>BE5+AV5+5</f>
        <v>5</v>
      </c>
    </row>
    <row r="6" spans="1:58" x14ac:dyDescent="0.2">
      <c r="A6">
        <v>2</v>
      </c>
      <c r="E6" s="5" t="s">
        <v>836</v>
      </c>
      <c r="F6" s="5" t="s">
        <v>837</v>
      </c>
      <c r="G6" s="5" t="s">
        <v>836</v>
      </c>
      <c r="H6" s="7" t="s">
        <v>838</v>
      </c>
      <c r="I6" t="s">
        <v>835</v>
      </c>
      <c r="J6">
        <v>52</v>
      </c>
      <c r="K6">
        <v>1</v>
      </c>
      <c r="L6" t="s">
        <v>839</v>
      </c>
      <c r="M6" t="s">
        <v>15</v>
      </c>
      <c r="T6">
        <v>1</v>
      </c>
      <c r="U6" s="8">
        <f t="shared" si="1"/>
        <v>1</v>
      </c>
      <c r="Z6" t="str">
        <f t="shared" si="8"/>
        <v>17</v>
      </c>
      <c r="AA6" t="str">
        <f t="shared" si="9"/>
        <v>59</v>
      </c>
      <c r="AD6" t="str">
        <f t="shared" si="0"/>
        <v>e</v>
      </c>
      <c r="AE6" t="str">
        <f t="shared" si="7"/>
        <v>Possession</v>
      </c>
      <c r="AF6" t="str">
        <f t="shared" si="3"/>
        <v/>
      </c>
      <c r="AG6" t="str">
        <f t="shared" si="4"/>
        <v/>
      </c>
      <c r="AN6" t="str">
        <f t="shared" si="5"/>
        <v>Offensive</v>
      </c>
      <c r="AP6" t="str">
        <f t="shared" si="6"/>
        <v/>
      </c>
      <c r="AQ6">
        <f t="shared" ref="AQ6:AQ22" si="10">IF(AP6&lt;&gt;"",AP6,A6+1000)</f>
        <v>1002</v>
      </c>
      <c r="BD6" s="23"/>
      <c r="BF6" s="21"/>
    </row>
    <row r="7" spans="1:58" x14ac:dyDescent="0.2">
      <c r="A7">
        <v>2</v>
      </c>
      <c r="J7">
        <v>92</v>
      </c>
      <c r="Q7" t="s">
        <v>696</v>
      </c>
      <c r="T7">
        <v>1</v>
      </c>
      <c r="U7" s="8">
        <f t="shared" si="1"/>
        <v>1</v>
      </c>
      <c r="Z7" t="str">
        <f t="shared" si="8"/>
        <v>17</v>
      </c>
      <c r="AA7" t="str">
        <f t="shared" si="9"/>
        <v>59</v>
      </c>
      <c r="AD7" t="str">
        <f t="shared" si="0"/>
        <v>o</v>
      </c>
      <c r="AE7" t="str">
        <f t="shared" si="7"/>
        <v>Possession</v>
      </c>
      <c r="AF7" t="str">
        <f t="shared" si="3"/>
        <v/>
      </c>
      <c r="AG7" t="str">
        <f t="shared" si="4"/>
        <v/>
      </c>
      <c r="AN7" t="str">
        <f t="shared" si="5"/>
        <v>Defensive</v>
      </c>
      <c r="AP7" t="str">
        <f t="shared" si="6"/>
        <v/>
      </c>
      <c r="AQ7">
        <f t="shared" si="10"/>
        <v>1002</v>
      </c>
      <c r="BD7" s="23"/>
      <c r="BF7" s="21"/>
    </row>
    <row r="8" spans="1:58" x14ac:dyDescent="0.2">
      <c r="A8">
        <v>3</v>
      </c>
      <c r="E8" s="5" t="s">
        <v>836</v>
      </c>
      <c r="F8" s="5" t="s">
        <v>838</v>
      </c>
      <c r="I8" t="s">
        <v>840</v>
      </c>
      <c r="J8">
        <v>92</v>
      </c>
      <c r="K8">
        <v>1</v>
      </c>
      <c r="L8" t="s">
        <v>839</v>
      </c>
      <c r="M8" t="s">
        <v>10</v>
      </c>
      <c r="N8" t="s">
        <v>200</v>
      </c>
      <c r="O8" t="s">
        <v>82</v>
      </c>
      <c r="P8" t="s">
        <v>689</v>
      </c>
      <c r="Q8" t="s">
        <v>695</v>
      </c>
      <c r="S8" t="s">
        <v>689</v>
      </c>
      <c r="T8">
        <v>1</v>
      </c>
      <c r="U8" s="8">
        <f t="shared" si="1"/>
        <v>1</v>
      </c>
      <c r="Z8" t="str">
        <f t="shared" si="8"/>
        <v>17</v>
      </c>
      <c r="AA8" t="str">
        <f t="shared" si="9"/>
        <v>56</v>
      </c>
      <c r="AD8" t="str">
        <f t="shared" si="0"/>
        <v>e</v>
      </c>
      <c r="AE8" t="str">
        <f t="shared" si="7"/>
        <v>Turnover</v>
      </c>
      <c r="AF8" t="str">
        <f t="shared" si="3"/>
        <v>Turnover_Takeaway</v>
      </c>
      <c r="AG8" t="str">
        <f t="shared" si="4"/>
        <v>Takeaway-PokeCheck</v>
      </c>
      <c r="AN8" t="str">
        <f t="shared" si="5"/>
        <v>Defensive</v>
      </c>
      <c r="AP8" t="str">
        <f t="shared" si="6"/>
        <v/>
      </c>
      <c r="AQ8">
        <f t="shared" si="10"/>
        <v>1003</v>
      </c>
      <c r="BD8" s="23"/>
      <c r="BF8" s="21"/>
    </row>
    <row r="9" spans="1:58" x14ac:dyDescent="0.2">
      <c r="A9">
        <v>3</v>
      </c>
      <c r="J9">
        <v>52</v>
      </c>
      <c r="T9">
        <v>1</v>
      </c>
      <c r="U9" s="8">
        <f t="shared" si="1"/>
        <v>1</v>
      </c>
      <c r="Z9" t="str">
        <f t="shared" si="8"/>
        <v>17</v>
      </c>
      <c r="AA9" t="str">
        <f t="shared" si="9"/>
        <v>56</v>
      </c>
      <c r="AD9" t="str">
        <f t="shared" si="0"/>
        <v>o</v>
      </c>
      <c r="AE9" t="str">
        <f t="shared" si="7"/>
        <v>Turnover</v>
      </c>
      <c r="AF9" t="str">
        <f t="shared" si="3"/>
        <v>Turnover_Takeaway</v>
      </c>
      <c r="AG9" t="str">
        <f t="shared" si="4"/>
        <v>Takeaway-PokeCheck</v>
      </c>
      <c r="AN9" t="str">
        <f t="shared" ref="AN9:AN72" si="11">IF(AND(AD9="e",OR(AE9="Save",AF9="Turnover_Takeaway",AF9="Play_Defensive")),"Defensive",IF(AND(AD9="o",OR(AE9="Save",AF9="Turnover_Takeaway",AF9="Play_Defensive")),"Offensive",IF(OR(AE9="Deadice",AE9="Stoppage",AE9="Intermission"),"",IF(AD9="e","Offensive",IF(AD9="o","Defensive","")))))</f>
        <v>Offensive</v>
      </c>
      <c r="AP9" t="str">
        <f t="shared" si="6"/>
        <v/>
      </c>
      <c r="AQ9">
        <f t="shared" si="10"/>
        <v>1003</v>
      </c>
      <c r="BD9" s="23"/>
      <c r="BF9" s="21"/>
    </row>
    <row r="10" spans="1:58" x14ac:dyDescent="0.2">
      <c r="A10">
        <v>4</v>
      </c>
      <c r="E10" s="5" t="s">
        <v>836</v>
      </c>
      <c r="F10" s="5" t="s">
        <v>841</v>
      </c>
      <c r="G10" s="5" t="s">
        <v>836</v>
      </c>
      <c r="H10" s="7" t="s">
        <v>842</v>
      </c>
      <c r="I10" t="s">
        <v>840</v>
      </c>
      <c r="J10">
        <v>92</v>
      </c>
      <c r="K10">
        <v>1</v>
      </c>
      <c r="L10" t="s">
        <v>401</v>
      </c>
      <c r="M10" t="s">
        <v>257</v>
      </c>
      <c r="N10" t="s">
        <v>191</v>
      </c>
      <c r="O10" t="s">
        <v>87</v>
      </c>
      <c r="P10" t="s">
        <v>689</v>
      </c>
      <c r="Q10" t="s">
        <v>661</v>
      </c>
      <c r="T10">
        <v>1</v>
      </c>
      <c r="U10" s="8">
        <f t="shared" si="1"/>
        <v>1</v>
      </c>
      <c r="Z10" t="str">
        <f t="shared" si="8"/>
        <v>17</v>
      </c>
      <c r="AA10" t="str">
        <f t="shared" si="9"/>
        <v>52</v>
      </c>
      <c r="AD10" t="str">
        <f t="shared" si="0"/>
        <v>e</v>
      </c>
      <c r="AE10" t="str">
        <f t="shared" si="7"/>
        <v>Zone_Entry_Exit</v>
      </c>
      <c r="AF10" t="str">
        <f t="shared" si="3"/>
        <v>Zone_Entry</v>
      </c>
      <c r="AG10" t="str">
        <f t="shared" si="4"/>
        <v>ZoneEntry-Rush</v>
      </c>
      <c r="AN10" t="str">
        <f t="shared" si="11"/>
        <v>Offensive</v>
      </c>
      <c r="AP10" t="str">
        <f t="shared" si="6"/>
        <v/>
      </c>
      <c r="AQ10">
        <f t="shared" si="10"/>
        <v>1004</v>
      </c>
      <c r="BD10" s="23"/>
      <c r="BF10" s="21"/>
    </row>
    <row r="11" spans="1:58" x14ac:dyDescent="0.2">
      <c r="A11">
        <v>4</v>
      </c>
      <c r="J11">
        <v>70</v>
      </c>
      <c r="Q11" t="s">
        <v>696</v>
      </c>
      <c r="T11">
        <v>1</v>
      </c>
      <c r="U11" s="8">
        <f t="shared" si="1"/>
        <v>1</v>
      </c>
      <c r="Z11" t="str">
        <f t="shared" si="8"/>
        <v>17</v>
      </c>
      <c r="AA11" t="str">
        <f t="shared" si="9"/>
        <v>52</v>
      </c>
      <c r="AD11" t="str">
        <f t="shared" si="0"/>
        <v>o</v>
      </c>
      <c r="AE11" t="str">
        <f t="shared" si="7"/>
        <v>Zone_Entry_Exit</v>
      </c>
      <c r="AF11" t="str">
        <f t="shared" si="3"/>
        <v>Zone_Entry</v>
      </c>
      <c r="AG11" t="str">
        <f t="shared" si="4"/>
        <v>ZoneEntry-Rush</v>
      </c>
      <c r="AN11" t="str">
        <f t="shared" si="11"/>
        <v>Defensive</v>
      </c>
      <c r="AP11" t="str">
        <f t="shared" si="6"/>
        <v/>
      </c>
      <c r="AQ11">
        <f t="shared" si="10"/>
        <v>1004</v>
      </c>
      <c r="BD11" s="23"/>
      <c r="BF11" s="21"/>
    </row>
    <row r="12" spans="1:58" x14ac:dyDescent="0.2">
      <c r="A12">
        <v>4</v>
      </c>
      <c r="J12">
        <v>91</v>
      </c>
      <c r="T12">
        <v>1</v>
      </c>
      <c r="U12" s="8">
        <f t="shared" si="1"/>
        <v>1</v>
      </c>
      <c r="Z12" t="str">
        <f t="shared" si="8"/>
        <v>17</v>
      </c>
      <c r="AA12" t="str">
        <f t="shared" si="9"/>
        <v>52</v>
      </c>
      <c r="AD12" t="str">
        <f t="shared" si="0"/>
        <v>o</v>
      </c>
      <c r="AE12" t="str">
        <f t="shared" si="7"/>
        <v>Zone_Entry_Exit</v>
      </c>
      <c r="AF12" t="str">
        <f t="shared" si="3"/>
        <v>Zone_Entry</v>
      </c>
      <c r="AG12" t="str">
        <f t="shared" si="4"/>
        <v>ZoneEntry-Rush</v>
      </c>
      <c r="AN12" t="str">
        <f t="shared" si="11"/>
        <v>Defensive</v>
      </c>
      <c r="AP12" t="str">
        <f t="shared" si="6"/>
        <v/>
      </c>
      <c r="AQ12">
        <f t="shared" si="10"/>
        <v>1004</v>
      </c>
      <c r="BD12" s="23"/>
      <c r="BF12" s="21"/>
    </row>
    <row r="13" spans="1:58" x14ac:dyDescent="0.2">
      <c r="A13">
        <v>5</v>
      </c>
      <c r="E13" s="5" t="s">
        <v>836</v>
      </c>
      <c r="F13" s="5" t="s">
        <v>842</v>
      </c>
      <c r="G13" s="5" t="s">
        <v>836</v>
      </c>
      <c r="H13" s="7" t="s">
        <v>843</v>
      </c>
      <c r="I13" t="s">
        <v>840</v>
      </c>
      <c r="J13">
        <v>92</v>
      </c>
      <c r="K13">
        <v>1</v>
      </c>
      <c r="L13" t="s">
        <v>401</v>
      </c>
      <c r="M13" t="s">
        <v>15</v>
      </c>
      <c r="Q13" t="s">
        <v>702</v>
      </c>
      <c r="T13">
        <v>1</v>
      </c>
      <c r="U13" s="8">
        <f t="shared" si="1"/>
        <v>1</v>
      </c>
      <c r="Z13" t="str">
        <f t="shared" si="8"/>
        <v>17</v>
      </c>
      <c r="AA13" t="str">
        <f t="shared" si="9"/>
        <v>50</v>
      </c>
      <c r="AD13" t="str">
        <f t="shared" si="0"/>
        <v>e</v>
      </c>
      <c r="AE13" t="str">
        <f t="shared" si="7"/>
        <v>Possession</v>
      </c>
      <c r="AF13" t="str">
        <f t="shared" si="3"/>
        <v/>
      </c>
      <c r="AG13" t="str">
        <f t="shared" si="4"/>
        <v/>
      </c>
      <c r="AN13" t="str">
        <f t="shared" si="11"/>
        <v>Offensive</v>
      </c>
      <c r="AP13" t="str">
        <f t="shared" si="6"/>
        <v/>
      </c>
      <c r="AQ13">
        <f t="shared" si="10"/>
        <v>1005</v>
      </c>
      <c r="BD13" s="23"/>
      <c r="BF13" s="21"/>
    </row>
    <row r="14" spans="1:58" x14ac:dyDescent="0.2">
      <c r="A14">
        <v>5</v>
      </c>
      <c r="J14">
        <v>70</v>
      </c>
      <c r="T14">
        <v>1</v>
      </c>
      <c r="U14" s="8">
        <f t="shared" si="1"/>
        <v>1</v>
      </c>
      <c r="Z14" t="str">
        <f t="shared" si="8"/>
        <v>17</v>
      </c>
      <c r="AA14" t="str">
        <f t="shared" si="9"/>
        <v>50</v>
      </c>
      <c r="AD14" t="str">
        <f t="shared" si="0"/>
        <v>o</v>
      </c>
      <c r="AE14" t="str">
        <f t="shared" si="7"/>
        <v>Possession</v>
      </c>
      <c r="AF14" t="str">
        <f t="shared" si="3"/>
        <v/>
      </c>
      <c r="AG14" t="str">
        <f t="shared" si="4"/>
        <v/>
      </c>
      <c r="AN14" t="str">
        <f t="shared" si="11"/>
        <v>Defensive</v>
      </c>
      <c r="AP14" t="str">
        <f t="shared" si="6"/>
        <v/>
      </c>
      <c r="AQ14">
        <f t="shared" si="10"/>
        <v>1005</v>
      </c>
      <c r="BD14" s="23"/>
      <c r="BF14" s="21"/>
    </row>
    <row r="15" spans="1:58" x14ac:dyDescent="0.2">
      <c r="A15">
        <v>5</v>
      </c>
      <c r="J15">
        <v>91</v>
      </c>
      <c r="T15">
        <v>1</v>
      </c>
      <c r="U15" s="8">
        <f t="shared" si="1"/>
        <v>1</v>
      </c>
      <c r="Z15" t="str">
        <f t="shared" si="8"/>
        <v>17</v>
      </c>
      <c r="AA15" t="str">
        <f t="shared" si="9"/>
        <v>50</v>
      </c>
      <c r="AD15" t="str">
        <f t="shared" si="0"/>
        <v>o</v>
      </c>
      <c r="AE15" t="str">
        <f t="shared" si="7"/>
        <v>Possession</v>
      </c>
      <c r="AF15" t="str">
        <f t="shared" si="3"/>
        <v/>
      </c>
      <c r="AG15" t="str">
        <f t="shared" si="4"/>
        <v/>
      </c>
      <c r="AN15" t="str">
        <f t="shared" si="11"/>
        <v>Defensive</v>
      </c>
      <c r="AP15" t="str">
        <f t="shared" si="6"/>
        <v/>
      </c>
      <c r="AQ15">
        <f t="shared" si="10"/>
        <v>1005</v>
      </c>
      <c r="BD15" s="23"/>
      <c r="BF15" s="21"/>
    </row>
    <row r="16" spans="1:58" x14ac:dyDescent="0.2">
      <c r="A16">
        <v>6</v>
      </c>
      <c r="B16">
        <v>1</v>
      </c>
      <c r="E16" s="5" t="s">
        <v>836</v>
      </c>
      <c r="F16" s="5" t="s">
        <v>843</v>
      </c>
      <c r="I16" t="s">
        <v>840</v>
      </c>
      <c r="J16">
        <v>92</v>
      </c>
      <c r="K16">
        <v>1</v>
      </c>
      <c r="L16" t="s">
        <v>401</v>
      </c>
      <c r="M16" t="s">
        <v>8</v>
      </c>
      <c r="N16" t="s">
        <v>199</v>
      </c>
      <c r="O16" t="s">
        <v>70</v>
      </c>
      <c r="P16" t="s">
        <v>688</v>
      </c>
      <c r="T16">
        <v>1</v>
      </c>
      <c r="U16" s="8">
        <f t="shared" si="1"/>
        <v>1</v>
      </c>
      <c r="Z16" t="str">
        <f t="shared" si="8"/>
        <v>17</v>
      </c>
      <c r="AA16" t="str">
        <f t="shared" si="9"/>
        <v>48</v>
      </c>
      <c r="AD16" t="str">
        <f t="shared" si="0"/>
        <v>e</v>
      </c>
      <c r="AE16" t="str">
        <f t="shared" si="7"/>
        <v>Pass</v>
      </c>
      <c r="AF16" t="str">
        <f t="shared" si="3"/>
        <v>Pass_Missed</v>
      </c>
      <c r="AG16" t="str">
        <f t="shared" si="4"/>
        <v>Pass-Forehand</v>
      </c>
      <c r="AN16" t="str">
        <f t="shared" si="11"/>
        <v>Offensive</v>
      </c>
      <c r="AP16">
        <f t="shared" si="6"/>
        <v>9001</v>
      </c>
      <c r="AQ16">
        <f t="shared" si="10"/>
        <v>9001</v>
      </c>
      <c r="BD16" s="23"/>
      <c r="BF16" s="21"/>
    </row>
    <row r="17" spans="1:58" x14ac:dyDescent="0.2">
      <c r="A17">
        <v>6</v>
      </c>
      <c r="B17">
        <v>1</v>
      </c>
      <c r="J17">
        <v>46</v>
      </c>
      <c r="K17">
        <v>1</v>
      </c>
      <c r="T17">
        <v>1</v>
      </c>
      <c r="U17" s="8">
        <f t="shared" si="1"/>
        <v>1</v>
      </c>
      <c r="Z17" t="str">
        <f>IF($AQ17=$AQ16,Z16,E17)</f>
        <v>17</v>
      </c>
      <c r="AA17" t="str">
        <f>IF($AQ17=$AQ16,AA16,F17)</f>
        <v>48</v>
      </c>
      <c r="AD17" t="str">
        <f t="shared" si="0"/>
        <v>e</v>
      </c>
      <c r="AE17" t="str">
        <f t="shared" si="7"/>
        <v>Pass</v>
      </c>
      <c r="AF17" t="str">
        <f t="shared" si="3"/>
        <v>Pass_Missed</v>
      </c>
      <c r="AG17" t="str">
        <f t="shared" si="4"/>
        <v>Pass-Forehand</v>
      </c>
      <c r="AN17" t="str">
        <f t="shared" si="11"/>
        <v>Offensive</v>
      </c>
      <c r="AP17">
        <f t="shared" si="6"/>
        <v>9001</v>
      </c>
      <c r="AQ17">
        <f t="shared" si="10"/>
        <v>9001</v>
      </c>
      <c r="BD17" s="23"/>
      <c r="BF17" s="21"/>
    </row>
    <row r="18" spans="1:58" x14ac:dyDescent="0.2">
      <c r="A18">
        <v>6</v>
      </c>
      <c r="B18">
        <v>1</v>
      </c>
      <c r="J18">
        <v>91</v>
      </c>
      <c r="Q18" t="s">
        <v>696</v>
      </c>
      <c r="T18">
        <v>1</v>
      </c>
      <c r="U18" s="8">
        <f t="shared" si="1"/>
        <v>1</v>
      </c>
      <c r="Z18" t="str">
        <f t="shared" ref="Z18:Z22" si="12">IF($AQ18=$AQ17,Z17,E18)</f>
        <v>17</v>
      </c>
      <c r="AA18" t="str">
        <f t="shared" ref="AA18:AA22" si="13">IF($AQ18=$AQ17,AA17,F18)</f>
        <v>48</v>
      </c>
      <c r="AD18" t="str">
        <f t="shared" si="0"/>
        <v>o</v>
      </c>
      <c r="AE18" t="str">
        <f t="shared" si="7"/>
        <v>Pass</v>
      </c>
      <c r="AF18" t="str">
        <f t="shared" si="3"/>
        <v>Pass_Missed</v>
      </c>
      <c r="AG18" t="str">
        <f t="shared" si="4"/>
        <v>Pass-Forehand</v>
      </c>
      <c r="AN18" t="str">
        <f t="shared" si="11"/>
        <v>Defensive</v>
      </c>
      <c r="AP18">
        <f t="shared" si="6"/>
        <v>9001</v>
      </c>
      <c r="AQ18">
        <f t="shared" si="10"/>
        <v>9001</v>
      </c>
      <c r="BD18" s="23"/>
      <c r="BF18" s="21"/>
    </row>
    <row r="19" spans="1:58" x14ac:dyDescent="0.2">
      <c r="A19">
        <v>6</v>
      </c>
      <c r="B19">
        <v>1</v>
      </c>
      <c r="J19">
        <v>52</v>
      </c>
      <c r="T19">
        <v>1</v>
      </c>
      <c r="U19" s="8">
        <f t="shared" si="1"/>
        <v>1</v>
      </c>
      <c r="Z19" t="str">
        <f t="shared" si="12"/>
        <v>17</v>
      </c>
      <c r="AA19" t="str">
        <f t="shared" si="13"/>
        <v>48</v>
      </c>
      <c r="AD19" t="str">
        <f t="shared" si="0"/>
        <v>o</v>
      </c>
      <c r="AE19" t="str">
        <f t="shared" si="7"/>
        <v>Pass</v>
      </c>
      <c r="AF19" t="str">
        <f t="shared" si="3"/>
        <v>Pass_Missed</v>
      </c>
      <c r="AG19" t="str">
        <f t="shared" si="4"/>
        <v>Pass-Forehand</v>
      </c>
      <c r="AN19" t="str">
        <f t="shared" si="11"/>
        <v>Defensive</v>
      </c>
      <c r="AP19">
        <f t="shared" si="6"/>
        <v>9001</v>
      </c>
      <c r="AQ19">
        <f t="shared" si="10"/>
        <v>9001</v>
      </c>
      <c r="BD19" s="23"/>
      <c r="BF19" s="21"/>
    </row>
    <row r="20" spans="1:58" x14ac:dyDescent="0.2">
      <c r="A20">
        <v>7</v>
      </c>
      <c r="B20">
        <v>1</v>
      </c>
      <c r="I20" t="s">
        <v>840</v>
      </c>
      <c r="J20">
        <v>92</v>
      </c>
      <c r="K20">
        <v>1</v>
      </c>
      <c r="L20" t="s">
        <v>401</v>
      </c>
      <c r="M20" t="s">
        <v>10</v>
      </c>
      <c r="N20" t="s">
        <v>190</v>
      </c>
      <c r="O20" t="s">
        <v>76</v>
      </c>
      <c r="T20">
        <v>1</v>
      </c>
      <c r="U20" s="8">
        <f t="shared" si="1"/>
        <v>1</v>
      </c>
      <c r="Z20" t="str">
        <f t="shared" si="12"/>
        <v>17</v>
      </c>
      <c r="AA20" t="str">
        <f t="shared" si="13"/>
        <v>48</v>
      </c>
      <c r="AD20" t="str">
        <f t="shared" si="0"/>
        <v>e</v>
      </c>
      <c r="AE20" t="str">
        <f t="shared" si="7"/>
        <v>Turnover</v>
      </c>
      <c r="AF20" t="str">
        <f t="shared" si="3"/>
        <v>Turnover_Giveaway</v>
      </c>
      <c r="AG20" t="str">
        <f t="shared" si="4"/>
        <v>Giveaway-PassMissed</v>
      </c>
      <c r="AN20" t="str">
        <f t="shared" si="11"/>
        <v>Offensive</v>
      </c>
      <c r="AP20">
        <f t="shared" si="6"/>
        <v>9001</v>
      </c>
      <c r="AQ20">
        <f t="shared" si="10"/>
        <v>9001</v>
      </c>
      <c r="BD20" s="23"/>
      <c r="BF20" s="21"/>
    </row>
    <row r="21" spans="1:58" x14ac:dyDescent="0.2">
      <c r="A21">
        <v>7</v>
      </c>
      <c r="B21">
        <v>1</v>
      </c>
      <c r="J21">
        <v>46</v>
      </c>
      <c r="K21">
        <v>1</v>
      </c>
      <c r="T21">
        <v>1</v>
      </c>
      <c r="U21" s="8">
        <f t="shared" si="1"/>
        <v>1</v>
      </c>
      <c r="Z21" t="str">
        <f t="shared" si="12"/>
        <v>17</v>
      </c>
      <c r="AA21" t="str">
        <f t="shared" si="13"/>
        <v>48</v>
      </c>
      <c r="AD21" t="str">
        <f t="shared" si="0"/>
        <v>e</v>
      </c>
      <c r="AE21" t="str">
        <f t="shared" si="7"/>
        <v>Turnover</v>
      </c>
      <c r="AF21" t="str">
        <f t="shared" si="3"/>
        <v>Turnover_Giveaway</v>
      </c>
      <c r="AG21" t="str">
        <f t="shared" si="4"/>
        <v>Giveaway-PassMissed</v>
      </c>
      <c r="AN21" t="str">
        <f t="shared" si="11"/>
        <v>Offensive</v>
      </c>
      <c r="AP21">
        <f t="shared" si="6"/>
        <v>9001</v>
      </c>
      <c r="AQ21">
        <f t="shared" si="10"/>
        <v>9001</v>
      </c>
      <c r="BD21" s="23"/>
      <c r="BF21" s="21"/>
    </row>
    <row r="22" spans="1:58" x14ac:dyDescent="0.2">
      <c r="A22">
        <v>7</v>
      </c>
      <c r="B22">
        <v>1</v>
      </c>
      <c r="J22">
        <v>91</v>
      </c>
      <c r="Q22" t="s">
        <v>725</v>
      </c>
      <c r="T22">
        <v>1</v>
      </c>
      <c r="U22" s="8">
        <f t="shared" si="1"/>
        <v>1</v>
      </c>
      <c r="Z22" t="str">
        <f t="shared" si="12"/>
        <v>17</v>
      </c>
      <c r="AA22" t="str">
        <f t="shared" si="13"/>
        <v>48</v>
      </c>
      <c r="AD22" t="str">
        <f t="shared" si="0"/>
        <v>o</v>
      </c>
      <c r="AE22" t="str">
        <f t="shared" si="7"/>
        <v>Turnover</v>
      </c>
      <c r="AF22" t="str">
        <f t="shared" si="3"/>
        <v>Turnover_Giveaway</v>
      </c>
      <c r="AG22" t="str">
        <f t="shared" si="4"/>
        <v>Giveaway-PassMissed</v>
      </c>
      <c r="AN22" t="str">
        <f t="shared" si="11"/>
        <v>Defensive</v>
      </c>
      <c r="AP22">
        <f t="shared" si="6"/>
        <v>9001</v>
      </c>
      <c r="AQ22">
        <f t="shared" si="10"/>
        <v>9001</v>
      </c>
      <c r="BD22" s="23"/>
      <c r="BF22" s="21"/>
    </row>
    <row r="23" spans="1:58" x14ac:dyDescent="0.2">
      <c r="A23">
        <v>7</v>
      </c>
      <c r="B23">
        <v>1</v>
      </c>
      <c r="J23">
        <v>52</v>
      </c>
      <c r="T23">
        <v>1</v>
      </c>
      <c r="U23" s="8">
        <f t="shared" si="1"/>
        <v>1</v>
      </c>
      <c r="AD23" t="str">
        <f t="shared" si="0"/>
        <v>o</v>
      </c>
      <c r="AE23" t="str">
        <f t="shared" si="7"/>
        <v>Turnover</v>
      </c>
      <c r="AF23" t="str">
        <f t="shared" si="3"/>
        <v>Turnover_Giveaway</v>
      </c>
      <c r="AG23" t="str">
        <f t="shared" si="4"/>
        <v>Giveaway-PassMissed</v>
      </c>
      <c r="AN23" t="str">
        <f t="shared" si="11"/>
        <v>Defensive</v>
      </c>
      <c r="BD23" s="23"/>
      <c r="BF23" s="21"/>
    </row>
    <row r="24" spans="1:58" x14ac:dyDescent="0.2">
      <c r="A24">
        <v>8</v>
      </c>
      <c r="E24" s="5" t="s">
        <v>836</v>
      </c>
      <c r="F24" s="5" t="s">
        <v>846</v>
      </c>
      <c r="G24" s="5" t="s">
        <v>836</v>
      </c>
      <c r="H24" s="7" t="s">
        <v>847</v>
      </c>
      <c r="I24" t="s">
        <v>835</v>
      </c>
      <c r="J24">
        <v>14</v>
      </c>
      <c r="K24">
        <v>1</v>
      </c>
      <c r="L24" t="s">
        <v>845</v>
      </c>
      <c r="M24" t="s">
        <v>15</v>
      </c>
      <c r="N24" t="s">
        <v>680</v>
      </c>
      <c r="P24" t="s">
        <v>688</v>
      </c>
      <c r="Q24" t="s">
        <v>701</v>
      </c>
      <c r="S24" t="s">
        <v>688</v>
      </c>
      <c r="U24" s="8">
        <f t="shared" si="1"/>
        <v>1</v>
      </c>
      <c r="AD24" t="str">
        <f t="shared" si="0"/>
        <v>e</v>
      </c>
      <c r="AE24" t="str">
        <f t="shared" si="7"/>
        <v>Possession</v>
      </c>
      <c r="AF24" t="str">
        <f t="shared" si="3"/>
        <v>PuckRetrieval</v>
      </c>
      <c r="AG24" t="str">
        <f t="shared" si="4"/>
        <v/>
      </c>
      <c r="AN24" t="str">
        <f t="shared" si="11"/>
        <v>Offensive</v>
      </c>
      <c r="BD24" s="23"/>
      <c r="BF24" s="21"/>
    </row>
    <row r="25" spans="1:58" x14ac:dyDescent="0.2">
      <c r="A25">
        <v>9</v>
      </c>
      <c r="E25" s="5" t="s">
        <v>836</v>
      </c>
      <c r="F25" s="5" t="s">
        <v>847</v>
      </c>
      <c r="I25" t="s">
        <v>835</v>
      </c>
      <c r="J25">
        <v>14</v>
      </c>
      <c r="K25">
        <v>1</v>
      </c>
      <c r="L25" t="s">
        <v>845</v>
      </c>
      <c r="M25" t="s">
        <v>10</v>
      </c>
      <c r="N25" t="s">
        <v>190</v>
      </c>
      <c r="O25" t="s">
        <v>76</v>
      </c>
      <c r="P25" t="s">
        <v>688</v>
      </c>
      <c r="U25" s="8">
        <f t="shared" si="1"/>
        <v>1</v>
      </c>
      <c r="AD25" t="str">
        <f t="shared" si="0"/>
        <v>e</v>
      </c>
      <c r="AE25" t="str">
        <f t="shared" si="7"/>
        <v>Turnover</v>
      </c>
      <c r="AF25" t="str">
        <f t="shared" si="3"/>
        <v>Turnover_Giveaway</v>
      </c>
      <c r="AG25" t="str">
        <f t="shared" si="4"/>
        <v>Giveaway-PassMissed</v>
      </c>
      <c r="AN25" t="str">
        <f t="shared" si="11"/>
        <v>Offensive</v>
      </c>
      <c r="BD25" s="23"/>
      <c r="BF25" s="21"/>
    </row>
    <row r="26" spans="1:58" x14ac:dyDescent="0.2">
      <c r="A26">
        <v>10</v>
      </c>
      <c r="E26" s="5" t="s">
        <v>836</v>
      </c>
      <c r="F26" s="5" t="s">
        <v>848</v>
      </c>
      <c r="G26" s="5" t="s">
        <v>836</v>
      </c>
      <c r="H26" s="7" t="s">
        <v>849</v>
      </c>
      <c r="I26" t="s">
        <v>840</v>
      </c>
      <c r="J26">
        <v>92</v>
      </c>
      <c r="K26">
        <v>1</v>
      </c>
      <c r="L26" t="s">
        <v>401</v>
      </c>
      <c r="M26" t="s">
        <v>15</v>
      </c>
      <c r="N26" t="s">
        <v>680</v>
      </c>
      <c r="P26" t="s">
        <v>689</v>
      </c>
      <c r="Q26" t="s">
        <v>694</v>
      </c>
      <c r="S26" t="s">
        <v>689</v>
      </c>
      <c r="T26">
        <v>1</v>
      </c>
      <c r="U26" s="8">
        <f t="shared" si="1"/>
        <v>1</v>
      </c>
      <c r="AD26" t="str">
        <f t="shared" si="0"/>
        <v>e</v>
      </c>
      <c r="AE26" t="str">
        <f t="shared" si="7"/>
        <v>Possession</v>
      </c>
      <c r="AF26" t="str">
        <f t="shared" si="3"/>
        <v>PuckRetrieval</v>
      </c>
      <c r="AG26" t="str">
        <f t="shared" si="4"/>
        <v/>
      </c>
      <c r="AN26" t="str">
        <f t="shared" si="11"/>
        <v>Offensive</v>
      </c>
      <c r="BD26" s="23"/>
      <c r="BF26" s="21"/>
    </row>
    <row r="27" spans="1:58" x14ac:dyDescent="0.2">
      <c r="A27">
        <v>10</v>
      </c>
      <c r="J27">
        <v>91</v>
      </c>
      <c r="Q27" t="s">
        <v>726</v>
      </c>
      <c r="S27" t="s">
        <v>688</v>
      </c>
      <c r="T27">
        <v>1</v>
      </c>
      <c r="U27" s="8">
        <f t="shared" si="1"/>
        <v>1</v>
      </c>
      <c r="AD27" t="str">
        <f t="shared" si="0"/>
        <v>o</v>
      </c>
      <c r="AE27" t="str">
        <f t="shared" si="7"/>
        <v>Possession</v>
      </c>
      <c r="AF27" t="str">
        <f t="shared" si="3"/>
        <v>PuckRetrieval</v>
      </c>
      <c r="AG27" t="str">
        <f t="shared" si="4"/>
        <v/>
      </c>
      <c r="AN27" t="str">
        <f t="shared" si="11"/>
        <v>Defensive</v>
      </c>
      <c r="BD27" s="23"/>
      <c r="BF27" s="21"/>
    </row>
    <row r="28" spans="1:58" x14ac:dyDescent="0.2">
      <c r="A28">
        <v>11</v>
      </c>
      <c r="E28" s="5" t="s">
        <v>836</v>
      </c>
      <c r="F28" s="5" t="s">
        <v>849</v>
      </c>
      <c r="G28" s="5" t="s">
        <v>836</v>
      </c>
      <c r="H28" s="7" t="s">
        <v>850</v>
      </c>
      <c r="I28" t="s">
        <v>840</v>
      </c>
      <c r="J28">
        <v>92</v>
      </c>
      <c r="K28">
        <v>1</v>
      </c>
      <c r="L28" t="s">
        <v>401</v>
      </c>
      <c r="M28" t="s">
        <v>15</v>
      </c>
      <c r="Q28" t="s">
        <v>663</v>
      </c>
      <c r="T28">
        <v>1</v>
      </c>
      <c r="U28" s="8">
        <f t="shared" si="1"/>
        <v>1</v>
      </c>
      <c r="AD28" t="str">
        <f t="shared" si="0"/>
        <v>e</v>
      </c>
      <c r="AE28" t="str">
        <f t="shared" si="7"/>
        <v>Possession</v>
      </c>
      <c r="AF28" t="str">
        <f t="shared" si="3"/>
        <v/>
      </c>
      <c r="AG28" t="str">
        <f t="shared" si="4"/>
        <v/>
      </c>
      <c r="AN28" t="str">
        <f t="shared" si="11"/>
        <v>Offensive</v>
      </c>
      <c r="BD28" s="23"/>
      <c r="BF28" s="21"/>
    </row>
    <row r="29" spans="1:58" x14ac:dyDescent="0.2">
      <c r="A29">
        <v>11</v>
      </c>
      <c r="J29">
        <v>91</v>
      </c>
      <c r="T29">
        <v>1</v>
      </c>
      <c r="U29" s="8">
        <f t="shared" si="1"/>
        <v>1</v>
      </c>
      <c r="AD29" t="str">
        <f t="shared" si="0"/>
        <v>o</v>
      </c>
      <c r="AE29" t="str">
        <f t="shared" si="7"/>
        <v>Possession</v>
      </c>
      <c r="AF29" t="str">
        <f t="shared" si="3"/>
        <v/>
      </c>
      <c r="AG29" t="str">
        <f t="shared" si="4"/>
        <v/>
      </c>
      <c r="AN29" t="str">
        <f t="shared" si="11"/>
        <v>Defensive</v>
      </c>
      <c r="BD29" s="23"/>
      <c r="BF29" s="21"/>
    </row>
    <row r="30" spans="1:58" x14ac:dyDescent="0.2">
      <c r="A30">
        <v>11</v>
      </c>
      <c r="J30">
        <v>70</v>
      </c>
      <c r="T30">
        <v>1</v>
      </c>
      <c r="U30" s="8">
        <f t="shared" si="1"/>
        <v>1</v>
      </c>
      <c r="AD30" t="str">
        <f t="shared" si="0"/>
        <v>o</v>
      </c>
      <c r="AE30" t="str">
        <f t="shared" si="7"/>
        <v>Possession</v>
      </c>
      <c r="AF30" t="str">
        <f t="shared" si="3"/>
        <v/>
      </c>
      <c r="AG30" t="str">
        <f t="shared" si="4"/>
        <v/>
      </c>
      <c r="AN30" t="str">
        <f t="shared" si="11"/>
        <v>Defensive</v>
      </c>
      <c r="BD30" s="23"/>
      <c r="BF30" s="21"/>
    </row>
    <row r="31" spans="1:58" x14ac:dyDescent="0.2">
      <c r="A31">
        <v>12</v>
      </c>
      <c r="E31" s="5" t="s">
        <v>836</v>
      </c>
      <c r="F31" s="5" t="s">
        <v>851</v>
      </c>
      <c r="I31" t="s">
        <v>840</v>
      </c>
      <c r="J31">
        <v>92</v>
      </c>
      <c r="K31">
        <v>1</v>
      </c>
      <c r="L31" t="s">
        <v>401</v>
      </c>
      <c r="M31" t="s">
        <v>8</v>
      </c>
      <c r="N31" t="s">
        <v>189</v>
      </c>
      <c r="O31" t="s">
        <v>70</v>
      </c>
      <c r="P31" t="s">
        <v>689</v>
      </c>
      <c r="U31" s="8">
        <f t="shared" si="1"/>
        <v>1</v>
      </c>
      <c r="AD31" t="str">
        <f t="shared" si="0"/>
        <v>e</v>
      </c>
      <c r="AE31" t="str">
        <f t="shared" si="7"/>
        <v>Pass</v>
      </c>
      <c r="AF31" t="str">
        <f t="shared" si="3"/>
        <v>Pass_Completed</v>
      </c>
      <c r="AG31" t="str">
        <f t="shared" si="4"/>
        <v>Pass-Forehand</v>
      </c>
      <c r="AN31" t="str">
        <f t="shared" si="11"/>
        <v>Offensive</v>
      </c>
      <c r="BD31" s="23"/>
      <c r="BF31" s="21"/>
    </row>
    <row r="32" spans="1:58" x14ac:dyDescent="0.2">
      <c r="A32">
        <v>12</v>
      </c>
      <c r="J32">
        <v>46</v>
      </c>
      <c r="K32">
        <v>1</v>
      </c>
      <c r="U32" s="8">
        <f t="shared" si="1"/>
        <v>1</v>
      </c>
      <c r="AD32" t="str">
        <f t="shared" si="0"/>
        <v>e</v>
      </c>
      <c r="AE32" t="str">
        <f t="shared" si="7"/>
        <v>Pass</v>
      </c>
      <c r="AF32" t="str">
        <f t="shared" si="3"/>
        <v>Pass_Completed</v>
      </c>
      <c r="AG32" t="str">
        <f t="shared" si="4"/>
        <v>Pass-Forehand</v>
      </c>
      <c r="AN32" t="str">
        <f t="shared" si="11"/>
        <v>Offensive</v>
      </c>
      <c r="BD32" s="23"/>
      <c r="BF32" s="21"/>
    </row>
    <row r="33" spans="1:58" x14ac:dyDescent="0.2">
      <c r="A33">
        <v>13</v>
      </c>
      <c r="E33" s="5" t="s">
        <v>836</v>
      </c>
      <c r="F33" s="5" t="s">
        <v>852</v>
      </c>
      <c r="I33" t="s">
        <v>840</v>
      </c>
      <c r="J33">
        <v>46</v>
      </c>
      <c r="K33">
        <v>1</v>
      </c>
      <c r="L33" t="s">
        <v>401</v>
      </c>
      <c r="M33" t="s">
        <v>8</v>
      </c>
      <c r="N33" t="s">
        <v>189</v>
      </c>
      <c r="O33" t="s">
        <v>69</v>
      </c>
      <c r="P33" t="s">
        <v>689</v>
      </c>
      <c r="Q33" t="s">
        <v>749</v>
      </c>
      <c r="S33" t="s">
        <v>689</v>
      </c>
      <c r="T33">
        <v>1</v>
      </c>
      <c r="U33" s="8">
        <f t="shared" si="1"/>
        <v>1</v>
      </c>
      <c r="AD33" t="str">
        <f t="shared" si="0"/>
        <v>e</v>
      </c>
      <c r="AE33" t="str">
        <f t="shared" si="7"/>
        <v>Pass</v>
      </c>
      <c r="AF33" t="str">
        <f t="shared" si="3"/>
        <v>Pass_Completed</v>
      </c>
      <c r="AG33" t="str">
        <f t="shared" si="4"/>
        <v>Pass-Backhand</v>
      </c>
      <c r="AN33" t="str">
        <f t="shared" si="11"/>
        <v>Offensive</v>
      </c>
      <c r="BD33" s="23"/>
      <c r="BF33" s="21"/>
    </row>
    <row r="34" spans="1:58" x14ac:dyDescent="0.2">
      <c r="A34">
        <v>13</v>
      </c>
      <c r="J34">
        <v>92</v>
      </c>
      <c r="K34">
        <v>1</v>
      </c>
      <c r="U34" s="8">
        <f t="shared" si="1"/>
        <v>1</v>
      </c>
      <c r="AD34" t="str">
        <f t="shared" si="0"/>
        <v>e</v>
      </c>
      <c r="AE34" t="str">
        <f t="shared" si="7"/>
        <v>Pass</v>
      </c>
      <c r="AF34" t="str">
        <f t="shared" si="3"/>
        <v>Pass_Completed</v>
      </c>
      <c r="AG34" t="str">
        <f t="shared" si="4"/>
        <v>Pass-Backhand</v>
      </c>
      <c r="AN34" t="str">
        <f t="shared" si="11"/>
        <v>Offensive</v>
      </c>
      <c r="BD34" s="23"/>
      <c r="BF34" s="21"/>
    </row>
    <row r="35" spans="1:58" x14ac:dyDescent="0.2">
      <c r="A35">
        <v>13</v>
      </c>
      <c r="J35">
        <v>91</v>
      </c>
      <c r="T35">
        <v>1</v>
      </c>
      <c r="U35" s="8">
        <f t="shared" si="1"/>
        <v>1</v>
      </c>
      <c r="AD35" t="str">
        <f t="shared" si="0"/>
        <v>o</v>
      </c>
      <c r="AE35" t="str">
        <f t="shared" si="7"/>
        <v>Pass</v>
      </c>
      <c r="AF35" t="str">
        <f t="shared" si="3"/>
        <v>Pass_Completed</v>
      </c>
      <c r="AG35" t="str">
        <f t="shared" si="4"/>
        <v>Pass-Backhand</v>
      </c>
      <c r="AN35" t="str">
        <f t="shared" si="11"/>
        <v>Defensive</v>
      </c>
      <c r="BD35" s="23"/>
      <c r="BF35" s="21"/>
    </row>
    <row r="36" spans="1:58" x14ac:dyDescent="0.2">
      <c r="A36">
        <v>14</v>
      </c>
      <c r="E36" s="5" t="s">
        <v>836</v>
      </c>
      <c r="F36" s="5" t="s">
        <v>855</v>
      </c>
      <c r="G36" s="5" t="s">
        <v>836</v>
      </c>
      <c r="H36" s="7" t="s">
        <v>854</v>
      </c>
      <c r="I36" t="s">
        <v>840</v>
      </c>
      <c r="J36">
        <v>92</v>
      </c>
      <c r="K36">
        <v>1</v>
      </c>
      <c r="L36" t="s">
        <v>401</v>
      </c>
      <c r="M36" t="s">
        <v>15</v>
      </c>
      <c r="T36">
        <v>1</v>
      </c>
      <c r="U36" s="8">
        <f t="shared" si="1"/>
        <v>1</v>
      </c>
      <c r="AD36" t="str">
        <f t="shared" si="0"/>
        <v>e</v>
      </c>
      <c r="AE36" t="str">
        <f t="shared" si="7"/>
        <v>Possession</v>
      </c>
      <c r="AF36" t="str">
        <f t="shared" si="3"/>
        <v/>
      </c>
      <c r="AG36" t="str">
        <f t="shared" si="4"/>
        <v/>
      </c>
      <c r="AN36" t="str">
        <f t="shared" si="11"/>
        <v>Offensive</v>
      </c>
      <c r="BD36" s="23"/>
      <c r="BF36" s="21"/>
    </row>
    <row r="37" spans="1:58" x14ac:dyDescent="0.2">
      <c r="A37">
        <v>14</v>
      </c>
      <c r="J37">
        <v>70</v>
      </c>
      <c r="T37">
        <v>1</v>
      </c>
      <c r="U37" s="8">
        <f t="shared" si="1"/>
        <v>1</v>
      </c>
      <c r="AD37" t="str">
        <f t="shared" si="0"/>
        <v>o</v>
      </c>
      <c r="AE37" t="str">
        <f t="shared" si="7"/>
        <v>Possession</v>
      </c>
      <c r="AF37" t="str">
        <f t="shared" si="3"/>
        <v/>
      </c>
      <c r="AG37" t="str">
        <f t="shared" si="4"/>
        <v/>
      </c>
      <c r="AN37" t="str">
        <f t="shared" si="11"/>
        <v>Defensive</v>
      </c>
      <c r="BD37" s="23"/>
      <c r="BF37" s="21"/>
    </row>
    <row r="38" spans="1:58" x14ac:dyDescent="0.2">
      <c r="A38">
        <v>15</v>
      </c>
      <c r="B38">
        <v>2</v>
      </c>
      <c r="E38" s="5" t="s">
        <v>836</v>
      </c>
      <c r="F38" s="5" t="s">
        <v>854</v>
      </c>
      <c r="I38" t="s">
        <v>840</v>
      </c>
      <c r="J38">
        <v>92</v>
      </c>
      <c r="K38">
        <v>1</v>
      </c>
      <c r="L38" t="s">
        <v>401</v>
      </c>
      <c r="M38" t="s">
        <v>7</v>
      </c>
      <c r="N38" t="s">
        <v>222</v>
      </c>
      <c r="O38" t="s">
        <v>55</v>
      </c>
      <c r="P38" t="s">
        <v>689</v>
      </c>
      <c r="T38">
        <v>1</v>
      </c>
      <c r="U38" s="8">
        <f t="shared" si="1"/>
        <v>1</v>
      </c>
      <c r="AD38" t="str">
        <f t="shared" si="0"/>
        <v>e</v>
      </c>
      <c r="AE38" t="str">
        <f t="shared" si="7"/>
        <v>Shot</v>
      </c>
      <c r="AF38" t="str">
        <f t="shared" si="3"/>
        <v>Shot_OnNetSaved</v>
      </c>
      <c r="AG38" t="str">
        <f t="shared" si="4"/>
        <v>Shot-Backhand</v>
      </c>
      <c r="AN38" t="str">
        <f t="shared" si="11"/>
        <v>Offensive</v>
      </c>
      <c r="BD38" s="23"/>
      <c r="BF38" s="21"/>
    </row>
    <row r="39" spans="1:58" x14ac:dyDescent="0.2">
      <c r="A39">
        <v>15</v>
      </c>
      <c r="B39">
        <v>2</v>
      </c>
      <c r="J39">
        <v>46</v>
      </c>
      <c r="K39">
        <v>1</v>
      </c>
      <c r="Q39" t="s">
        <v>779</v>
      </c>
      <c r="U39" s="8">
        <f t="shared" si="1"/>
        <v>1</v>
      </c>
      <c r="AD39" t="str">
        <f t="shared" si="0"/>
        <v>e</v>
      </c>
      <c r="AE39" t="str">
        <f t="shared" si="7"/>
        <v>Shot</v>
      </c>
      <c r="AF39" t="str">
        <f t="shared" si="3"/>
        <v>Shot_OnNetSaved</v>
      </c>
      <c r="AG39" t="str">
        <f t="shared" si="4"/>
        <v>Shot-Backhand</v>
      </c>
      <c r="AN39" t="str">
        <f t="shared" si="11"/>
        <v>Offensive</v>
      </c>
      <c r="BD39" s="23"/>
      <c r="BF39" s="21"/>
    </row>
    <row r="40" spans="1:58" x14ac:dyDescent="0.2">
      <c r="A40">
        <v>15</v>
      </c>
      <c r="B40">
        <v>2</v>
      </c>
      <c r="J40">
        <v>39</v>
      </c>
      <c r="U40" s="8">
        <f t="shared" si="1"/>
        <v>1</v>
      </c>
      <c r="AD40" t="str">
        <f t="shared" si="0"/>
        <v>o</v>
      </c>
      <c r="AE40" t="str">
        <f t="shared" si="7"/>
        <v>Shot</v>
      </c>
      <c r="AF40" t="str">
        <f t="shared" si="3"/>
        <v>Shot_OnNetSaved</v>
      </c>
      <c r="AG40" t="str">
        <f t="shared" si="4"/>
        <v>Shot-Backhand</v>
      </c>
      <c r="AN40" t="str">
        <f t="shared" si="11"/>
        <v>Defensive</v>
      </c>
      <c r="BD40" s="23"/>
      <c r="BF40" s="21"/>
    </row>
    <row r="41" spans="1:58" x14ac:dyDescent="0.2">
      <c r="A41">
        <v>15</v>
      </c>
      <c r="B41">
        <v>2</v>
      </c>
      <c r="J41">
        <v>14</v>
      </c>
      <c r="Q41" t="s">
        <v>696</v>
      </c>
      <c r="T41">
        <v>1</v>
      </c>
      <c r="U41" s="8">
        <f t="shared" si="1"/>
        <v>1</v>
      </c>
      <c r="AD41" t="str">
        <f t="shared" si="0"/>
        <v>o</v>
      </c>
      <c r="AE41" t="str">
        <f t="shared" si="7"/>
        <v>Shot</v>
      </c>
      <c r="AF41" t="str">
        <f t="shared" si="3"/>
        <v>Shot_OnNetSaved</v>
      </c>
      <c r="AG41" t="str">
        <f t="shared" si="4"/>
        <v>Shot-Backhand</v>
      </c>
      <c r="AN41" t="str">
        <f t="shared" si="11"/>
        <v>Defensive</v>
      </c>
      <c r="BD41" s="23"/>
      <c r="BF41" s="21"/>
    </row>
    <row r="42" spans="1:58" x14ac:dyDescent="0.2">
      <c r="A42">
        <v>15</v>
      </c>
      <c r="B42">
        <v>2</v>
      </c>
      <c r="J42">
        <v>91</v>
      </c>
      <c r="U42" s="8">
        <f t="shared" si="1"/>
        <v>1</v>
      </c>
      <c r="AD42" t="str">
        <f t="shared" si="0"/>
        <v>o</v>
      </c>
      <c r="AE42" t="str">
        <f t="shared" si="7"/>
        <v>Shot</v>
      </c>
      <c r="AF42" t="str">
        <f t="shared" si="3"/>
        <v>Shot_OnNetSaved</v>
      </c>
      <c r="AG42" t="str">
        <f t="shared" si="4"/>
        <v>Shot-Backhand</v>
      </c>
      <c r="AN42" t="str">
        <f t="shared" si="11"/>
        <v>Defensive</v>
      </c>
      <c r="BD42" s="23"/>
      <c r="BF42" s="21"/>
    </row>
    <row r="43" spans="1:58" x14ac:dyDescent="0.2">
      <c r="A43">
        <v>16</v>
      </c>
      <c r="B43">
        <v>2</v>
      </c>
      <c r="E43" s="5" t="s">
        <v>836</v>
      </c>
      <c r="F43" s="5" t="s">
        <v>854</v>
      </c>
      <c r="I43" t="s">
        <v>835</v>
      </c>
      <c r="J43">
        <v>39</v>
      </c>
      <c r="K43">
        <v>1</v>
      </c>
      <c r="L43" t="s">
        <v>845</v>
      </c>
      <c r="M43" t="s">
        <v>17</v>
      </c>
      <c r="N43" t="s">
        <v>196</v>
      </c>
      <c r="O43" t="s">
        <v>103</v>
      </c>
      <c r="U43" s="8">
        <f t="shared" si="1"/>
        <v>1</v>
      </c>
      <c r="AD43" t="str">
        <f t="shared" si="0"/>
        <v>e</v>
      </c>
      <c r="AE43" t="str">
        <f t="shared" si="7"/>
        <v>Save</v>
      </c>
      <c r="AF43" t="str">
        <f t="shared" si="3"/>
        <v>Save_Rebound</v>
      </c>
      <c r="AG43" t="str">
        <f t="shared" si="4"/>
        <v>Save-Chest</v>
      </c>
      <c r="AN43" t="str">
        <f t="shared" si="11"/>
        <v>Defensive</v>
      </c>
      <c r="BD43" s="23"/>
      <c r="BF43" s="21"/>
    </row>
    <row r="44" spans="1:58" x14ac:dyDescent="0.2">
      <c r="A44">
        <v>16</v>
      </c>
      <c r="B44">
        <v>2</v>
      </c>
      <c r="J44">
        <v>14</v>
      </c>
      <c r="K44">
        <v>1</v>
      </c>
      <c r="Q44" t="s">
        <v>696</v>
      </c>
      <c r="T44">
        <v>1</v>
      </c>
      <c r="U44" s="8">
        <f t="shared" si="1"/>
        <v>1</v>
      </c>
      <c r="AD44" t="str">
        <f t="shared" si="0"/>
        <v>e</v>
      </c>
      <c r="AE44" t="str">
        <f t="shared" si="7"/>
        <v>Save</v>
      </c>
      <c r="AF44" t="str">
        <f t="shared" si="3"/>
        <v>Save_Rebound</v>
      </c>
      <c r="AG44" t="str">
        <f t="shared" si="4"/>
        <v>Save-Chest</v>
      </c>
      <c r="AN44" t="str">
        <f t="shared" si="11"/>
        <v>Defensive</v>
      </c>
      <c r="BD44" s="23"/>
      <c r="BF44" s="21"/>
    </row>
    <row r="45" spans="1:58" x14ac:dyDescent="0.2">
      <c r="A45">
        <v>16</v>
      </c>
      <c r="B45">
        <v>2</v>
      </c>
      <c r="J45">
        <v>91</v>
      </c>
      <c r="K45">
        <v>1</v>
      </c>
      <c r="U45" s="8">
        <f t="shared" si="1"/>
        <v>1</v>
      </c>
      <c r="AD45" t="str">
        <f t="shared" si="0"/>
        <v>e</v>
      </c>
      <c r="AE45" t="str">
        <f t="shared" si="7"/>
        <v>Save</v>
      </c>
      <c r="AF45" t="str">
        <f t="shared" si="3"/>
        <v>Save_Rebound</v>
      </c>
      <c r="AG45" t="str">
        <f t="shared" si="4"/>
        <v>Save-Chest</v>
      </c>
      <c r="AN45" t="str">
        <f t="shared" si="11"/>
        <v>Defensive</v>
      </c>
      <c r="BD45" s="23"/>
      <c r="BF45" s="21"/>
    </row>
    <row r="46" spans="1:58" x14ac:dyDescent="0.2">
      <c r="A46">
        <v>16</v>
      </c>
      <c r="B46">
        <v>2</v>
      </c>
      <c r="J46">
        <v>92</v>
      </c>
      <c r="T46">
        <v>1</v>
      </c>
      <c r="U46" s="8">
        <f t="shared" si="1"/>
        <v>1</v>
      </c>
      <c r="AD46" t="str">
        <f t="shared" si="0"/>
        <v>o</v>
      </c>
      <c r="AE46" t="str">
        <f t="shared" si="7"/>
        <v>Save</v>
      </c>
      <c r="AF46" t="str">
        <f t="shared" si="3"/>
        <v>Save_Rebound</v>
      </c>
      <c r="AG46" t="str">
        <f t="shared" si="4"/>
        <v>Save-Chest</v>
      </c>
      <c r="AN46" t="str">
        <f t="shared" si="11"/>
        <v>Offensive</v>
      </c>
      <c r="BD46" s="23"/>
      <c r="BF46" s="21"/>
    </row>
    <row r="47" spans="1:58" x14ac:dyDescent="0.2">
      <c r="A47">
        <v>16</v>
      </c>
      <c r="B47">
        <v>2</v>
      </c>
      <c r="J47">
        <v>46</v>
      </c>
      <c r="Q47" t="s">
        <v>779</v>
      </c>
      <c r="U47" s="8">
        <f t="shared" si="1"/>
        <v>1</v>
      </c>
      <c r="AD47" t="str">
        <f t="shared" si="0"/>
        <v>o</v>
      </c>
      <c r="AE47" t="str">
        <f t="shared" si="7"/>
        <v>Save</v>
      </c>
      <c r="AF47" t="str">
        <f t="shared" si="3"/>
        <v>Save_Rebound</v>
      </c>
      <c r="AG47" t="str">
        <f t="shared" si="4"/>
        <v>Save-Chest</v>
      </c>
      <c r="AN47" t="str">
        <f t="shared" si="11"/>
        <v>Offensive</v>
      </c>
      <c r="BD47" s="23"/>
      <c r="BF47" s="21"/>
    </row>
    <row r="48" spans="1:58" x14ac:dyDescent="0.2">
      <c r="A48">
        <v>17</v>
      </c>
      <c r="B48">
        <v>2</v>
      </c>
      <c r="E48" s="5" t="s">
        <v>836</v>
      </c>
      <c r="F48" s="5" t="s">
        <v>856</v>
      </c>
      <c r="I48" t="s">
        <v>835</v>
      </c>
      <c r="J48">
        <v>39</v>
      </c>
      <c r="K48">
        <v>1</v>
      </c>
      <c r="L48" t="s">
        <v>845</v>
      </c>
      <c r="M48" t="s">
        <v>250</v>
      </c>
      <c r="N48" t="s">
        <v>253</v>
      </c>
      <c r="U48" s="8">
        <f t="shared" si="1"/>
        <v>1</v>
      </c>
      <c r="AD48" t="str">
        <f t="shared" si="0"/>
        <v>e</v>
      </c>
      <c r="AE48" t="str">
        <f t="shared" si="7"/>
        <v>Rebound</v>
      </c>
      <c r="AF48" t="str">
        <f t="shared" si="3"/>
        <v>Rebound_ShotGenerated</v>
      </c>
      <c r="AG48" t="str">
        <f t="shared" si="4"/>
        <v/>
      </c>
      <c r="AN48" t="str">
        <f t="shared" si="11"/>
        <v>Offensive</v>
      </c>
      <c r="BD48" s="23"/>
      <c r="BF48" s="21"/>
    </row>
    <row r="49" spans="1:58" x14ac:dyDescent="0.2">
      <c r="A49">
        <v>18</v>
      </c>
      <c r="B49">
        <v>3</v>
      </c>
      <c r="E49" s="5" t="s">
        <v>836</v>
      </c>
      <c r="F49" s="5" t="s">
        <v>857</v>
      </c>
      <c r="I49" t="s">
        <v>840</v>
      </c>
      <c r="J49">
        <v>46</v>
      </c>
      <c r="K49">
        <v>1</v>
      </c>
      <c r="L49" t="s">
        <v>401</v>
      </c>
      <c r="M49" t="s">
        <v>7</v>
      </c>
      <c r="N49" t="s">
        <v>208</v>
      </c>
      <c r="O49" t="s">
        <v>53</v>
      </c>
      <c r="P49" t="s">
        <v>688</v>
      </c>
      <c r="T49">
        <v>1</v>
      </c>
      <c r="U49" s="8">
        <f t="shared" si="1"/>
        <v>1</v>
      </c>
      <c r="AD49" t="str">
        <f t="shared" si="0"/>
        <v>e</v>
      </c>
      <c r="AE49" t="str">
        <f t="shared" si="7"/>
        <v>Shot</v>
      </c>
      <c r="AF49" t="str">
        <f t="shared" si="3"/>
        <v>Shot_Blocked</v>
      </c>
      <c r="AG49" t="str">
        <f t="shared" si="4"/>
        <v>Shot-Wrist</v>
      </c>
      <c r="AN49" t="str">
        <f t="shared" si="11"/>
        <v>Offensive</v>
      </c>
      <c r="BD49" s="23"/>
      <c r="BF49" s="21"/>
    </row>
    <row r="50" spans="1:58" x14ac:dyDescent="0.2">
      <c r="A50">
        <v>18</v>
      </c>
      <c r="B50">
        <v>3</v>
      </c>
      <c r="J50">
        <v>52</v>
      </c>
      <c r="Q50" t="s">
        <v>665</v>
      </c>
      <c r="S50" t="s">
        <v>689</v>
      </c>
      <c r="T50">
        <v>1</v>
      </c>
      <c r="U50" s="8">
        <f t="shared" si="1"/>
        <v>1</v>
      </c>
      <c r="AD50" t="str">
        <f t="shared" si="0"/>
        <v>o</v>
      </c>
      <c r="AE50" t="str">
        <f t="shared" si="7"/>
        <v>Shot</v>
      </c>
      <c r="AF50" t="str">
        <f t="shared" si="3"/>
        <v>Shot_Blocked</v>
      </c>
      <c r="AG50" t="str">
        <f t="shared" si="4"/>
        <v>Shot-Wrist</v>
      </c>
      <c r="AN50" t="str">
        <f t="shared" si="11"/>
        <v>Defensive</v>
      </c>
      <c r="BD50" s="23"/>
      <c r="BF50" s="21"/>
    </row>
    <row r="51" spans="1:58" x14ac:dyDescent="0.2">
      <c r="A51">
        <v>19</v>
      </c>
      <c r="B51">
        <v>3</v>
      </c>
      <c r="E51" s="5" t="s">
        <v>836</v>
      </c>
      <c r="F51" s="5" t="s">
        <v>857</v>
      </c>
      <c r="I51" t="s">
        <v>840</v>
      </c>
      <c r="J51">
        <v>46</v>
      </c>
      <c r="K51">
        <v>1</v>
      </c>
      <c r="L51" t="s">
        <v>401</v>
      </c>
      <c r="M51" t="s">
        <v>10</v>
      </c>
      <c r="N51" t="s">
        <v>190</v>
      </c>
      <c r="O51" t="s">
        <v>78</v>
      </c>
      <c r="P51" t="s">
        <v>688</v>
      </c>
      <c r="T51">
        <v>1</v>
      </c>
      <c r="U51" s="8">
        <f t="shared" si="1"/>
        <v>1</v>
      </c>
      <c r="AD51" t="str">
        <f t="shared" si="0"/>
        <v>e</v>
      </c>
      <c r="AE51" t="str">
        <f t="shared" si="7"/>
        <v>Turnover</v>
      </c>
      <c r="AF51" t="str">
        <f t="shared" si="3"/>
        <v>Turnover_Giveaway</v>
      </c>
      <c r="AG51" t="str">
        <f t="shared" si="4"/>
        <v>Giveaway-ShotBlocked</v>
      </c>
      <c r="AN51" t="str">
        <f t="shared" si="11"/>
        <v>Offensive</v>
      </c>
      <c r="BD51" s="23"/>
      <c r="BF51" s="21"/>
    </row>
    <row r="52" spans="1:58" x14ac:dyDescent="0.2">
      <c r="A52">
        <v>19</v>
      </c>
      <c r="B52">
        <v>3</v>
      </c>
      <c r="J52">
        <v>52</v>
      </c>
      <c r="Q52" t="s">
        <v>665</v>
      </c>
      <c r="S52" t="s">
        <v>689</v>
      </c>
      <c r="T52">
        <v>1</v>
      </c>
      <c r="U52" s="8">
        <f t="shared" si="1"/>
        <v>1</v>
      </c>
      <c r="AD52" t="str">
        <f t="shared" si="0"/>
        <v>o</v>
      </c>
      <c r="AE52" t="str">
        <f t="shared" si="7"/>
        <v>Turnover</v>
      </c>
      <c r="AF52" t="str">
        <f t="shared" si="3"/>
        <v>Turnover_Giveaway</v>
      </c>
      <c r="AG52" t="str">
        <f t="shared" si="4"/>
        <v>Giveaway-ShotBlocked</v>
      </c>
      <c r="AN52" t="str">
        <f t="shared" si="11"/>
        <v>Defensive</v>
      </c>
      <c r="BD52" s="23"/>
      <c r="BF52" s="21"/>
    </row>
    <row r="53" spans="1:58" x14ac:dyDescent="0.2">
      <c r="A53">
        <v>20</v>
      </c>
      <c r="E53" s="5" t="s">
        <v>836</v>
      </c>
      <c r="F53" s="5" t="s">
        <v>858</v>
      </c>
      <c r="G53" s="5" t="s">
        <v>836</v>
      </c>
      <c r="H53" s="7" t="s">
        <v>859</v>
      </c>
      <c r="I53" t="s">
        <v>835</v>
      </c>
      <c r="J53">
        <v>70</v>
      </c>
      <c r="K53">
        <v>1</v>
      </c>
      <c r="L53" t="s">
        <v>845</v>
      </c>
      <c r="M53" t="s">
        <v>15</v>
      </c>
      <c r="N53" t="s">
        <v>680</v>
      </c>
      <c r="P53" t="s">
        <v>688</v>
      </c>
      <c r="Q53" t="s">
        <v>666</v>
      </c>
      <c r="S53" t="s">
        <v>688</v>
      </c>
      <c r="U53" s="8">
        <f t="shared" si="1"/>
        <v>1</v>
      </c>
      <c r="AD53" t="str">
        <f t="shared" si="0"/>
        <v>e</v>
      </c>
      <c r="AE53" t="str">
        <f t="shared" si="7"/>
        <v>Possession</v>
      </c>
      <c r="AF53" t="str">
        <f t="shared" si="3"/>
        <v>PuckRetrieval</v>
      </c>
      <c r="AG53" t="str">
        <f t="shared" si="4"/>
        <v/>
      </c>
      <c r="AN53" t="str">
        <f t="shared" si="11"/>
        <v>Offensive</v>
      </c>
      <c r="BD53" s="23"/>
      <c r="BF53" s="21"/>
    </row>
    <row r="54" spans="1:58" x14ac:dyDescent="0.2">
      <c r="A54">
        <v>21</v>
      </c>
      <c r="B54">
        <v>4</v>
      </c>
      <c r="E54" s="5" t="s">
        <v>836</v>
      </c>
      <c r="F54" s="5" t="s">
        <v>860</v>
      </c>
      <c r="I54" t="s">
        <v>835</v>
      </c>
      <c r="J54">
        <v>70</v>
      </c>
      <c r="K54">
        <v>1</v>
      </c>
      <c r="L54" t="s">
        <v>845</v>
      </c>
      <c r="M54" t="s">
        <v>8</v>
      </c>
      <c r="N54" t="s">
        <v>199</v>
      </c>
      <c r="O54" t="s">
        <v>70</v>
      </c>
      <c r="P54" t="s">
        <v>688</v>
      </c>
      <c r="Q54" t="s">
        <v>706</v>
      </c>
      <c r="S54" t="s">
        <v>688</v>
      </c>
      <c r="T54">
        <v>1</v>
      </c>
      <c r="U54" s="8">
        <f t="shared" si="1"/>
        <v>1</v>
      </c>
      <c r="AD54" t="str">
        <f t="shared" si="0"/>
        <v>e</v>
      </c>
      <c r="AE54" t="str">
        <f t="shared" si="7"/>
        <v>Pass</v>
      </c>
      <c r="AF54" t="str">
        <f t="shared" si="3"/>
        <v>Pass_Missed</v>
      </c>
      <c r="AG54" t="str">
        <f t="shared" si="4"/>
        <v>Pass-Forehand</v>
      </c>
      <c r="AN54" t="str">
        <f t="shared" si="11"/>
        <v>Offensive</v>
      </c>
      <c r="BD54" s="23"/>
      <c r="BF54" s="21"/>
    </row>
    <row r="55" spans="1:58" x14ac:dyDescent="0.2">
      <c r="A55">
        <v>21</v>
      </c>
      <c r="B55">
        <v>4</v>
      </c>
      <c r="J55">
        <v>14</v>
      </c>
      <c r="K55">
        <v>1</v>
      </c>
      <c r="U55" s="8">
        <f t="shared" si="1"/>
        <v>1</v>
      </c>
      <c r="AD55" t="str">
        <f t="shared" si="0"/>
        <v>e</v>
      </c>
      <c r="AE55" t="str">
        <f t="shared" si="7"/>
        <v>Pass</v>
      </c>
      <c r="AF55" t="str">
        <f t="shared" si="3"/>
        <v>Pass_Missed</v>
      </c>
      <c r="AG55" t="str">
        <f t="shared" si="4"/>
        <v>Pass-Forehand</v>
      </c>
      <c r="AN55" t="str">
        <f t="shared" si="11"/>
        <v>Offensive</v>
      </c>
      <c r="BD55" s="23"/>
      <c r="BF55" s="21"/>
    </row>
    <row r="56" spans="1:58" x14ac:dyDescent="0.2">
      <c r="A56">
        <v>21</v>
      </c>
      <c r="B56">
        <v>4</v>
      </c>
      <c r="J56">
        <v>92</v>
      </c>
      <c r="T56">
        <v>1</v>
      </c>
      <c r="U56" s="8">
        <f t="shared" si="1"/>
        <v>1</v>
      </c>
      <c r="AD56" t="str">
        <f t="shared" si="0"/>
        <v>o</v>
      </c>
      <c r="AE56" t="str">
        <f t="shared" si="7"/>
        <v>Pass</v>
      </c>
      <c r="AF56" t="str">
        <f t="shared" si="3"/>
        <v>Pass_Missed</v>
      </c>
      <c r="AG56" t="str">
        <f t="shared" si="4"/>
        <v>Pass-Forehand</v>
      </c>
      <c r="AN56" t="str">
        <f t="shared" si="11"/>
        <v>Defensive</v>
      </c>
      <c r="BD56" s="23"/>
      <c r="BF56" s="21"/>
    </row>
    <row r="57" spans="1:58" x14ac:dyDescent="0.2">
      <c r="A57">
        <v>22</v>
      </c>
      <c r="B57">
        <v>4</v>
      </c>
      <c r="E57" s="5" t="s">
        <v>836</v>
      </c>
      <c r="F57" s="5" t="s">
        <v>860</v>
      </c>
      <c r="I57" t="s">
        <v>835</v>
      </c>
      <c r="J57">
        <v>70</v>
      </c>
      <c r="K57">
        <v>1</v>
      </c>
      <c r="L57" t="s">
        <v>845</v>
      </c>
      <c r="M57" t="s">
        <v>257</v>
      </c>
      <c r="N57" t="s">
        <v>201</v>
      </c>
      <c r="O57" t="s">
        <v>409</v>
      </c>
      <c r="P57" t="s">
        <v>688</v>
      </c>
      <c r="Q57" t="s">
        <v>706</v>
      </c>
      <c r="S57" t="s">
        <v>688</v>
      </c>
      <c r="T57">
        <v>1</v>
      </c>
      <c r="U57" s="8">
        <f t="shared" si="1"/>
        <v>1</v>
      </c>
      <c r="AD57" t="str">
        <f t="shared" si="0"/>
        <v>e</v>
      </c>
      <c r="AE57" t="str">
        <f t="shared" si="7"/>
        <v>Zone_Entry_Exit</v>
      </c>
      <c r="AF57" t="str">
        <f t="shared" si="3"/>
        <v>Zone_Exit</v>
      </c>
      <c r="AG57" t="str">
        <f t="shared" si="4"/>
        <v>ZoneExit-PassMiss/Misplay</v>
      </c>
      <c r="AN57" t="str">
        <f t="shared" si="11"/>
        <v>Offensive</v>
      </c>
      <c r="BD57" s="23"/>
      <c r="BF57" s="21"/>
    </row>
    <row r="58" spans="1:58" x14ac:dyDescent="0.2">
      <c r="A58">
        <v>22</v>
      </c>
      <c r="B58">
        <v>4</v>
      </c>
      <c r="J58">
        <v>14</v>
      </c>
      <c r="K58">
        <v>1</v>
      </c>
      <c r="U58" s="8">
        <f t="shared" si="1"/>
        <v>1</v>
      </c>
      <c r="AD58" t="str">
        <f t="shared" si="0"/>
        <v>e</v>
      </c>
      <c r="AE58" t="str">
        <f t="shared" si="7"/>
        <v>Zone_Entry_Exit</v>
      </c>
      <c r="AF58" t="str">
        <f t="shared" si="3"/>
        <v>Zone_Exit</v>
      </c>
      <c r="AG58" t="str">
        <f t="shared" si="4"/>
        <v>ZoneExit-PassMiss/Misplay</v>
      </c>
      <c r="AN58" t="str">
        <f t="shared" si="11"/>
        <v>Offensive</v>
      </c>
      <c r="BD58" s="23"/>
      <c r="BF58" s="21"/>
    </row>
    <row r="59" spans="1:58" x14ac:dyDescent="0.2">
      <c r="A59">
        <v>22</v>
      </c>
      <c r="B59">
        <v>4</v>
      </c>
      <c r="J59">
        <v>7</v>
      </c>
      <c r="Q59" t="s">
        <v>821</v>
      </c>
      <c r="S59" t="s">
        <v>688</v>
      </c>
      <c r="T59">
        <v>1</v>
      </c>
      <c r="U59" s="8">
        <f t="shared" si="1"/>
        <v>1</v>
      </c>
      <c r="AD59" t="str">
        <f t="shared" si="0"/>
        <v>o</v>
      </c>
      <c r="AE59" t="str">
        <f t="shared" si="7"/>
        <v>Zone_Entry_Exit</v>
      </c>
      <c r="AF59" t="str">
        <f t="shared" si="3"/>
        <v>Zone_Exit</v>
      </c>
      <c r="AG59" t="str">
        <f t="shared" si="4"/>
        <v>ZoneExit-PassMiss/Misplay</v>
      </c>
      <c r="AN59" t="str">
        <f t="shared" si="11"/>
        <v>Defensive</v>
      </c>
      <c r="BD59" s="23"/>
      <c r="BF59" s="21"/>
    </row>
    <row r="60" spans="1:58" x14ac:dyDescent="0.2">
      <c r="A60">
        <v>23</v>
      </c>
      <c r="B60">
        <v>5</v>
      </c>
      <c r="E60" s="5" t="s">
        <v>836</v>
      </c>
      <c r="F60" s="5" t="s">
        <v>860</v>
      </c>
      <c r="I60" t="s">
        <v>835</v>
      </c>
      <c r="J60">
        <v>70</v>
      </c>
      <c r="K60">
        <v>1</v>
      </c>
      <c r="L60" t="s">
        <v>845</v>
      </c>
      <c r="M60" t="s">
        <v>10</v>
      </c>
      <c r="N60" t="s">
        <v>190</v>
      </c>
      <c r="O60" t="s">
        <v>76</v>
      </c>
      <c r="P60" t="s">
        <v>688</v>
      </c>
      <c r="Q60" t="s">
        <v>706</v>
      </c>
      <c r="S60" t="s">
        <v>688</v>
      </c>
      <c r="T60">
        <v>1</v>
      </c>
      <c r="U60" s="8">
        <f t="shared" si="1"/>
        <v>1</v>
      </c>
      <c r="AD60" t="str">
        <f t="shared" si="0"/>
        <v>e</v>
      </c>
      <c r="AE60" t="str">
        <f t="shared" si="7"/>
        <v>Turnover</v>
      </c>
      <c r="AF60" t="str">
        <f t="shared" si="3"/>
        <v>Turnover_Giveaway</v>
      </c>
      <c r="AG60" t="str">
        <f t="shared" si="4"/>
        <v>Giveaway-PassMissed</v>
      </c>
      <c r="AN60" t="str">
        <f t="shared" si="11"/>
        <v>Offensive</v>
      </c>
      <c r="BD60" s="23"/>
      <c r="BF60" s="21"/>
    </row>
    <row r="61" spans="1:58" x14ac:dyDescent="0.2">
      <c r="A61">
        <v>23</v>
      </c>
      <c r="B61">
        <v>5</v>
      </c>
      <c r="J61">
        <v>14</v>
      </c>
      <c r="K61">
        <v>1</v>
      </c>
      <c r="U61" s="8">
        <f t="shared" si="1"/>
        <v>1</v>
      </c>
      <c r="AD61" t="str">
        <f t="shared" si="0"/>
        <v>e</v>
      </c>
      <c r="AE61" t="str">
        <f t="shared" si="7"/>
        <v>Turnover</v>
      </c>
      <c r="AF61" t="str">
        <f t="shared" si="3"/>
        <v>Turnover_Giveaway</v>
      </c>
      <c r="AG61" t="str">
        <f t="shared" si="4"/>
        <v>Giveaway-PassMissed</v>
      </c>
      <c r="AN61" t="str">
        <f t="shared" si="11"/>
        <v>Offensive</v>
      </c>
      <c r="BD61" s="23"/>
      <c r="BF61" s="21"/>
    </row>
    <row r="62" spans="1:58" x14ac:dyDescent="0.2">
      <c r="A62">
        <v>23</v>
      </c>
      <c r="B62">
        <v>5</v>
      </c>
      <c r="J62">
        <v>92</v>
      </c>
      <c r="T62">
        <v>1</v>
      </c>
      <c r="U62" s="8">
        <f t="shared" si="1"/>
        <v>1</v>
      </c>
      <c r="AD62" t="str">
        <f t="shared" si="0"/>
        <v>o</v>
      </c>
      <c r="AE62" t="str">
        <f t="shared" si="7"/>
        <v>Turnover</v>
      </c>
      <c r="AF62" t="str">
        <f t="shared" si="3"/>
        <v>Turnover_Giveaway</v>
      </c>
      <c r="AG62" t="str">
        <f t="shared" si="4"/>
        <v>Giveaway-PassMissed</v>
      </c>
      <c r="AN62" t="str">
        <f t="shared" si="11"/>
        <v>Defensive</v>
      </c>
      <c r="BD62" s="23"/>
      <c r="BF62" s="21"/>
    </row>
    <row r="63" spans="1:58" x14ac:dyDescent="0.2">
      <c r="A63">
        <v>24</v>
      </c>
      <c r="E63" s="5" t="s">
        <v>836</v>
      </c>
      <c r="F63" s="5" t="s">
        <v>860</v>
      </c>
      <c r="G63" s="5" t="s">
        <v>836</v>
      </c>
      <c r="H63" s="7" t="s">
        <v>862</v>
      </c>
      <c r="I63" t="s">
        <v>840</v>
      </c>
      <c r="J63">
        <v>7</v>
      </c>
      <c r="K63">
        <v>1</v>
      </c>
      <c r="L63" t="s">
        <v>839</v>
      </c>
      <c r="M63" t="s">
        <v>15</v>
      </c>
      <c r="N63" t="s">
        <v>680</v>
      </c>
      <c r="P63" t="s">
        <v>689</v>
      </c>
      <c r="Q63" t="s">
        <v>694</v>
      </c>
      <c r="S63" t="s">
        <v>689</v>
      </c>
      <c r="U63" s="8">
        <f t="shared" si="1"/>
        <v>1</v>
      </c>
      <c r="AD63" t="str">
        <f t="shared" si="0"/>
        <v>e</v>
      </c>
      <c r="AE63" t="str">
        <f t="shared" si="7"/>
        <v>Possession</v>
      </c>
      <c r="AF63" t="str">
        <f t="shared" si="3"/>
        <v>PuckRetrieval</v>
      </c>
      <c r="AG63" t="str">
        <f t="shared" si="4"/>
        <v/>
      </c>
      <c r="AN63" t="str">
        <f t="shared" si="11"/>
        <v>Offensive</v>
      </c>
      <c r="BD63" s="23"/>
      <c r="BF63" s="21"/>
    </row>
    <row r="64" spans="1:58" x14ac:dyDescent="0.2">
      <c r="A64">
        <v>25</v>
      </c>
      <c r="E64" s="5" t="s">
        <v>836</v>
      </c>
      <c r="F64" s="5" t="s">
        <v>862</v>
      </c>
      <c r="I64" t="s">
        <v>840</v>
      </c>
      <c r="J64">
        <v>7</v>
      </c>
      <c r="K64">
        <v>1</v>
      </c>
      <c r="L64" t="s">
        <v>839</v>
      </c>
      <c r="M64" t="s">
        <v>8</v>
      </c>
      <c r="N64" t="s">
        <v>189</v>
      </c>
      <c r="O64" t="s">
        <v>70</v>
      </c>
      <c r="P64" t="s">
        <v>689</v>
      </c>
      <c r="U64" s="8">
        <f t="shared" si="1"/>
        <v>1</v>
      </c>
      <c r="AD64" t="str">
        <f t="shared" si="0"/>
        <v>e</v>
      </c>
      <c r="AE64" t="str">
        <f t="shared" si="7"/>
        <v>Pass</v>
      </c>
      <c r="AF64" t="str">
        <f t="shared" si="3"/>
        <v>Pass_Completed</v>
      </c>
      <c r="AG64" t="str">
        <f t="shared" si="4"/>
        <v>Pass-Forehand</v>
      </c>
      <c r="AN64" t="str">
        <f t="shared" si="11"/>
        <v>Offensive</v>
      </c>
      <c r="BD64" s="23"/>
      <c r="BF64" s="21"/>
    </row>
    <row r="65" spans="1:58" x14ac:dyDescent="0.2">
      <c r="A65">
        <v>25</v>
      </c>
      <c r="J65">
        <v>83</v>
      </c>
      <c r="K65">
        <v>1</v>
      </c>
      <c r="U65" s="8">
        <f t="shared" si="1"/>
        <v>1</v>
      </c>
      <c r="AD65" t="str">
        <f t="shared" si="0"/>
        <v>e</v>
      </c>
      <c r="AE65" t="str">
        <f t="shared" si="7"/>
        <v>Pass</v>
      </c>
      <c r="AF65" t="str">
        <f t="shared" si="3"/>
        <v>Pass_Completed</v>
      </c>
      <c r="AG65" t="str">
        <f t="shared" si="4"/>
        <v>Pass-Forehand</v>
      </c>
      <c r="AN65" t="str">
        <f t="shared" si="11"/>
        <v>Offensive</v>
      </c>
      <c r="BD65" s="23"/>
      <c r="BF65" s="21"/>
    </row>
    <row r="66" spans="1:58" x14ac:dyDescent="0.2">
      <c r="A66">
        <v>26</v>
      </c>
      <c r="B66">
        <v>6</v>
      </c>
      <c r="E66" s="5" t="s">
        <v>836</v>
      </c>
      <c r="F66" s="5" t="s">
        <v>863</v>
      </c>
      <c r="I66" t="s">
        <v>840</v>
      </c>
      <c r="J66">
        <v>83</v>
      </c>
      <c r="K66">
        <v>1</v>
      </c>
      <c r="L66" t="s">
        <v>839</v>
      </c>
      <c r="M66" t="s">
        <v>8</v>
      </c>
      <c r="N66" t="s">
        <v>189</v>
      </c>
      <c r="O66" t="s">
        <v>70</v>
      </c>
      <c r="P66" t="s">
        <v>689</v>
      </c>
      <c r="U66" s="8">
        <f t="shared" si="1"/>
        <v>1</v>
      </c>
      <c r="AD66" t="str">
        <f t="shared" ref="AD66:AD129" si="14">IF(K66="x","",IF(K66=1,"e","o"))</f>
        <v>e</v>
      </c>
      <c r="AE66" t="str">
        <f t="shared" si="7"/>
        <v>Pass</v>
      </c>
      <c r="AF66" t="str">
        <f t="shared" si="3"/>
        <v>Pass_Completed</v>
      </c>
      <c r="AG66" t="str">
        <f t="shared" si="4"/>
        <v>Pass-Forehand</v>
      </c>
      <c r="AN66" t="str">
        <f t="shared" si="11"/>
        <v>Offensive</v>
      </c>
      <c r="BD66" s="23"/>
      <c r="BF66" s="21"/>
    </row>
    <row r="67" spans="1:58" x14ac:dyDescent="0.2">
      <c r="A67">
        <v>26</v>
      </c>
      <c r="B67">
        <v>6</v>
      </c>
      <c r="J67">
        <v>46</v>
      </c>
      <c r="K67">
        <v>1</v>
      </c>
      <c r="U67" s="8">
        <f t="shared" ref="U67:U130" si="15">IF(M67="Intermission",U66+1,U66)</f>
        <v>1</v>
      </c>
      <c r="AD67" t="str">
        <f t="shared" si="14"/>
        <v>e</v>
      </c>
      <c r="AE67" t="str">
        <f t="shared" si="7"/>
        <v>Pass</v>
      </c>
      <c r="AF67" t="str">
        <f t="shared" ref="AF67:AF130" si="16">IF(N67&lt;&gt;"",N67,IF($A67=$A66,AF66,""))</f>
        <v>Pass_Completed</v>
      </c>
      <c r="AG67" t="str">
        <f t="shared" ref="AG67:AG130" si="17">IF(O67&lt;&gt;"",O67,IF($A67=$A66,AG66,""))</f>
        <v>Pass-Forehand</v>
      </c>
      <c r="AN67" t="str">
        <f t="shared" si="11"/>
        <v>Offensive</v>
      </c>
      <c r="BD67" s="23"/>
      <c r="BF67" s="21"/>
    </row>
    <row r="68" spans="1:58" x14ac:dyDescent="0.2">
      <c r="A68">
        <v>27</v>
      </c>
      <c r="B68">
        <v>6</v>
      </c>
      <c r="E68" s="5" t="s">
        <v>836</v>
      </c>
      <c r="F68" s="5" t="s">
        <v>864</v>
      </c>
      <c r="G68" s="5" t="s">
        <v>836</v>
      </c>
      <c r="H68" s="7" t="s">
        <v>865</v>
      </c>
      <c r="I68" t="s">
        <v>840</v>
      </c>
      <c r="J68">
        <v>83</v>
      </c>
      <c r="K68">
        <v>1</v>
      </c>
      <c r="L68" t="s">
        <v>839</v>
      </c>
      <c r="M68" t="s">
        <v>257</v>
      </c>
      <c r="N68" t="s">
        <v>191</v>
      </c>
      <c r="O68" t="s">
        <v>88</v>
      </c>
      <c r="P68" t="s">
        <v>688</v>
      </c>
      <c r="U68" s="8">
        <f t="shared" si="15"/>
        <v>1</v>
      </c>
      <c r="AD68" t="str">
        <f t="shared" si="14"/>
        <v>e</v>
      </c>
      <c r="AE68" t="str">
        <f t="shared" ref="AE68:AE131" si="18">IF(M68&lt;&gt;"",M68,IF($A68=$A67,AE67,""))</f>
        <v>Zone_Entry_Exit</v>
      </c>
      <c r="AF68" t="str">
        <f t="shared" si="16"/>
        <v>Zone_Entry</v>
      </c>
      <c r="AG68" t="str">
        <f t="shared" si="17"/>
        <v>ZoneEntry-Pass</v>
      </c>
      <c r="AN68" t="str">
        <f t="shared" si="11"/>
        <v>Offensive</v>
      </c>
      <c r="BD68" s="23"/>
      <c r="BF68" s="21"/>
    </row>
    <row r="69" spans="1:58" x14ac:dyDescent="0.2">
      <c r="A69">
        <v>27</v>
      </c>
      <c r="B69">
        <v>6</v>
      </c>
      <c r="J69">
        <v>46</v>
      </c>
      <c r="K69">
        <v>1</v>
      </c>
      <c r="U69" s="8">
        <f t="shared" si="15"/>
        <v>1</v>
      </c>
      <c r="AD69" t="str">
        <f t="shared" si="14"/>
        <v>e</v>
      </c>
      <c r="AE69" t="str">
        <f t="shared" si="18"/>
        <v>Zone_Entry_Exit</v>
      </c>
      <c r="AF69" t="str">
        <f t="shared" si="16"/>
        <v>Zone_Entry</v>
      </c>
      <c r="AG69" t="str">
        <f t="shared" si="17"/>
        <v>ZoneEntry-Pass</v>
      </c>
      <c r="AN69" t="str">
        <f t="shared" si="11"/>
        <v>Offensive</v>
      </c>
      <c r="BD69" s="23"/>
      <c r="BF69" s="21"/>
    </row>
    <row r="70" spans="1:58" x14ac:dyDescent="0.2">
      <c r="A70">
        <v>28</v>
      </c>
      <c r="E70" s="5" t="s">
        <v>836</v>
      </c>
      <c r="F70" s="5" t="s">
        <v>865</v>
      </c>
      <c r="I70" t="s">
        <v>835</v>
      </c>
      <c r="J70">
        <v>91</v>
      </c>
      <c r="K70">
        <v>1</v>
      </c>
      <c r="L70" t="s">
        <v>845</v>
      </c>
      <c r="M70" t="s">
        <v>10</v>
      </c>
      <c r="N70" t="s">
        <v>200</v>
      </c>
      <c r="O70" t="s">
        <v>82</v>
      </c>
      <c r="P70" t="s">
        <v>689</v>
      </c>
      <c r="Q70" t="s">
        <v>695</v>
      </c>
      <c r="R70" t="s">
        <v>775</v>
      </c>
      <c r="S70" t="s">
        <v>689</v>
      </c>
      <c r="T70">
        <v>1</v>
      </c>
      <c r="U70" s="8">
        <f t="shared" si="15"/>
        <v>1</v>
      </c>
      <c r="AD70" t="str">
        <f t="shared" si="14"/>
        <v>e</v>
      </c>
      <c r="AE70" t="str">
        <f t="shared" si="18"/>
        <v>Turnover</v>
      </c>
      <c r="AF70" t="str">
        <f t="shared" si="16"/>
        <v>Turnover_Takeaway</v>
      </c>
      <c r="AG70" t="str">
        <f t="shared" si="17"/>
        <v>Takeaway-PokeCheck</v>
      </c>
      <c r="AN70" t="str">
        <f t="shared" si="11"/>
        <v>Defensive</v>
      </c>
      <c r="BD70" s="23"/>
      <c r="BF70" s="21"/>
    </row>
    <row r="71" spans="1:58" x14ac:dyDescent="0.2">
      <c r="A71">
        <v>28</v>
      </c>
      <c r="J71">
        <v>46</v>
      </c>
      <c r="Q71" t="s">
        <v>709</v>
      </c>
      <c r="S71" t="s">
        <v>688</v>
      </c>
      <c r="T71">
        <v>1</v>
      </c>
      <c r="U71" s="8">
        <f t="shared" si="15"/>
        <v>1</v>
      </c>
      <c r="AD71" t="str">
        <f t="shared" si="14"/>
        <v>o</v>
      </c>
      <c r="AE71" t="str">
        <f t="shared" si="18"/>
        <v>Turnover</v>
      </c>
      <c r="AF71" t="str">
        <f t="shared" si="16"/>
        <v>Turnover_Takeaway</v>
      </c>
      <c r="AG71" t="str">
        <f t="shared" si="17"/>
        <v>Takeaway-PokeCheck</v>
      </c>
      <c r="AN71" t="str">
        <f t="shared" si="11"/>
        <v>Offensive</v>
      </c>
      <c r="BD71" s="23"/>
      <c r="BF71" s="21"/>
    </row>
    <row r="72" spans="1:58" x14ac:dyDescent="0.2">
      <c r="A72">
        <v>29</v>
      </c>
      <c r="E72" s="5" t="s">
        <v>836</v>
      </c>
      <c r="F72" s="5" t="s">
        <v>866</v>
      </c>
      <c r="I72" t="s">
        <v>835</v>
      </c>
      <c r="J72">
        <v>75</v>
      </c>
      <c r="K72">
        <v>1</v>
      </c>
      <c r="L72" t="s">
        <v>845</v>
      </c>
      <c r="M72" t="s">
        <v>15</v>
      </c>
      <c r="N72" t="s">
        <v>680</v>
      </c>
      <c r="P72" t="s">
        <v>688</v>
      </c>
      <c r="Q72" t="s">
        <v>694</v>
      </c>
      <c r="S72" t="s">
        <v>688</v>
      </c>
      <c r="U72" s="8">
        <f t="shared" si="15"/>
        <v>1</v>
      </c>
      <c r="AD72" t="str">
        <f t="shared" si="14"/>
        <v>e</v>
      </c>
      <c r="AE72" t="str">
        <f t="shared" si="18"/>
        <v>Possession</v>
      </c>
      <c r="AF72" t="str">
        <f t="shared" si="16"/>
        <v>PuckRetrieval</v>
      </c>
      <c r="AG72" t="str">
        <f t="shared" si="17"/>
        <v/>
      </c>
      <c r="AN72" t="str">
        <f t="shared" si="11"/>
        <v>Offensive</v>
      </c>
      <c r="BD72" s="23"/>
      <c r="BF72" s="21"/>
    </row>
    <row r="73" spans="1:58" x14ac:dyDescent="0.2">
      <c r="A73">
        <v>30</v>
      </c>
      <c r="B73">
        <v>7</v>
      </c>
      <c r="E73" s="5" t="s">
        <v>836</v>
      </c>
      <c r="F73" s="5" t="s">
        <v>866</v>
      </c>
      <c r="I73" t="s">
        <v>835</v>
      </c>
      <c r="J73">
        <v>75</v>
      </c>
      <c r="K73">
        <v>1</v>
      </c>
      <c r="L73" t="s">
        <v>845</v>
      </c>
      <c r="M73" t="s">
        <v>8</v>
      </c>
      <c r="N73" t="s">
        <v>199</v>
      </c>
      <c r="O73" t="s">
        <v>70</v>
      </c>
      <c r="P73" t="s">
        <v>688</v>
      </c>
      <c r="Q73" t="s">
        <v>749</v>
      </c>
      <c r="R73" t="s">
        <v>706</v>
      </c>
      <c r="S73" t="s">
        <v>688</v>
      </c>
      <c r="U73" s="8">
        <f t="shared" si="15"/>
        <v>1</v>
      </c>
      <c r="AD73" t="str">
        <f t="shared" si="14"/>
        <v>e</v>
      </c>
      <c r="AE73" t="str">
        <f t="shared" si="18"/>
        <v>Pass</v>
      </c>
      <c r="AF73" t="str">
        <f t="shared" si="16"/>
        <v>Pass_Missed</v>
      </c>
      <c r="AG73" t="str">
        <f t="shared" si="17"/>
        <v>Pass-Forehand</v>
      </c>
      <c r="AN73" t="str">
        <f t="shared" ref="AN73:AN136" si="19">IF(AND(AD73="e",OR(AE73="Save",AF73="Turnover_Takeaway",AF73="Play_Defensive")),"Defensive",IF(AND(AD73="o",OR(AE73="Save",AF73="Turnover_Takeaway",AF73="Play_Defensive")),"Offensive",IF(OR(AE73="Deadice",AE73="Stoppage",AE73="Intermission"),"",IF(AD73="e","Offensive",IF(AD73="o","Defensive","")))))</f>
        <v>Offensive</v>
      </c>
      <c r="BD73" s="23"/>
      <c r="BF73" s="21"/>
    </row>
    <row r="74" spans="1:58" x14ac:dyDescent="0.2">
      <c r="A74">
        <v>30</v>
      </c>
      <c r="B74">
        <v>7</v>
      </c>
      <c r="J74">
        <v>14</v>
      </c>
      <c r="K74">
        <v>1</v>
      </c>
      <c r="U74" s="8">
        <f t="shared" si="15"/>
        <v>1</v>
      </c>
      <c r="AD74" t="str">
        <f t="shared" si="14"/>
        <v>e</v>
      </c>
      <c r="AE74" t="str">
        <f t="shared" si="18"/>
        <v>Pass</v>
      </c>
      <c r="AF74" t="str">
        <f t="shared" si="16"/>
        <v>Pass_Missed</v>
      </c>
      <c r="AG74" t="str">
        <f t="shared" si="17"/>
        <v>Pass-Forehand</v>
      </c>
      <c r="AN74" t="str">
        <f t="shared" si="19"/>
        <v>Offensive</v>
      </c>
      <c r="BD74" s="23"/>
      <c r="BF74" s="21"/>
    </row>
    <row r="75" spans="1:58" x14ac:dyDescent="0.2">
      <c r="A75">
        <v>31</v>
      </c>
      <c r="B75">
        <v>7</v>
      </c>
      <c r="E75" s="5" t="s">
        <v>836</v>
      </c>
      <c r="F75" s="5" t="s">
        <v>866</v>
      </c>
      <c r="I75" t="s">
        <v>835</v>
      </c>
      <c r="J75">
        <v>75</v>
      </c>
      <c r="K75">
        <v>1</v>
      </c>
      <c r="L75" t="s">
        <v>845</v>
      </c>
      <c r="M75" t="s">
        <v>257</v>
      </c>
      <c r="N75" t="s">
        <v>201</v>
      </c>
      <c r="O75" t="s">
        <v>409</v>
      </c>
      <c r="P75" t="s">
        <v>688</v>
      </c>
      <c r="Q75" t="s">
        <v>749</v>
      </c>
      <c r="R75" t="s">
        <v>706</v>
      </c>
      <c r="S75" t="s">
        <v>688</v>
      </c>
      <c r="U75" s="8">
        <f t="shared" si="15"/>
        <v>1</v>
      </c>
      <c r="AD75" t="str">
        <f t="shared" si="14"/>
        <v>e</v>
      </c>
      <c r="AE75" t="str">
        <f t="shared" si="18"/>
        <v>Zone_Entry_Exit</v>
      </c>
      <c r="AF75" t="str">
        <f t="shared" si="16"/>
        <v>Zone_Exit</v>
      </c>
      <c r="AG75" t="str">
        <f t="shared" si="17"/>
        <v>ZoneExit-PassMiss/Misplay</v>
      </c>
      <c r="AN75" t="str">
        <f t="shared" si="19"/>
        <v>Offensive</v>
      </c>
      <c r="BD75" s="23"/>
      <c r="BF75" s="21"/>
    </row>
    <row r="76" spans="1:58" x14ac:dyDescent="0.2">
      <c r="A76">
        <v>31</v>
      </c>
      <c r="B76">
        <v>7</v>
      </c>
      <c r="J76">
        <v>14</v>
      </c>
      <c r="K76">
        <v>1</v>
      </c>
      <c r="U76" s="8">
        <f t="shared" si="15"/>
        <v>1</v>
      </c>
      <c r="AD76" t="str">
        <f t="shared" si="14"/>
        <v>e</v>
      </c>
      <c r="AE76" t="str">
        <f t="shared" si="18"/>
        <v>Zone_Entry_Exit</v>
      </c>
      <c r="AF76" t="str">
        <f t="shared" si="16"/>
        <v>Zone_Exit</v>
      </c>
      <c r="AG76" t="str">
        <f t="shared" si="17"/>
        <v>ZoneExit-PassMiss/Misplay</v>
      </c>
      <c r="AN76" t="str">
        <f t="shared" si="19"/>
        <v>Offensive</v>
      </c>
      <c r="BD76" s="23"/>
      <c r="BF76" s="21"/>
    </row>
    <row r="77" spans="1:58" x14ac:dyDescent="0.2">
      <c r="A77">
        <v>32</v>
      </c>
      <c r="E77" s="5" t="s">
        <v>836</v>
      </c>
      <c r="F77" s="5" t="s">
        <v>867</v>
      </c>
      <c r="G77" s="5" t="s">
        <v>836</v>
      </c>
      <c r="H77" s="7" t="s">
        <v>868</v>
      </c>
      <c r="I77" t="s">
        <v>835</v>
      </c>
      <c r="J77">
        <v>14</v>
      </c>
      <c r="K77">
        <v>1</v>
      </c>
      <c r="L77" t="s">
        <v>839</v>
      </c>
      <c r="M77" t="s">
        <v>15</v>
      </c>
      <c r="N77" t="s">
        <v>681</v>
      </c>
      <c r="P77" t="s">
        <v>689</v>
      </c>
      <c r="Q77" t="s">
        <v>714</v>
      </c>
      <c r="S77" t="s">
        <v>689</v>
      </c>
      <c r="U77" s="8">
        <f t="shared" si="15"/>
        <v>1</v>
      </c>
      <c r="AD77" t="str">
        <f t="shared" si="14"/>
        <v>e</v>
      </c>
      <c r="AE77" t="str">
        <f t="shared" si="18"/>
        <v>Possession</v>
      </c>
      <c r="AF77" t="str">
        <f t="shared" si="16"/>
        <v>PuckRecovery</v>
      </c>
      <c r="AG77" t="str">
        <f t="shared" si="17"/>
        <v/>
      </c>
      <c r="AN77" t="str">
        <f t="shared" si="19"/>
        <v>Offensive</v>
      </c>
      <c r="BD77" s="23"/>
      <c r="BF77" s="21"/>
    </row>
    <row r="78" spans="1:58" x14ac:dyDescent="0.2">
      <c r="A78">
        <v>33</v>
      </c>
      <c r="B78">
        <v>8</v>
      </c>
      <c r="E78" s="5" t="s">
        <v>836</v>
      </c>
      <c r="F78" s="5" t="s">
        <v>868</v>
      </c>
      <c r="I78" t="s">
        <v>835</v>
      </c>
      <c r="J78">
        <v>14</v>
      </c>
      <c r="K78">
        <v>1</v>
      </c>
      <c r="L78" t="s">
        <v>839</v>
      </c>
      <c r="M78" t="s">
        <v>257</v>
      </c>
      <c r="N78" t="s">
        <v>191</v>
      </c>
      <c r="O78" t="s">
        <v>89</v>
      </c>
      <c r="P78" t="s">
        <v>688</v>
      </c>
      <c r="Q78" t="s">
        <v>697</v>
      </c>
      <c r="S78" t="s">
        <v>688</v>
      </c>
      <c r="U78" s="8">
        <f t="shared" si="15"/>
        <v>1</v>
      </c>
      <c r="AD78" t="str">
        <f t="shared" si="14"/>
        <v>e</v>
      </c>
      <c r="AE78" t="str">
        <f t="shared" si="18"/>
        <v>Zone_Entry_Exit</v>
      </c>
      <c r="AF78" t="str">
        <f t="shared" si="16"/>
        <v>Zone_Entry</v>
      </c>
      <c r="AG78" t="str">
        <f t="shared" si="17"/>
        <v>ZoneEntry-DumpIn</v>
      </c>
      <c r="AN78" t="str">
        <f t="shared" si="19"/>
        <v>Offensive</v>
      </c>
      <c r="BD78" s="23"/>
      <c r="BF78" s="21"/>
    </row>
    <row r="79" spans="1:58" x14ac:dyDescent="0.2">
      <c r="A79">
        <v>34</v>
      </c>
      <c r="B79">
        <v>8</v>
      </c>
      <c r="E79" s="5" t="s">
        <v>836</v>
      </c>
      <c r="F79" s="5" t="s">
        <v>868</v>
      </c>
      <c r="I79" t="s">
        <v>835</v>
      </c>
      <c r="J79">
        <v>14</v>
      </c>
      <c r="K79">
        <v>1</v>
      </c>
      <c r="L79" t="s">
        <v>839</v>
      </c>
      <c r="M79" t="s">
        <v>10</v>
      </c>
      <c r="N79" t="s">
        <v>190</v>
      </c>
      <c r="O79" t="s">
        <v>387</v>
      </c>
      <c r="P79" t="s">
        <v>688</v>
      </c>
      <c r="Q79" t="s">
        <v>697</v>
      </c>
      <c r="S79" t="s">
        <v>688</v>
      </c>
      <c r="U79" s="8">
        <f t="shared" si="15"/>
        <v>1</v>
      </c>
      <c r="AD79" t="str">
        <f t="shared" si="14"/>
        <v>e</v>
      </c>
      <c r="AE79" t="str">
        <f t="shared" si="18"/>
        <v>Turnover</v>
      </c>
      <c r="AF79" t="str">
        <f t="shared" si="16"/>
        <v>Turnover_Giveaway</v>
      </c>
      <c r="AG79" t="str">
        <f t="shared" si="17"/>
        <v>Giveaway-ZoneClear/Dump</v>
      </c>
      <c r="AN79" t="str">
        <f t="shared" si="19"/>
        <v>Offensive</v>
      </c>
      <c r="BD79" s="23"/>
      <c r="BF79" s="21"/>
    </row>
    <row r="80" spans="1:58" x14ac:dyDescent="0.2">
      <c r="A80">
        <v>35</v>
      </c>
      <c r="E80" s="5" t="s">
        <v>836</v>
      </c>
      <c r="F80" s="5" t="s">
        <v>869</v>
      </c>
      <c r="I80" t="s">
        <v>840</v>
      </c>
      <c r="J80">
        <v>83</v>
      </c>
      <c r="K80">
        <v>1</v>
      </c>
      <c r="L80" t="s">
        <v>845</v>
      </c>
      <c r="M80" t="s">
        <v>15</v>
      </c>
      <c r="N80" t="s">
        <v>680</v>
      </c>
      <c r="P80" t="s">
        <v>689</v>
      </c>
      <c r="Q80" t="s">
        <v>698</v>
      </c>
      <c r="S80" t="s">
        <v>689</v>
      </c>
      <c r="U80" s="8">
        <f t="shared" si="15"/>
        <v>1</v>
      </c>
      <c r="AD80" t="str">
        <f t="shared" si="14"/>
        <v>e</v>
      </c>
      <c r="AE80" t="str">
        <f t="shared" si="18"/>
        <v>Possession</v>
      </c>
      <c r="AF80" t="str">
        <f t="shared" si="16"/>
        <v>PuckRetrieval</v>
      </c>
      <c r="AG80" t="str">
        <f t="shared" si="17"/>
        <v/>
      </c>
      <c r="AN80" t="str">
        <f t="shared" si="19"/>
        <v>Offensive</v>
      </c>
      <c r="BD80" s="23"/>
      <c r="BF80" s="21"/>
    </row>
    <row r="81" spans="1:58" x14ac:dyDescent="0.2">
      <c r="A81">
        <v>36</v>
      </c>
      <c r="E81" s="5" t="s">
        <v>836</v>
      </c>
      <c r="F81" s="5" t="s">
        <v>869</v>
      </c>
      <c r="I81" t="s">
        <v>840</v>
      </c>
      <c r="J81">
        <v>83</v>
      </c>
      <c r="K81">
        <v>1</v>
      </c>
      <c r="L81" t="s">
        <v>845</v>
      </c>
      <c r="M81" t="s">
        <v>8</v>
      </c>
      <c r="N81" t="s">
        <v>189</v>
      </c>
      <c r="O81" t="s">
        <v>69</v>
      </c>
      <c r="P81" t="s">
        <v>689</v>
      </c>
      <c r="Q81" t="s">
        <v>749</v>
      </c>
      <c r="S81" t="s">
        <v>689</v>
      </c>
      <c r="U81" s="8">
        <f t="shared" si="15"/>
        <v>1</v>
      </c>
      <c r="AD81" t="str">
        <f t="shared" si="14"/>
        <v>e</v>
      </c>
      <c r="AE81" t="str">
        <f t="shared" si="18"/>
        <v>Pass</v>
      </c>
      <c r="AF81" t="str">
        <f t="shared" si="16"/>
        <v>Pass_Completed</v>
      </c>
      <c r="AG81" t="str">
        <f t="shared" si="17"/>
        <v>Pass-Backhand</v>
      </c>
      <c r="AN81" t="str">
        <f t="shared" si="19"/>
        <v>Offensive</v>
      </c>
      <c r="BD81" s="23"/>
      <c r="BF81" s="21"/>
    </row>
    <row r="82" spans="1:58" x14ac:dyDescent="0.2">
      <c r="A82">
        <v>36</v>
      </c>
      <c r="J82">
        <v>7</v>
      </c>
      <c r="K82">
        <v>1</v>
      </c>
      <c r="U82" s="8">
        <f t="shared" si="15"/>
        <v>1</v>
      </c>
      <c r="AD82" t="str">
        <f t="shared" si="14"/>
        <v>e</v>
      </c>
      <c r="AE82" t="str">
        <f t="shared" si="18"/>
        <v>Pass</v>
      </c>
      <c r="AF82" t="str">
        <f t="shared" si="16"/>
        <v>Pass_Completed</v>
      </c>
      <c r="AG82" t="str">
        <f t="shared" si="17"/>
        <v>Pass-Backhand</v>
      </c>
      <c r="AN82" t="str">
        <f t="shared" si="19"/>
        <v>Offensive</v>
      </c>
      <c r="BD82" s="23"/>
      <c r="BF82" s="21"/>
    </row>
    <row r="83" spans="1:58" x14ac:dyDescent="0.2">
      <c r="A83">
        <v>37</v>
      </c>
      <c r="E83" s="5" t="s">
        <v>836</v>
      </c>
      <c r="F83" s="5" t="s">
        <v>870</v>
      </c>
      <c r="I83" t="s">
        <v>840</v>
      </c>
      <c r="J83">
        <v>7</v>
      </c>
      <c r="K83">
        <v>1</v>
      </c>
      <c r="L83" t="s">
        <v>845</v>
      </c>
      <c r="M83" t="s">
        <v>10</v>
      </c>
      <c r="N83" t="s">
        <v>190</v>
      </c>
      <c r="O83" t="s">
        <v>398</v>
      </c>
      <c r="P83" t="s">
        <v>688</v>
      </c>
      <c r="Q83" t="s">
        <v>708</v>
      </c>
      <c r="S83" t="s">
        <v>688</v>
      </c>
      <c r="U83" s="8">
        <f t="shared" si="15"/>
        <v>1</v>
      </c>
      <c r="AD83" t="str">
        <f t="shared" si="14"/>
        <v>e</v>
      </c>
      <c r="AE83" t="str">
        <f t="shared" si="18"/>
        <v>Turnover</v>
      </c>
      <c r="AF83" t="str">
        <f t="shared" si="16"/>
        <v>Turnover_Giveaway</v>
      </c>
      <c r="AG83" t="str">
        <f t="shared" si="17"/>
        <v>Giveaway-AttemptedZoneClear/Dump</v>
      </c>
      <c r="AN83" t="str">
        <f t="shared" si="19"/>
        <v>Offensive</v>
      </c>
      <c r="BD83" s="23"/>
      <c r="BF83" s="21"/>
    </row>
    <row r="84" spans="1:58" x14ac:dyDescent="0.2">
      <c r="A84">
        <v>38</v>
      </c>
      <c r="B84">
        <v>9</v>
      </c>
      <c r="E84" s="5" t="s">
        <v>871</v>
      </c>
      <c r="F84" s="5" t="s">
        <v>872</v>
      </c>
      <c r="I84" t="s">
        <v>835</v>
      </c>
      <c r="J84">
        <v>91</v>
      </c>
      <c r="K84">
        <v>1</v>
      </c>
      <c r="L84" t="s">
        <v>401</v>
      </c>
      <c r="M84" t="s">
        <v>257</v>
      </c>
      <c r="N84" t="s">
        <v>210</v>
      </c>
      <c r="O84" t="s">
        <v>93</v>
      </c>
      <c r="P84" t="s">
        <v>689</v>
      </c>
      <c r="U84" s="8">
        <f t="shared" si="15"/>
        <v>1</v>
      </c>
      <c r="AD84" t="str">
        <f t="shared" si="14"/>
        <v>e</v>
      </c>
      <c r="AE84" t="str">
        <f t="shared" si="18"/>
        <v>Zone_Entry_Exit</v>
      </c>
      <c r="AF84" t="str">
        <f t="shared" si="16"/>
        <v>Zone_Keepin</v>
      </c>
      <c r="AG84" t="str">
        <f t="shared" si="17"/>
        <v>Zone-KeepIn</v>
      </c>
      <c r="AN84" t="str">
        <f t="shared" si="19"/>
        <v>Offensive</v>
      </c>
      <c r="BD84" s="23"/>
      <c r="BF84" s="21"/>
    </row>
    <row r="85" spans="1:58" x14ac:dyDescent="0.2">
      <c r="A85">
        <v>39</v>
      </c>
      <c r="B85">
        <v>9</v>
      </c>
      <c r="E85" s="5" t="s">
        <v>871</v>
      </c>
      <c r="F85" s="5" t="s">
        <v>872</v>
      </c>
      <c r="I85" t="s">
        <v>835</v>
      </c>
      <c r="J85">
        <v>91</v>
      </c>
      <c r="K85">
        <v>1</v>
      </c>
      <c r="L85" t="s">
        <v>401</v>
      </c>
      <c r="M85" t="s">
        <v>15</v>
      </c>
      <c r="N85" t="s">
        <v>680</v>
      </c>
      <c r="P85" t="s">
        <v>688</v>
      </c>
      <c r="Q85" t="s">
        <v>694</v>
      </c>
      <c r="S85" t="s">
        <v>688</v>
      </c>
      <c r="U85" s="8">
        <f t="shared" si="15"/>
        <v>1</v>
      </c>
      <c r="AD85" t="str">
        <f t="shared" si="14"/>
        <v>e</v>
      </c>
      <c r="AE85" t="str">
        <f t="shared" si="18"/>
        <v>Possession</v>
      </c>
      <c r="AF85" t="str">
        <f t="shared" si="16"/>
        <v>PuckRetrieval</v>
      </c>
      <c r="AG85" t="str">
        <f t="shared" si="17"/>
        <v/>
      </c>
      <c r="AN85" t="str">
        <f t="shared" si="19"/>
        <v>Offensive</v>
      </c>
      <c r="BD85" s="23"/>
      <c r="BF85" s="21"/>
    </row>
    <row r="86" spans="1:58" x14ac:dyDescent="0.2">
      <c r="A86">
        <v>40</v>
      </c>
      <c r="E86" s="5" t="s">
        <v>871</v>
      </c>
      <c r="F86" s="5" t="s">
        <v>873</v>
      </c>
      <c r="I86" t="s">
        <v>835</v>
      </c>
      <c r="J86">
        <v>91</v>
      </c>
      <c r="K86">
        <v>1</v>
      </c>
      <c r="L86" t="s">
        <v>401</v>
      </c>
      <c r="M86" t="s">
        <v>10</v>
      </c>
      <c r="N86" t="s">
        <v>190</v>
      </c>
      <c r="O86" t="s">
        <v>424</v>
      </c>
      <c r="P86" t="s">
        <v>688</v>
      </c>
      <c r="Q86" t="s">
        <v>664</v>
      </c>
      <c r="S86" t="s">
        <v>688</v>
      </c>
      <c r="U86" s="8">
        <f t="shared" si="15"/>
        <v>1</v>
      </c>
      <c r="AD86" t="str">
        <f t="shared" si="14"/>
        <v>e</v>
      </c>
      <c r="AE86" t="str">
        <f t="shared" si="18"/>
        <v>Turnover</v>
      </c>
      <c r="AF86" t="str">
        <f t="shared" si="16"/>
        <v>Turnover_Giveaway</v>
      </c>
      <c r="AG86" t="str">
        <f t="shared" si="17"/>
        <v>Giveaway-DumpInZone</v>
      </c>
      <c r="AN86" t="str">
        <f t="shared" si="19"/>
        <v>Offensive</v>
      </c>
      <c r="BD86" s="23"/>
      <c r="BF86" s="21"/>
    </row>
    <row r="87" spans="1:58" x14ac:dyDescent="0.2">
      <c r="A87">
        <v>41</v>
      </c>
      <c r="E87" s="5" t="s">
        <v>871</v>
      </c>
      <c r="F87" s="5" t="s">
        <v>874</v>
      </c>
      <c r="G87" s="5" t="s">
        <v>871</v>
      </c>
      <c r="H87" s="7" t="s">
        <v>875</v>
      </c>
      <c r="I87" t="s">
        <v>840</v>
      </c>
      <c r="J87">
        <v>83</v>
      </c>
      <c r="K87">
        <v>1</v>
      </c>
      <c r="L87" t="s">
        <v>845</v>
      </c>
      <c r="M87" t="s">
        <v>15</v>
      </c>
      <c r="N87" t="s">
        <v>680</v>
      </c>
      <c r="P87" t="s">
        <v>689</v>
      </c>
      <c r="Q87" t="s">
        <v>698</v>
      </c>
      <c r="S87" t="s">
        <v>689</v>
      </c>
      <c r="U87" s="8">
        <f t="shared" si="15"/>
        <v>1</v>
      </c>
      <c r="AD87" t="str">
        <f t="shared" si="14"/>
        <v>e</v>
      </c>
      <c r="AE87" t="str">
        <f t="shared" si="18"/>
        <v>Possession</v>
      </c>
      <c r="AF87" t="str">
        <f t="shared" si="16"/>
        <v>PuckRetrieval</v>
      </c>
      <c r="AG87" t="str">
        <f t="shared" si="17"/>
        <v/>
      </c>
      <c r="AN87" t="str">
        <f t="shared" si="19"/>
        <v>Offensive</v>
      </c>
      <c r="BD87" s="23"/>
      <c r="BF87" s="21"/>
    </row>
    <row r="88" spans="1:58" x14ac:dyDescent="0.2">
      <c r="A88">
        <v>42</v>
      </c>
      <c r="E88" s="5" t="s">
        <v>871</v>
      </c>
      <c r="F88" s="5" t="s">
        <v>875</v>
      </c>
      <c r="G88" s="5" t="s">
        <v>871</v>
      </c>
      <c r="H88" s="7" t="s">
        <v>843</v>
      </c>
      <c r="I88" t="s">
        <v>840</v>
      </c>
      <c r="J88">
        <v>83</v>
      </c>
      <c r="K88">
        <v>1</v>
      </c>
      <c r="L88" t="s">
        <v>845</v>
      </c>
      <c r="M88" t="s">
        <v>15</v>
      </c>
      <c r="Q88" t="s">
        <v>721</v>
      </c>
      <c r="S88" t="s">
        <v>689</v>
      </c>
      <c r="T88">
        <v>1</v>
      </c>
      <c r="U88" s="8">
        <f t="shared" si="15"/>
        <v>1</v>
      </c>
      <c r="AD88" t="str">
        <f t="shared" si="14"/>
        <v>e</v>
      </c>
      <c r="AE88" t="str">
        <f t="shared" si="18"/>
        <v>Possession</v>
      </c>
      <c r="AF88" t="str">
        <f t="shared" si="16"/>
        <v/>
      </c>
      <c r="AG88" t="str">
        <f t="shared" si="17"/>
        <v/>
      </c>
      <c r="AN88" t="str">
        <f t="shared" si="19"/>
        <v>Offensive</v>
      </c>
      <c r="BD88" s="23"/>
      <c r="BF88" s="21"/>
    </row>
    <row r="89" spans="1:58" x14ac:dyDescent="0.2">
      <c r="A89">
        <v>42</v>
      </c>
      <c r="J89">
        <v>75</v>
      </c>
      <c r="Q89" t="s">
        <v>696</v>
      </c>
      <c r="S89" t="s">
        <v>688</v>
      </c>
      <c r="T89">
        <v>1</v>
      </c>
      <c r="U89" s="8">
        <f t="shared" si="15"/>
        <v>1</v>
      </c>
      <c r="AD89" t="str">
        <f t="shared" si="14"/>
        <v>o</v>
      </c>
      <c r="AE89" t="str">
        <f t="shared" si="18"/>
        <v>Possession</v>
      </c>
      <c r="AF89" t="str">
        <f t="shared" si="16"/>
        <v/>
      </c>
      <c r="AG89" t="str">
        <f t="shared" si="17"/>
        <v/>
      </c>
      <c r="AN89" t="str">
        <f t="shared" si="19"/>
        <v>Defensive</v>
      </c>
      <c r="BD89" s="23"/>
      <c r="BF89" s="21"/>
    </row>
    <row r="90" spans="1:58" x14ac:dyDescent="0.2">
      <c r="A90">
        <v>43</v>
      </c>
      <c r="B90">
        <v>10</v>
      </c>
      <c r="E90" s="5" t="s">
        <v>871</v>
      </c>
      <c r="F90" s="5" t="s">
        <v>843</v>
      </c>
      <c r="I90" t="s">
        <v>840</v>
      </c>
      <c r="J90">
        <v>83</v>
      </c>
      <c r="K90">
        <v>1</v>
      </c>
      <c r="L90" t="s">
        <v>845</v>
      </c>
      <c r="M90" t="s">
        <v>8</v>
      </c>
      <c r="N90" t="s">
        <v>189</v>
      </c>
      <c r="O90" t="s">
        <v>70</v>
      </c>
      <c r="P90" t="s">
        <v>689</v>
      </c>
      <c r="Q90" t="s">
        <v>662</v>
      </c>
      <c r="S90" t="s">
        <v>689</v>
      </c>
      <c r="U90" s="8">
        <f t="shared" si="15"/>
        <v>1</v>
      </c>
      <c r="AD90" t="str">
        <f t="shared" si="14"/>
        <v>e</v>
      </c>
      <c r="AE90" t="str">
        <f t="shared" si="18"/>
        <v>Pass</v>
      </c>
      <c r="AF90" t="str">
        <f t="shared" si="16"/>
        <v>Pass_Completed</v>
      </c>
      <c r="AG90" t="str">
        <f t="shared" si="17"/>
        <v>Pass-Forehand</v>
      </c>
      <c r="AN90" t="str">
        <f t="shared" si="19"/>
        <v>Offensive</v>
      </c>
      <c r="BD90" s="23"/>
      <c r="BF90" s="21"/>
    </row>
    <row r="91" spans="1:58" x14ac:dyDescent="0.2">
      <c r="A91">
        <v>43</v>
      </c>
      <c r="B91">
        <v>10</v>
      </c>
      <c r="J91">
        <v>46</v>
      </c>
      <c r="U91" s="8">
        <f t="shared" si="15"/>
        <v>1</v>
      </c>
      <c r="AD91" t="str">
        <f t="shared" si="14"/>
        <v>o</v>
      </c>
      <c r="AE91" t="str">
        <f t="shared" si="18"/>
        <v>Pass</v>
      </c>
      <c r="AF91" t="str">
        <f t="shared" si="16"/>
        <v>Pass_Completed</v>
      </c>
      <c r="AG91" t="str">
        <f t="shared" si="17"/>
        <v>Pass-Forehand</v>
      </c>
      <c r="AN91" t="str">
        <f t="shared" si="19"/>
        <v>Defensive</v>
      </c>
      <c r="BD91" s="23"/>
      <c r="BF91" s="21"/>
    </row>
    <row r="92" spans="1:58" x14ac:dyDescent="0.2">
      <c r="A92">
        <v>44</v>
      </c>
      <c r="B92">
        <v>10</v>
      </c>
      <c r="E92" s="5" t="s">
        <v>871</v>
      </c>
      <c r="F92" s="5" t="s">
        <v>843</v>
      </c>
      <c r="I92" t="s">
        <v>840</v>
      </c>
      <c r="J92">
        <v>83</v>
      </c>
      <c r="K92">
        <v>1</v>
      </c>
      <c r="L92" t="s">
        <v>845</v>
      </c>
      <c r="M92" t="s">
        <v>257</v>
      </c>
      <c r="N92" t="s">
        <v>201</v>
      </c>
      <c r="O92" t="s">
        <v>91</v>
      </c>
      <c r="P92" t="s">
        <v>689</v>
      </c>
      <c r="Q92" t="s">
        <v>662</v>
      </c>
      <c r="S92" t="s">
        <v>689</v>
      </c>
      <c r="U92" s="8">
        <f t="shared" si="15"/>
        <v>1</v>
      </c>
      <c r="AD92" t="str">
        <f t="shared" si="14"/>
        <v>e</v>
      </c>
      <c r="AE92" t="str">
        <f t="shared" si="18"/>
        <v>Zone_Entry_Exit</v>
      </c>
      <c r="AF92" t="str">
        <f t="shared" si="16"/>
        <v>Zone_Exit</v>
      </c>
      <c r="AG92" t="str">
        <f t="shared" si="17"/>
        <v>ZoneExit-Pass</v>
      </c>
      <c r="AN92" t="str">
        <f t="shared" si="19"/>
        <v>Offensive</v>
      </c>
      <c r="BD92" s="23"/>
      <c r="BF92" s="21"/>
    </row>
    <row r="93" spans="1:58" x14ac:dyDescent="0.2">
      <c r="A93">
        <v>44</v>
      </c>
      <c r="B93">
        <v>10</v>
      </c>
      <c r="J93">
        <v>46</v>
      </c>
      <c r="U93" s="8">
        <f t="shared" si="15"/>
        <v>1</v>
      </c>
      <c r="AD93" t="str">
        <f t="shared" si="14"/>
        <v>o</v>
      </c>
      <c r="AE93" t="str">
        <f t="shared" si="18"/>
        <v>Zone_Entry_Exit</v>
      </c>
      <c r="AF93" t="str">
        <f t="shared" si="16"/>
        <v>Zone_Exit</v>
      </c>
      <c r="AG93" t="str">
        <f t="shared" si="17"/>
        <v>ZoneExit-Pass</v>
      </c>
      <c r="AN93" t="str">
        <f t="shared" si="19"/>
        <v>Defensive</v>
      </c>
      <c r="BD93" s="23"/>
      <c r="BF93" s="21"/>
    </row>
    <row r="94" spans="1:58" x14ac:dyDescent="0.2">
      <c r="A94">
        <v>45</v>
      </c>
      <c r="E94" s="5" t="s">
        <v>871</v>
      </c>
      <c r="F94" s="5" t="s">
        <v>876</v>
      </c>
      <c r="G94" s="5" t="s">
        <v>871</v>
      </c>
      <c r="H94" s="7" t="s">
        <v>844</v>
      </c>
      <c r="I94" t="s">
        <v>840</v>
      </c>
      <c r="J94">
        <v>46</v>
      </c>
      <c r="K94">
        <v>1</v>
      </c>
      <c r="L94" t="s">
        <v>839</v>
      </c>
      <c r="M94" t="s">
        <v>15</v>
      </c>
      <c r="U94" s="8">
        <f t="shared" si="15"/>
        <v>1</v>
      </c>
      <c r="AD94" t="str">
        <f t="shared" si="14"/>
        <v>e</v>
      </c>
      <c r="AE94" t="str">
        <f t="shared" si="18"/>
        <v>Possession</v>
      </c>
      <c r="AF94" t="str">
        <f t="shared" si="16"/>
        <v/>
      </c>
      <c r="AG94" t="str">
        <f t="shared" si="17"/>
        <v/>
      </c>
      <c r="AN94" t="str">
        <f t="shared" si="19"/>
        <v>Offensive</v>
      </c>
      <c r="BD94" s="23"/>
      <c r="BF94" s="21"/>
    </row>
    <row r="95" spans="1:58" x14ac:dyDescent="0.2">
      <c r="A95">
        <v>46</v>
      </c>
      <c r="E95" s="5" t="s">
        <v>871</v>
      </c>
      <c r="F95" s="5" t="s">
        <v>844</v>
      </c>
      <c r="G95" s="5" t="s">
        <v>871</v>
      </c>
      <c r="H95" s="7" t="s">
        <v>847</v>
      </c>
      <c r="I95" t="s">
        <v>840</v>
      </c>
      <c r="J95">
        <v>46</v>
      </c>
      <c r="K95">
        <v>1</v>
      </c>
      <c r="L95" t="s">
        <v>401</v>
      </c>
      <c r="M95" t="s">
        <v>257</v>
      </c>
      <c r="N95" t="s">
        <v>191</v>
      </c>
      <c r="O95" t="s">
        <v>87</v>
      </c>
      <c r="P95" t="s">
        <v>689</v>
      </c>
      <c r="T95">
        <v>1</v>
      </c>
      <c r="U95" s="8">
        <f t="shared" si="15"/>
        <v>1</v>
      </c>
      <c r="AD95" t="str">
        <f t="shared" si="14"/>
        <v>e</v>
      </c>
      <c r="AE95" t="str">
        <f t="shared" si="18"/>
        <v>Zone_Entry_Exit</v>
      </c>
      <c r="AF95" t="str">
        <f t="shared" si="16"/>
        <v>Zone_Entry</v>
      </c>
      <c r="AG95" t="str">
        <f t="shared" si="17"/>
        <v>ZoneEntry-Rush</v>
      </c>
      <c r="AN95" t="str">
        <f t="shared" si="19"/>
        <v>Offensive</v>
      </c>
      <c r="BD95" s="23"/>
      <c r="BF95" s="21"/>
    </row>
    <row r="96" spans="1:58" x14ac:dyDescent="0.2">
      <c r="A96">
        <v>46</v>
      </c>
      <c r="J96">
        <v>92</v>
      </c>
      <c r="K96">
        <v>1</v>
      </c>
      <c r="U96" s="8">
        <f t="shared" si="15"/>
        <v>1</v>
      </c>
      <c r="AD96" t="str">
        <f t="shared" si="14"/>
        <v>e</v>
      </c>
      <c r="AE96" t="str">
        <f t="shared" si="18"/>
        <v>Zone_Entry_Exit</v>
      </c>
      <c r="AF96" t="str">
        <f t="shared" si="16"/>
        <v>Zone_Entry</v>
      </c>
      <c r="AG96" t="str">
        <f t="shared" si="17"/>
        <v>ZoneEntry-Rush</v>
      </c>
      <c r="AN96" t="str">
        <f t="shared" si="19"/>
        <v>Offensive</v>
      </c>
      <c r="BD96" s="23"/>
      <c r="BF96" s="21"/>
    </row>
    <row r="97" spans="1:58" x14ac:dyDescent="0.2">
      <c r="A97">
        <v>46</v>
      </c>
      <c r="J97">
        <v>91</v>
      </c>
      <c r="U97" s="8">
        <f t="shared" si="15"/>
        <v>1</v>
      </c>
      <c r="AD97" t="str">
        <f t="shared" si="14"/>
        <v>o</v>
      </c>
      <c r="AE97" t="str">
        <f t="shared" si="18"/>
        <v>Zone_Entry_Exit</v>
      </c>
      <c r="AF97" t="str">
        <f t="shared" si="16"/>
        <v>Zone_Entry</v>
      </c>
      <c r="AG97" t="str">
        <f t="shared" si="17"/>
        <v>ZoneEntry-Rush</v>
      </c>
      <c r="AN97" t="str">
        <f t="shared" si="19"/>
        <v>Defensive</v>
      </c>
      <c r="BD97" s="23"/>
      <c r="BF97" s="21"/>
    </row>
    <row r="98" spans="1:58" x14ac:dyDescent="0.2">
      <c r="A98">
        <v>46</v>
      </c>
      <c r="J98">
        <v>52</v>
      </c>
      <c r="U98" s="8">
        <f t="shared" si="15"/>
        <v>1</v>
      </c>
      <c r="AD98" t="str">
        <f t="shared" si="14"/>
        <v>o</v>
      </c>
      <c r="AE98" t="str">
        <f t="shared" si="18"/>
        <v>Zone_Entry_Exit</v>
      </c>
      <c r="AF98" t="str">
        <f t="shared" si="16"/>
        <v>Zone_Entry</v>
      </c>
      <c r="AG98" t="str">
        <f t="shared" si="17"/>
        <v>ZoneEntry-Rush</v>
      </c>
      <c r="AN98" t="str">
        <f t="shared" si="19"/>
        <v>Defensive</v>
      </c>
      <c r="BD98" s="23"/>
      <c r="BF98" s="21"/>
    </row>
    <row r="99" spans="1:58" x14ac:dyDescent="0.2">
      <c r="A99">
        <v>47</v>
      </c>
      <c r="E99" s="5" t="s">
        <v>871</v>
      </c>
      <c r="F99" s="5" t="s">
        <v>847</v>
      </c>
      <c r="I99" t="s">
        <v>840</v>
      </c>
      <c r="J99">
        <v>46</v>
      </c>
      <c r="K99">
        <v>1</v>
      </c>
      <c r="L99" t="s">
        <v>401</v>
      </c>
      <c r="M99" t="s">
        <v>8</v>
      </c>
      <c r="N99" t="s">
        <v>189</v>
      </c>
      <c r="O99" t="s">
        <v>70</v>
      </c>
      <c r="P99" t="s">
        <v>689</v>
      </c>
      <c r="U99" s="8">
        <f t="shared" si="15"/>
        <v>1</v>
      </c>
      <c r="AD99" t="str">
        <f t="shared" si="14"/>
        <v>e</v>
      </c>
      <c r="AE99" t="str">
        <f t="shared" si="18"/>
        <v>Pass</v>
      </c>
      <c r="AF99" t="str">
        <f t="shared" si="16"/>
        <v>Pass_Completed</v>
      </c>
      <c r="AG99" t="str">
        <f t="shared" si="17"/>
        <v>Pass-Forehand</v>
      </c>
      <c r="AN99" t="str">
        <f t="shared" si="19"/>
        <v>Offensive</v>
      </c>
      <c r="BD99" s="23"/>
      <c r="BF99" s="21"/>
    </row>
    <row r="100" spans="1:58" x14ac:dyDescent="0.2">
      <c r="A100">
        <v>47</v>
      </c>
      <c r="J100">
        <v>92</v>
      </c>
      <c r="K100">
        <v>1</v>
      </c>
      <c r="U100" s="8">
        <f t="shared" si="15"/>
        <v>1</v>
      </c>
      <c r="AD100" t="str">
        <f t="shared" si="14"/>
        <v>e</v>
      </c>
      <c r="AE100" t="str">
        <f t="shared" si="18"/>
        <v>Pass</v>
      </c>
      <c r="AF100" t="str">
        <f t="shared" si="16"/>
        <v>Pass_Completed</v>
      </c>
      <c r="AG100" t="str">
        <f t="shared" si="17"/>
        <v>Pass-Forehand</v>
      </c>
      <c r="AN100" t="str">
        <f t="shared" si="19"/>
        <v>Offensive</v>
      </c>
      <c r="BD100" s="23"/>
      <c r="BF100" s="21"/>
    </row>
    <row r="101" spans="1:58" x14ac:dyDescent="0.2">
      <c r="A101">
        <v>48</v>
      </c>
      <c r="E101" s="5" t="s">
        <v>871</v>
      </c>
      <c r="F101" s="5" t="s">
        <v>847</v>
      </c>
      <c r="G101" s="5" t="s">
        <v>871</v>
      </c>
      <c r="H101" s="7" t="s">
        <v>877</v>
      </c>
      <c r="I101" t="s">
        <v>840</v>
      </c>
      <c r="J101">
        <v>92</v>
      </c>
      <c r="K101">
        <v>1</v>
      </c>
      <c r="L101" t="s">
        <v>401</v>
      </c>
      <c r="M101" t="s">
        <v>15</v>
      </c>
      <c r="U101" s="8">
        <f t="shared" si="15"/>
        <v>1</v>
      </c>
      <c r="AD101" t="str">
        <f t="shared" si="14"/>
        <v>e</v>
      </c>
      <c r="AE101" t="str">
        <f t="shared" si="18"/>
        <v>Possession</v>
      </c>
      <c r="AF101" t="str">
        <f t="shared" si="16"/>
        <v/>
      </c>
      <c r="AG101" t="str">
        <f t="shared" si="17"/>
        <v/>
      </c>
      <c r="AN101" t="str">
        <f t="shared" si="19"/>
        <v>Offensive</v>
      </c>
      <c r="BD101" s="23"/>
      <c r="BF101" s="21"/>
    </row>
    <row r="102" spans="1:58" x14ac:dyDescent="0.2">
      <c r="A102">
        <v>49</v>
      </c>
      <c r="B102">
        <v>11</v>
      </c>
      <c r="E102" s="5" t="s">
        <v>871</v>
      </c>
      <c r="F102" s="5" t="s">
        <v>877</v>
      </c>
      <c r="I102" t="s">
        <v>840</v>
      </c>
      <c r="J102">
        <v>92</v>
      </c>
      <c r="K102">
        <v>1</v>
      </c>
      <c r="L102" t="s">
        <v>401</v>
      </c>
      <c r="M102" t="s">
        <v>7</v>
      </c>
      <c r="N102" t="s">
        <v>222</v>
      </c>
      <c r="O102" t="s">
        <v>53</v>
      </c>
      <c r="P102" t="s">
        <v>689</v>
      </c>
      <c r="T102">
        <v>1</v>
      </c>
      <c r="U102" s="8">
        <f t="shared" si="15"/>
        <v>1</v>
      </c>
      <c r="AD102" t="str">
        <f t="shared" si="14"/>
        <v>e</v>
      </c>
      <c r="AE102" t="str">
        <f t="shared" si="18"/>
        <v>Shot</v>
      </c>
      <c r="AF102" t="str">
        <f t="shared" si="16"/>
        <v>Shot_OnNetSaved</v>
      </c>
      <c r="AG102" t="str">
        <f t="shared" si="17"/>
        <v>Shot-Wrist</v>
      </c>
      <c r="AN102" t="str">
        <f t="shared" si="19"/>
        <v>Offensive</v>
      </c>
      <c r="BD102" s="23"/>
      <c r="BF102" s="21"/>
    </row>
    <row r="103" spans="1:58" x14ac:dyDescent="0.2">
      <c r="A103">
        <v>49</v>
      </c>
      <c r="B103">
        <v>11</v>
      </c>
      <c r="J103">
        <v>39</v>
      </c>
      <c r="U103" s="8">
        <f t="shared" si="15"/>
        <v>1</v>
      </c>
      <c r="AD103" t="str">
        <f t="shared" si="14"/>
        <v>o</v>
      </c>
      <c r="AE103" t="str">
        <f t="shared" si="18"/>
        <v>Shot</v>
      </c>
      <c r="AF103" t="str">
        <f t="shared" si="16"/>
        <v>Shot_OnNetSaved</v>
      </c>
      <c r="AG103" t="str">
        <f t="shared" si="17"/>
        <v>Shot-Wrist</v>
      </c>
      <c r="AN103" t="str">
        <f t="shared" si="19"/>
        <v>Defensive</v>
      </c>
      <c r="BD103" s="23"/>
      <c r="BF103" s="21"/>
    </row>
    <row r="104" spans="1:58" x14ac:dyDescent="0.2">
      <c r="A104">
        <v>49</v>
      </c>
      <c r="B104">
        <v>11</v>
      </c>
      <c r="J104">
        <v>91</v>
      </c>
      <c r="Q104" t="s">
        <v>696</v>
      </c>
      <c r="T104">
        <v>1</v>
      </c>
      <c r="U104" s="8">
        <f t="shared" si="15"/>
        <v>1</v>
      </c>
      <c r="AD104" t="str">
        <f t="shared" si="14"/>
        <v>o</v>
      </c>
      <c r="AE104" t="str">
        <f t="shared" si="18"/>
        <v>Shot</v>
      </c>
      <c r="AF104" t="str">
        <f t="shared" si="16"/>
        <v>Shot_OnNetSaved</v>
      </c>
      <c r="AG104" t="str">
        <f t="shared" si="17"/>
        <v>Shot-Wrist</v>
      </c>
      <c r="AN104" t="str">
        <f t="shared" si="19"/>
        <v>Defensive</v>
      </c>
      <c r="BD104" s="23"/>
      <c r="BF104" s="21"/>
    </row>
    <row r="105" spans="1:58" x14ac:dyDescent="0.2">
      <c r="A105">
        <v>49</v>
      </c>
      <c r="B105">
        <v>11</v>
      </c>
      <c r="J105">
        <v>52</v>
      </c>
      <c r="Q105" t="s">
        <v>696</v>
      </c>
      <c r="T105">
        <v>1</v>
      </c>
      <c r="U105" s="8">
        <f t="shared" si="15"/>
        <v>1</v>
      </c>
      <c r="AD105" t="str">
        <f t="shared" si="14"/>
        <v>o</v>
      </c>
      <c r="AE105" t="str">
        <f t="shared" si="18"/>
        <v>Shot</v>
      </c>
      <c r="AF105" t="str">
        <f t="shared" si="16"/>
        <v>Shot_OnNetSaved</v>
      </c>
      <c r="AG105" t="str">
        <f t="shared" si="17"/>
        <v>Shot-Wrist</v>
      </c>
      <c r="AN105" t="str">
        <f t="shared" si="19"/>
        <v>Defensive</v>
      </c>
      <c r="BD105" s="23"/>
      <c r="BF105" s="21"/>
    </row>
    <row r="106" spans="1:58" x14ac:dyDescent="0.2">
      <c r="A106">
        <v>50</v>
      </c>
      <c r="B106">
        <v>11</v>
      </c>
      <c r="E106" s="5" t="s">
        <v>871</v>
      </c>
      <c r="F106" s="5" t="s">
        <v>877</v>
      </c>
      <c r="I106" t="s">
        <v>835</v>
      </c>
      <c r="J106">
        <v>39</v>
      </c>
      <c r="K106">
        <v>1</v>
      </c>
      <c r="L106" t="s">
        <v>845</v>
      </c>
      <c r="M106" t="s">
        <v>17</v>
      </c>
      <c r="N106" t="s">
        <v>196</v>
      </c>
      <c r="O106" t="s">
        <v>449</v>
      </c>
      <c r="U106" s="8">
        <f t="shared" si="15"/>
        <v>1</v>
      </c>
      <c r="AD106" t="str">
        <f t="shared" si="14"/>
        <v>e</v>
      </c>
      <c r="AE106" t="str">
        <f t="shared" si="18"/>
        <v>Save</v>
      </c>
      <c r="AF106" t="str">
        <f t="shared" si="16"/>
        <v>Save_Rebound</v>
      </c>
      <c r="AG106" t="str">
        <f t="shared" si="17"/>
        <v>Save-Shoulder</v>
      </c>
      <c r="AN106" t="str">
        <f t="shared" si="19"/>
        <v>Defensive</v>
      </c>
      <c r="BD106" s="23"/>
      <c r="BF106" s="21"/>
    </row>
    <row r="107" spans="1:58" x14ac:dyDescent="0.2">
      <c r="A107">
        <v>50</v>
      </c>
      <c r="B107">
        <v>11</v>
      </c>
      <c r="J107">
        <v>91</v>
      </c>
      <c r="K107">
        <v>1</v>
      </c>
      <c r="Q107" t="s">
        <v>696</v>
      </c>
      <c r="T107">
        <v>1</v>
      </c>
      <c r="U107" s="8">
        <f t="shared" si="15"/>
        <v>1</v>
      </c>
      <c r="AD107" t="str">
        <f t="shared" si="14"/>
        <v>e</v>
      </c>
      <c r="AE107" t="str">
        <f t="shared" si="18"/>
        <v>Save</v>
      </c>
      <c r="AF107" t="str">
        <f t="shared" si="16"/>
        <v>Save_Rebound</v>
      </c>
      <c r="AG107" t="str">
        <f t="shared" si="17"/>
        <v>Save-Shoulder</v>
      </c>
      <c r="AN107" t="str">
        <f t="shared" si="19"/>
        <v>Defensive</v>
      </c>
      <c r="BD107" s="23"/>
      <c r="BF107" s="21"/>
    </row>
    <row r="108" spans="1:58" x14ac:dyDescent="0.2">
      <c r="A108">
        <v>50</v>
      </c>
      <c r="B108">
        <v>11</v>
      </c>
      <c r="J108">
        <v>52</v>
      </c>
      <c r="K108">
        <v>1</v>
      </c>
      <c r="Q108" t="s">
        <v>696</v>
      </c>
      <c r="T108">
        <v>1</v>
      </c>
      <c r="U108" s="8">
        <f t="shared" si="15"/>
        <v>1</v>
      </c>
      <c r="AD108" t="str">
        <f t="shared" si="14"/>
        <v>e</v>
      </c>
      <c r="AE108" t="str">
        <f t="shared" si="18"/>
        <v>Save</v>
      </c>
      <c r="AF108" t="str">
        <f t="shared" si="16"/>
        <v>Save_Rebound</v>
      </c>
      <c r="AG108" t="str">
        <f t="shared" si="17"/>
        <v>Save-Shoulder</v>
      </c>
      <c r="AN108" t="str">
        <f t="shared" si="19"/>
        <v>Defensive</v>
      </c>
      <c r="BD108" s="23"/>
      <c r="BF108" s="21"/>
    </row>
    <row r="109" spans="1:58" x14ac:dyDescent="0.2">
      <c r="A109">
        <v>50</v>
      </c>
      <c r="B109">
        <v>11</v>
      </c>
      <c r="J109">
        <v>92</v>
      </c>
      <c r="T109">
        <v>1</v>
      </c>
      <c r="U109" s="8">
        <f t="shared" si="15"/>
        <v>1</v>
      </c>
      <c r="AD109" t="str">
        <f t="shared" si="14"/>
        <v>o</v>
      </c>
      <c r="AE109" t="str">
        <f t="shared" si="18"/>
        <v>Save</v>
      </c>
      <c r="AF109" t="str">
        <f t="shared" si="16"/>
        <v>Save_Rebound</v>
      </c>
      <c r="AG109" t="str">
        <f t="shared" si="17"/>
        <v>Save-Shoulder</v>
      </c>
      <c r="AN109" t="str">
        <f t="shared" si="19"/>
        <v>Offensive</v>
      </c>
      <c r="BD109" s="23"/>
      <c r="BF109" s="21"/>
    </row>
    <row r="110" spans="1:58" x14ac:dyDescent="0.2">
      <c r="A110">
        <v>51</v>
      </c>
      <c r="B110">
        <v>11</v>
      </c>
      <c r="I110" t="s">
        <v>835</v>
      </c>
      <c r="J110">
        <v>39</v>
      </c>
      <c r="K110">
        <v>1</v>
      </c>
      <c r="L110" t="s">
        <v>845</v>
      </c>
      <c r="M110" t="s">
        <v>250</v>
      </c>
      <c r="N110" t="s">
        <v>251</v>
      </c>
      <c r="U110" s="8">
        <f t="shared" si="15"/>
        <v>1</v>
      </c>
      <c r="AD110" t="str">
        <f t="shared" si="14"/>
        <v>e</v>
      </c>
      <c r="AE110" t="str">
        <f t="shared" si="18"/>
        <v>Rebound</v>
      </c>
      <c r="AF110" t="str">
        <f t="shared" si="16"/>
        <v>Rebound_TeamRecovered</v>
      </c>
      <c r="AG110" t="str">
        <f t="shared" si="17"/>
        <v/>
      </c>
      <c r="AN110" t="str">
        <f t="shared" si="19"/>
        <v>Offensive</v>
      </c>
      <c r="BD110" s="23"/>
      <c r="BF110" s="21"/>
    </row>
    <row r="111" spans="1:58" x14ac:dyDescent="0.2">
      <c r="A111">
        <v>52</v>
      </c>
      <c r="E111" s="5" t="s">
        <v>871</v>
      </c>
      <c r="F111" s="5" t="s">
        <v>878</v>
      </c>
      <c r="G111" s="5" t="s">
        <v>871</v>
      </c>
      <c r="H111" s="7" t="s">
        <v>849</v>
      </c>
      <c r="I111" t="s">
        <v>835</v>
      </c>
      <c r="J111">
        <v>42</v>
      </c>
      <c r="K111">
        <v>1</v>
      </c>
      <c r="L111" t="s">
        <v>845</v>
      </c>
      <c r="M111" t="s">
        <v>15</v>
      </c>
      <c r="N111" t="s">
        <v>680</v>
      </c>
      <c r="P111" t="s">
        <v>689</v>
      </c>
      <c r="Q111" t="s">
        <v>789</v>
      </c>
      <c r="S111" t="s">
        <v>689</v>
      </c>
      <c r="U111" s="8">
        <f t="shared" si="15"/>
        <v>1</v>
      </c>
      <c r="AD111" t="str">
        <f t="shared" si="14"/>
        <v>e</v>
      </c>
      <c r="AE111" t="str">
        <f t="shared" si="18"/>
        <v>Possession</v>
      </c>
      <c r="AF111" t="str">
        <f t="shared" si="16"/>
        <v>PuckRetrieval</v>
      </c>
      <c r="AG111" t="str">
        <f t="shared" si="17"/>
        <v/>
      </c>
      <c r="AN111" t="str">
        <f t="shared" si="19"/>
        <v>Offensive</v>
      </c>
      <c r="BD111" s="23"/>
      <c r="BF111" s="21"/>
    </row>
    <row r="112" spans="1:58" x14ac:dyDescent="0.2">
      <c r="A112">
        <v>53</v>
      </c>
      <c r="E112" s="5" t="s">
        <v>871</v>
      </c>
      <c r="F112" s="5" t="s">
        <v>849</v>
      </c>
      <c r="G112" s="5" t="s">
        <v>871</v>
      </c>
      <c r="H112" s="7" t="s">
        <v>879</v>
      </c>
      <c r="I112" t="s">
        <v>835</v>
      </c>
      <c r="J112">
        <v>42</v>
      </c>
      <c r="K112">
        <v>1</v>
      </c>
      <c r="L112" t="s">
        <v>845</v>
      </c>
      <c r="M112" t="s">
        <v>257</v>
      </c>
      <c r="N112" t="s">
        <v>201</v>
      </c>
      <c r="O112" t="s">
        <v>90</v>
      </c>
      <c r="P112" t="s">
        <v>689</v>
      </c>
      <c r="U112" s="8">
        <f t="shared" si="15"/>
        <v>1</v>
      </c>
      <c r="AD112" t="str">
        <f t="shared" si="14"/>
        <v>e</v>
      </c>
      <c r="AE112" t="str">
        <f t="shared" si="18"/>
        <v>Zone_Entry_Exit</v>
      </c>
      <c r="AF112" t="str">
        <f t="shared" si="16"/>
        <v>Zone_Exit</v>
      </c>
      <c r="AG112" t="str">
        <f t="shared" si="17"/>
        <v>ZoneExit-Rush</v>
      </c>
      <c r="AN112" t="str">
        <f t="shared" si="19"/>
        <v>Offensive</v>
      </c>
      <c r="BD112" s="23"/>
      <c r="BF112" s="21"/>
    </row>
    <row r="113" spans="1:58" x14ac:dyDescent="0.2">
      <c r="A113">
        <v>54</v>
      </c>
      <c r="E113" s="5" t="s">
        <v>871</v>
      </c>
      <c r="F113" s="5" t="s">
        <v>879</v>
      </c>
      <c r="I113" t="s">
        <v>835</v>
      </c>
      <c r="J113">
        <v>42</v>
      </c>
      <c r="K113">
        <v>1</v>
      </c>
      <c r="L113" t="s">
        <v>839</v>
      </c>
      <c r="M113" t="s">
        <v>8</v>
      </c>
      <c r="N113" t="s">
        <v>189</v>
      </c>
      <c r="O113" t="s">
        <v>70</v>
      </c>
      <c r="P113" t="s">
        <v>689</v>
      </c>
      <c r="T113">
        <v>1</v>
      </c>
      <c r="U113" s="8">
        <f t="shared" si="15"/>
        <v>1</v>
      </c>
      <c r="AD113" t="str">
        <f t="shared" si="14"/>
        <v>e</v>
      </c>
      <c r="AE113" t="str">
        <f t="shared" si="18"/>
        <v>Pass</v>
      </c>
      <c r="AF113" t="str">
        <f t="shared" si="16"/>
        <v>Pass_Completed</v>
      </c>
      <c r="AG113" t="str">
        <f t="shared" si="17"/>
        <v>Pass-Forehand</v>
      </c>
      <c r="AN113" t="str">
        <f t="shared" si="19"/>
        <v>Offensive</v>
      </c>
      <c r="BD113" s="23"/>
      <c r="BF113" s="21"/>
    </row>
    <row r="114" spans="1:58" x14ac:dyDescent="0.2">
      <c r="A114">
        <v>54</v>
      </c>
      <c r="J114">
        <v>87</v>
      </c>
      <c r="K114">
        <v>1</v>
      </c>
      <c r="U114" s="8">
        <f t="shared" si="15"/>
        <v>1</v>
      </c>
      <c r="AD114" t="str">
        <f t="shared" si="14"/>
        <v>e</v>
      </c>
      <c r="AE114" t="str">
        <f t="shared" si="18"/>
        <v>Pass</v>
      </c>
      <c r="AF114" t="str">
        <f t="shared" si="16"/>
        <v>Pass_Completed</v>
      </c>
      <c r="AG114" t="str">
        <f t="shared" si="17"/>
        <v>Pass-Forehand</v>
      </c>
      <c r="AN114" t="str">
        <f t="shared" si="19"/>
        <v>Offensive</v>
      </c>
      <c r="BD114" s="23"/>
      <c r="BF114" s="21"/>
    </row>
    <row r="115" spans="1:58" x14ac:dyDescent="0.2">
      <c r="A115">
        <v>54</v>
      </c>
      <c r="J115">
        <v>91</v>
      </c>
      <c r="T115">
        <v>1</v>
      </c>
      <c r="U115" s="8">
        <f t="shared" si="15"/>
        <v>1</v>
      </c>
      <c r="AD115" t="str">
        <f t="shared" si="14"/>
        <v>o</v>
      </c>
      <c r="AE115" t="str">
        <f t="shared" si="18"/>
        <v>Pass</v>
      </c>
      <c r="AF115" t="str">
        <f t="shared" si="16"/>
        <v>Pass_Completed</v>
      </c>
      <c r="AG115" t="str">
        <f t="shared" si="17"/>
        <v>Pass-Forehand</v>
      </c>
      <c r="AN115" t="str">
        <f t="shared" si="19"/>
        <v>Defensive</v>
      </c>
      <c r="BD115" s="23"/>
      <c r="BF115" s="21"/>
    </row>
    <row r="116" spans="1:58" x14ac:dyDescent="0.2">
      <c r="A116">
        <v>55</v>
      </c>
      <c r="E116" s="5" t="s">
        <v>871</v>
      </c>
      <c r="F116" s="5" t="s">
        <v>880</v>
      </c>
      <c r="G116" s="5" t="s">
        <v>871</v>
      </c>
      <c r="H116" s="7" t="s">
        <v>881</v>
      </c>
      <c r="I116" t="s">
        <v>835</v>
      </c>
      <c r="J116">
        <v>87</v>
      </c>
      <c r="K116">
        <v>1</v>
      </c>
      <c r="L116" t="s">
        <v>401</v>
      </c>
      <c r="M116" t="s">
        <v>257</v>
      </c>
      <c r="N116" t="s">
        <v>201</v>
      </c>
      <c r="O116" t="s">
        <v>90</v>
      </c>
      <c r="P116" t="s">
        <v>688</v>
      </c>
      <c r="Q116" t="s">
        <v>711</v>
      </c>
      <c r="S116" t="s">
        <v>688</v>
      </c>
      <c r="T116">
        <v>1</v>
      </c>
      <c r="U116" s="8">
        <f t="shared" si="15"/>
        <v>1</v>
      </c>
      <c r="AD116" t="str">
        <f t="shared" si="14"/>
        <v>e</v>
      </c>
      <c r="AE116" t="str">
        <f t="shared" si="18"/>
        <v>Zone_Entry_Exit</v>
      </c>
      <c r="AF116" t="str">
        <f t="shared" si="16"/>
        <v>Zone_Exit</v>
      </c>
      <c r="AG116" t="str">
        <f t="shared" si="17"/>
        <v>ZoneExit-Rush</v>
      </c>
      <c r="AN116" t="str">
        <f t="shared" si="19"/>
        <v>Offensive</v>
      </c>
      <c r="BD116" s="23"/>
      <c r="BF116" s="21"/>
    </row>
    <row r="117" spans="1:58" x14ac:dyDescent="0.2">
      <c r="A117">
        <v>55</v>
      </c>
      <c r="J117">
        <v>17</v>
      </c>
      <c r="Q117" t="s">
        <v>775</v>
      </c>
      <c r="R117" t="s">
        <v>696</v>
      </c>
      <c r="S117" t="s">
        <v>689</v>
      </c>
      <c r="T117">
        <v>1</v>
      </c>
      <c r="U117" s="8">
        <f t="shared" si="15"/>
        <v>1</v>
      </c>
      <c r="AD117" t="str">
        <f t="shared" si="14"/>
        <v>o</v>
      </c>
      <c r="AE117" t="str">
        <f t="shared" si="18"/>
        <v>Zone_Entry_Exit</v>
      </c>
      <c r="AF117" t="str">
        <f t="shared" si="16"/>
        <v>Zone_Exit</v>
      </c>
      <c r="AG117" t="str">
        <f t="shared" si="17"/>
        <v>ZoneExit-Rush</v>
      </c>
      <c r="AN117" t="str">
        <f t="shared" si="19"/>
        <v>Defensive</v>
      </c>
      <c r="BD117" s="23"/>
      <c r="BF117" s="21"/>
    </row>
    <row r="118" spans="1:58" x14ac:dyDescent="0.2">
      <c r="A118">
        <v>56</v>
      </c>
      <c r="E118" s="5" t="s">
        <v>871</v>
      </c>
      <c r="F118" s="5" t="s">
        <v>881</v>
      </c>
      <c r="I118" t="s">
        <v>840</v>
      </c>
      <c r="J118">
        <v>17</v>
      </c>
      <c r="K118">
        <v>1</v>
      </c>
      <c r="L118" t="s">
        <v>845</v>
      </c>
      <c r="M118" t="s">
        <v>247</v>
      </c>
      <c r="N118" t="s">
        <v>422</v>
      </c>
      <c r="O118" t="s">
        <v>465</v>
      </c>
      <c r="P118" t="s">
        <v>689</v>
      </c>
      <c r="Q118" t="s">
        <v>775</v>
      </c>
      <c r="R118" t="s">
        <v>696</v>
      </c>
      <c r="S118" t="s">
        <v>689</v>
      </c>
      <c r="T118">
        <v>1</v>
      </c>
      <c r="U118" s="8">
        <f t="shared" si="15"/>
        <v>1</v>
      </c>
      <c r="AD118" t="str">
        <f t="shared" si="14"/>
        <v>e</v>
      </c>
      <c r="AE118" t="str">
        <f t="shared" si="18"/>
        <v>Play</v>
      </c>
      <c r="AF118" t="str">
        <f t="shared" si="16"/>
        <v>Play_Defensive</v>
      </c>
      <c r="AG118" t="str">
        <f t="shared" si="17"/>
        <v>Play-PokeCheck</v>
      </c>
      <c r="AN118" t="str">
        <f t="shared" si="19"/>
        <v>Defensive</v>
      </c>
      <c r="BD118" s="23"/>
      <c r="BF118" s="21"/>
    </row>
    <row r="119" spans="1:58" x14ac:dyDescent="0.2">
      <c r="A119">
        <v>56</v>
      </c>
      <c r="J119">
        <v>87</v>
      </c>
      <c r="Q119" t="s">
        <v>711</v>
      </c>
      <c r="S119" t="s">
        <v>688</v>
      </c>
      <c r="T119">
        <v>1</v>
      </c>
      <c r="U119" s="8">
        <f t="shared" si="15"/>
        <v>1</v>
      </c>
      <c r="AD119" t="str">
        <f t="shared" si="14"/>
        <v>o</v>
      </c>
      <c r="AE119" t="str">
        <f t="shared" si="18"/>
        <v>Play</v>
      </c>
      <c r="AF119" t="str">
        <f t="shared" si="16"/>
        <v>Play_Defensive</v>
      </c>
      <c r="AG119" t="str">
        <f t="shared" si="17"/>
        <v>Play-PokeCheck</v>
      </c>
      <c r="AN119" t="str">
        <f t="shared" si="19"/>
        <v>Offensive</v>
      </c>
      <c r="BD119" s="23"/>
      <c r="BF119" s="21"/>
    </row>
    <row r="120" spans="1:58" x14ac:dyDescent="0.2">
      <c r="A120">
        <v>57</v>
      </c>
      <c r="E120" s="5" t="s">
        <v>871</v>
      </c>
      <c r="F120" s="5" t="s">
        <v>851</v>
      </c>
      <c r="I120" t="s">
        <v>835</v>
      </c>
      <c r="J120">
        <v>24</v>
      </c>
      <c r="K120">
        <v>1</v>
      </c>
      <c r="L120" t="s">
        <v>401</v>
      </c>
      <c r="M120" t="s">
        <v>15</v>
      </c>
      <c r="N120" t="s">
        <v>681</v>
      </c>
      <c r="P120" t="s">
        <v>688</v>
      </c>
      <c r="Q120" t="s">
        <v>712</v>
      </c>
      <c r="S120" t="s">
        <v>688</v>
      </c>
      <c r="U120" s="8">
        <f t="shared" si="15"/>
        <v>1</v>
      </c>
      <c r="AD120" t="str">
        <f t="shared" si="14"/>
        <v>e</v>
      </c>
      <c r="AE120" t="str">
        <f t="shared" si="18"/>
        <v>Possession</v>
      </c>
      <c r="AF120" t="str">
        <f t="shared" si="16"/>
        <v>PuckRecovery</v>
      </c>
      <c r="AG120" t="str">
        <f t="shared" si="17"/>
        <v/>
      </c>
      <c r="AN120" t="str">
        <f t="shared" si="19"/>
        <v>Offensive</v>
      </c>
      <c r="BD120" s="23"/>
      <c r="BF120" s="21"/>
    </row>
    <row r="121" spans="1:58" x14ac:dyDescent="0.2">
      <c r="A121">
        <v>58</v>
      </c>
      <c r="B121">
        <v>12</v>
      </c>
      <c r="E121" s="5" t="s">
        <v>871</v>
      </c>
      <c r="F121" s="5" t="s">
        <v>852</v>
      </c>
      <c r="I121" t="s">
        <v>835</v>
      </c>
      <c r="J121">
        <v>24</v>
      </c>
      <c r="K121">
        <v>1</v>
      </c>
      <c r="L121" t="s">
        <v>401</v>
      </c>
      <c r="M121" t="s">
        <v>8</v>
      </c>
      <c r="N121" t="s">
        <v>216</v>
      </c>
      <c r="O121" t="s">
        <v>70</v>
      </c>
      <c r="P121" t="s">
        <v>688</v>
      </c>
      <c r="Q121" t="s">
        <v>749</v>
      </c>
      <c r="S121" t="s">
        <v>401</v>
      </c>
      <c r="U121" s="8">
        <f t="shared" si="15"/>
        <v>1</v>
      </c>
      <c r="AD121" t="str">
        <f t="shared" si="14"/>
        <v>e</v>
      </c>
      <c r="AE121" t="str">
        <f t="shared" si="18"/>
        <v>Pass</v>
      </c>
      <c r="AF121" t="str">
        <f t="shared" si="16"/>
        <v>Pass_Intercepted</v>
      </c>
      <c r="AG121" t="str">
        <f t="shared" si="17"/>
        <v>Pass-Forehand</v>
      </c>
      <c r="AN121" t="str">
        <f t="shared" si="19"/>
        <v>Offensive</v>
      </c>
      <c r="BD121" s="23"/>
      <c r="BF121" s="21"/>
    </row>
    <row r="122" spans="1:58" x14ac:dyDescent="0.2">
      <c r="A122">
        <v>58</v>
      </c>
      <c r="B122">
        <v>12</v>
      </c>
      <c r="J122">
        <v>87</v>
      </c>
      <c r="K122">
        <v>1</v>
      </c>
      <c r="U122" s="8">
        <f t="shared" si="15"/>
        <v>1</v>
      </c>
      <c r="AD122" t="str">
        <f t="shared" si="14"/>
        <v>e</v>
      </c>
      <c r="AE122" t="str">
        <f t="shared" si="18"/>
        <v>Pass</v>
      </c>
      <c r="AF122" t="str">
        <f t="shared" si="16"/>
        <v>Pass_Intercepted</v>
      </c>
      <c r="AG122" t="str">
        <f t="shared" si="17"/>
        <v>Pass-Forehand</v>
      </c>
      <c r="AN122" t="str">
        <f t="shared" si="19"/>
        <v>Offensive</v>
      </c>
      <c r="BD122" s="23"/>
      <c r="BF122" s="21"/>
    </row>
    <row r="123" spans="1:58" x14ac:dyDescent="0.2">
      <c r="A123">
        <v>58</v>
      </c>
      <c r="B123">
        <v>12</v>
      </c>
      <c r="J123">
        <v>17</v>
      </c>
      <c r="Q123" t="s">
        <v>700</v>
      </c>
      <c r="S123" t="s">
        <v>689</v>
      </c>
      <c r="U123" s="8">
        <f t="shared" si="15"/>
        <v>1</v>
      </c>
      <c r="AD123" t="str">
        <f t="shared" si="14"/>
        <v>o</v>
      </c>
      <c r="AE123" t="str">
        <f t="shared" si="18"/>
        <v>Pass</v>
      </c>
      <c r="AF123" t="str">
        <f t="shared" si="16"/>
        <v>Pass_Intercepted</v>
      </c>
      <c r="AG123" t="str">
        <f t="shared" si="17"/>
        <v>Pass-Forehand</v>
      </c>
      <c r="AN123" t="str">
        <f t="shared" si="19"/>
        <v>Defensive</v>
      </c>
      <c r="BD123" s="23"/>
      <c r="BF123" s="21"/>
    </row>
    <row r="124" spans="1:58" x14ac:dyDescent="0.2">
      <c r="A124">
        <v>59</v>
      </c>
      <c r="B124">
        <v>12</v>
      </c>
      <c r="E124" s="5" t="s">
        <v>871</v>
      </c>
      <c r="F124" s="5" t="s">
        <v>852</v>
      </c>
      <c r="I124" t="s">
        <v>835</v>
      </c>
      <c r="J124">
        <v>24</v>
      </c>
      <c r="K124">
        <v>1</v>
      </c>
      <c r="L124" t="s">
        <v>401</v>
      </c>
      <c r="M124" t="s">
        <v>10</v>
      </c>
      <c r="N124" t="s">
        <v>190</v>
      </c>
      <c r="O124" t="s">
        <v>75</v>
      </c>
      <c r="Q124" t="s">
        <v>749</v>
      </c>
      <c r="S124" t="s">
        <v>401</v>
      </c>
      <c r="U124" s="8">
        <f t="shared" si="15"/>
        <v>1</v>
      </c>
      <c r="AD124" t="str">
        <f t="shared" si="14"/>
        <v>e</v>
      </c>
      <c r="AE124" t="str">
        <f t="shared" si="18"/>
        <v>Turnover</v>
      </c>
      <c r="AF124" t="str">
        <f t="shared" si="16"/>
        <v>Turnover_Giveaway</v>
      </c>
      <c r="AG124" t="str">
        <f t="shared" si="17"/>
        <v>Giveaway-PassIntercepted</v>
      </c>
      <c r="AN124" t="str">
        <f t="shared" si="19"/>
        <v>Offensive</v>
      </c>
      <c r="BD124" s="23"/>
      <c r="BF124" s="21"/>
    </row>
    <row r="125" spans="1:58" x14ac:dyDescent="0.2">
      <c r="A125">
        <v>59</v>
      </c>
      <c r="B125">
        <v>12</v>
      </c>
      <c r="J125">
        <v>87</v>
      </c>
      <c r="K125">
        <v>1</v>
      </c>
      <c r="U125" s="8">
        <f t="shared" si="15"/>
        <v>1</v>
      </c>
      <c r="AD125" t="str">
        <f t="shared" si="14"/>
        <v>e</v>
      </c>
      <c r="AE125" t="str">
        <f t="shared" si="18"/>
        <v>Turnover</v>
      </c>
      <c r="AF125" t="str">
        <f t="shared" si="16"/>
        <v>Turnover_Giveaway</v>
      </c>
      <c r="AG125" t="str">
        <f t="shared" si="17"/>
        <v>Giveaway-PassIntercepted</v>
      </c>
      <c r="AN125" t="str">
        <f t="shared" si="19"/>
        <v>Offensive</v>
      </c>
      <c r="BD125" s="23"/>
      <c r="BF125" s="21"/>
    </row>
    <row r="126" spans="1:58" x14ac:dyDescent="0.2">
      <c r="A126">
        <v>59</v>
      </c>
      <c r="B126">
        <v>12</v>
      </c>
      <c r="J126">
        <v>17</v>
      </c>
      <c r="Q126" t="s">
        <v>700</v>
      </c>
      <c r="S126" t="s">
        <v>689</v>
      </c>
      <c r="U126" s="8">
        <f t="shared" si="15"/>
        <v>1</v>
      </c>
      <c r="AD126" t="str">
        <f t="shared" si="14"/>
        <v>o</v>
      </c>
      <c r="AE126" t="str">
        <f t="shared" si="18"/>
        <v>Turnover</v>
      </c>
      <c r="AF126" t="str">
        <f t="shared" si="16"/>
        <v>Turnover_Giveaway</v>
      </c>
      <c r="AG126" t="str">
        <f t="shared" si="17"/>
        <v>Giveaway-PassIntercepted</v>
      </c>
      <c r="AN126" t="str">
        <f t="shared" si="19"/>
        <v>Defensive</v>
      </c>
      <c r="BD126" s="23"/>
      <c r="BF126" s="21"/>
    </row>
    <row r="127" spans="1:58" x14ac:dyDescent="0.2">
      <c r="A127">
        <v>60</v>
      </c>
      <c r="E127" s="5" t="s">
        <v>871</v>
      </c>
      <c r="F127" s="5" t="s">
        <v>855</v>
      </c>
      <c r="I127" t="s">
        <v>840</v>
      </c>
      <c r="J127">
        <v>17</v>
      </c>
      <c r="K127">
        <v>1</v>
      </c>
      <c r="L127" t="s">
        <v>845</v>
      </c>
      <c r="M127" t="s">
        <v>257</v>
      </c>
      <c r="N127" t="s">
        <v>201</v>
      </c>
      <c r="O127" t="s">
        <v>90</v>
      </c>
      <c r="P127" t="s">
        <v>689</v>
      </c>
      <c r="T127">
        <v>1</v>
      </c>
      <c r="U127" s="8">
        <f t="shared" si="15"/>
        <v>1</v>
      </c>
      <c r="AD127" t="str">
        <f t="shared" si="14"/>
        <v>e</v>
      </c>
      <c r="AE127" t="str">
        <f t="shared" si="18"/>
        <v>Zone_Entry_Exit</v>
      </c>
      <c r="AF127" t="str">
        <f t="shared" si="16"/>
        <v>Zone_Exit</v>
      </c>
      <c r="AG127" t="str">
        <f t="shared" si="17"/>
        <v>ZoneExit-Rush</v>
      </c>
      <c r="AN127" t="str">
        <f t="shared" si="19"/>
        <v>Offensive</v>
      </c>
      <c r="BD127" s="23"/>
      <c r="BF127" s="21"/>
    </row>
    <row r="128" spans="1:58" x14ac:dyDescent="0.2">
      <c r="A128">
        <v>60</v>
      </c>
      <c r="J128">
        <v>24</v>
      </c>
      <c r="T128">
        <v>1</v>
      </c>
      <c r="U128" s="8">
        <f t="shared" si="15"/>
        <v>1</v>
      </c>
      <c r="AD128" t="str">
        <f t="shared" si="14"/>
        <v>o</v>
      </c>
      <c r="AE128" t="str">
        <f t="shared" si="18"/>
        <v>Zone_Entry_Exit</v>
      </c>
      <c r="AF128" t="str">
        <f t="shared" si="16"/>
        <v>Zone_Exit</v>
      </c>
      <c r="AG128" t="str">
        <f t="shared" si="17"/>
        <v>ZoneExit-Rush</v>
      </c>
      <c r="AN128" t="str">
        <f t="shared" si="19"/>
        <v>Defensive</v>
      </c>
      <c r="BD128" s="23"/>
      <c r="BF128" s="21"/>
    </row>
    <row r="129" spans="1:58" x14ac:dyDescent="0.2">
      <c r="A129">
        <v>61</v>
      </c>
      <c r="E129" s="5" t="s">
        <v>871</v>
      </c>
      <c r="F129" s="5" t="s">
        <v>855</v>
      </c>
      <c r="G129" s="5" t="s">
        <v>871</v>
      </c>
      <c r="H129" s="7" t="s">
        <v>882</v>
      </c>
      <c r="I129" t="s">
        <v>840</v>
      </c>
      <c r="J129">
        <v>17</v>
      </c>
      <c r="K129">
        <v>1</v>
      </c>
      <c r="L129" t="s">
        <v>839</v>
      </c>
      <c r="M129" t="s">
        <v>15</v>
      </c>
      <c r="U129" s="8">
        <f t="shared" si="15"/>
        <v>1</v>
      </c>
      <c r="AD129" t="str">
        <f t="shared" si="14"/>
        <v>e</v>
      </c>
      <c r="AE129" t="str">
        <f t="shared" si="18"/>
        <v>Possession</v>
      </c>
      <c r="AF129" t="str">
        <f t="shared" si="16"/>
        <v/>
      </c>
      <c r="AG129" t="str">
        <f t="shared" si="17"/>
        <v/>
      </c>
      <c r="AN129" t="str">
        <f t="shared" si="19"/>
        <v>Offensive</v>
      </c>
      <c r="BD129" s="23"/>
      <c r="BF129" s="21"/>
    </row>
    <row r="130" spans="1:58" x14ac:dyDescent="0.2">
      <c r="A130">
        <v>62</v>
      </c>
      <c r="E130" s="5" t="s">
        <v>871</v>
      </c>
      <c r="F130" s="5" t="s">
        <v>882</v>
      </c>
      <c r="G130" s="5" t="s">
        <v>871</v>
      </c>
      <c r="H130" s="7" t="s">
        <v>856</v>
      </c>
      <c r="I130" t="s">
        <v>840</v>
      </c>
      <c r="J130">
        <v>17</v>
      </c>
      <c r="K130">
        <v>1</v>
      </c>
      <c r="L130" t="s">
        <v>401</v>
      </c>
      <c r="M130" t="s">
        <v>257</v>
      </c>
      <c r="N130" t="s">
        <v>191</v>
      </c>
      <c r="O130" t="s">
        <v>87</v>
      </c>
      <c r="P130" t="s">
        <v>689</v>
      </c>
      <c r="U130" s="8">
        <f t="shared" si="15"/>
        <v>1</v>
      </c>
      <c r="AD130" t="str">
        <f t="shared" ref="AD130:AD193" si="20">IF(K130="x","",IF(K130=1,"e","o"))</f>
        <v>e</v>
      </c>
      <c r="AE130" t="str">
        <f t="shared" si="18"/>
        <v>Zone_Entry_Exit</v>
      </c>
      <c r="AF130" t="str">
        <f t="shared" si="16"/>
        <v>Zone_Entry</v>
      </c>
      <c r="AG130" t="str">
        <f t="shared" si="17"/>
        <v>ZoneEntry-Rush</v>
      </c>
      <c r="AN130" t="str">
        <f t="shared" si="19"/>
        <v>Offensive</v>
      </c>
      <c r="BD130" s="23"/>
      <c r="BF130" s="21"/>
    </row>
    <row r="131" spans="1:58" x14ac:dyDescent="0.2">
      <c r="A131">
        <v>62</v>
      </c>
      <c r="J131">
        <v>9</v>
      </c>
      <c r="U131" s="8">
        <f t="shared" ref="U131:U194" si="21">IF(M131="Intermission",U130+1,U130)</f>
        <v>1</v>
      </c>
      <c r="AD131" t="str">
        <f t="shared" si="20"/>
        <v>o</v>
      </c>
      <c r="AE131" t="str">
        <f t="shared" si="18"/>
        <v>Zone_Entry_Exit</v>
      </c>
      <c r="AF131" t="str">
        <f t="shared" ref="AF131:AF194" si="22">IF(N131&lt;&gt;"",N131,IF($A131=$A130,AF130,""))</f>
        <v>Zone_Entry</v>
      </c>
      <c r="AG131" t="str">
        <f t="shared" ref="AG131:AG194" si="23">IF(O131&lt;&gt;"",O131,IF($A131=$A130,AG130,""))</f>
        <v>ZoneEntry-Rush</v>
      </c>
      <c r="AN131" t="str">
        <f t="shared" si="19"/>
        <v>Defensive</v>
      </c>
      <c r="BD131" s="23"/>
      <c r="BF131" s="21"/>
    </row>
    <row r="132" spans="1:58" x14ac:dyDescent="0.2">
      <c r="A132">
        <v>63</v>
      </c>
      <c r="B132">
        <v>13</v>
      </c>
      <c r="E132" s="5" t="s">
        <v>871</v>
      </c>
      <c r="F132" s="5" t="s">
        <v>856</v>
      </c>
      <c r="I132" t="s">
        <v>840</v>
      </c>
      <c r="J132">
        <v>17</v>
      </c>
      <c r="K132">
        <v>1</v>
      </c>
      <c r="L132" t="s">
        <v>401</v>
      </c>
      <c r="M132" t="s">
        <v>7</v>
      </c>
      <c r="N132" t="s">
        <v>222</v>
      </c>
      <c r="O132" t="s">
        <v>53</v>
      </c>
      <c r="P132" t="s">
        <v>689</v>
      </c>
      <c r="U132" s="8">
        <f t="shared" si="21"/>
        <v>1</v>
      </c>
      <c r="AD132" t="str">
        <f t="shared" si="20"/>
        <v>e</v>
      </c>
      <c r="AE132" t="str">
        <f t="shared" ref="AE132:AE195" si="24">IF(M132&lt;&gt;"",M132,IF($A132=$A131,AE131,""))</f>
        <v>Shot</v>
      </c>
      <c r="AF132" t="str">
        <f t="shared" si="22"/>
        <v>Shot_OnNetSaved</v>
      </c>
      <c r="AG132" t="str">
        <f t="shared" si="23"/>
        <v>Shot-Wrist</v>
      </c>
      <c r="AN132" t="str">
        <f t="shared" si="19"/>
        <v>Offensive</v>
      </c>
      <c r="BD132" s="23"/>
      <c r="BF132" s="21"/>
    </row>
    <row r="133" spans="1:58" x14ac:dyDescent="0.2">
      <c r="A133">
        <v>63</v>
      </c>
      <c r="B133">
        <v>13</v>
      </c>
      <c r="J133">
        <v>39</v>
      </c>
      <c r="U133" s="8">
        <f t="shared" si="21"/>
        <v>1</v>
      </c>
      <c r="AD133" t="str">
        <f t="shared" si="20"/>
        <v>o</v>
      </c>
      <c r="AE133" t="str">
        <f t="shared" si="24"/>
        <v>Shot</v>
      </c>
      <c r="AF133" t="str">
        <f t="shared" si="22"/>
        <v>Shot_OnNetSaved</v>
      </c>
      <c r="AG133" t="str">
        <f t="shared" si="23"/>
        <v>Shot-Wrist</v>
      </c>
      <c r="AN133" t="str">
        <f t="shared" si="19"/>
        <v>Defensive</v>
      </c>
      <c r="BD133" s="23"/>
      <c r="BF133" s="21"/>
    </row>
    <row r="134" spans="1:58" x14ac:dyDescent="0.2">
      <c r="A134">
        <v>63</v>
      </c>
      <c r="B134">
        <v>13</v>
      </c>
      <c r="J134">
        <v>9</v>
      </c>
      <c r="Q134" t="s">
        <v>699</v>
      </c>
      <c r="U134" s="8">
        <f t="shared" si="21"/>
        <v>1</v>
      </c>
      <c r="AD134" t="str">
        <f t="shared" si="20"/>
        <v>o</v>
      </c>
      <c r="AE134" t="str">
        <f t="shared" si="24"/>
        <v>Shot</v>
      </c>
      <c r="AF134" t="str">
        <f t="shared" si="22"/>
        <v>Shot_OnNetSaved</v>
      </c>
      <c r="AG134" t="str">
        <f t="shared" si="23"/>
        <v>Shot-Wrist</v>
      </c>
      <c r="AN134" t="str">
        <f t="shared" si="19"/>
        <v>Defensive</v>
      </c>
      <c r="BD134" s="23"/>
      <c r="BF134" s="21"/>
    </row>
    <row r="135" spans="1:58" x14ac:dyDescent="0.2">
      <c r="A135">
        <v>64</v>
      </c>
      <c r="B135">
        <v>13</v>
      </c>
      <c r="E135" s="5" t="s">
        <v>871</v>
      </c>
      <c r="F135" s="5" t="s">
        <v>856</v>
      </c>
      <c r="I135" t="s">
        <v>835</v>
      </c>
      <c r="J135">
        <v>39</v>
      </c>
      <c r="K135">
        <v>1</v>
      </c>
      <c r="L135" t="s">
        <v>845</v>
      </c>
      <c r="M135" t="s">
        <v>17</v>
      </c>
      <c r="N135" t="s">
        <v>206</v>
      </c>
      <c r="O135" t="s">
        <v>103</v>
      </c>
      <c r="U135" s="8">
        <f t="shared" si="21"/>
        <v>1</v>
      </c>
      <c r="AD135" t="str">
        <f t="shared" si="20"/>
        <v>e</v>
      </c>
      <c r="AE135" t="str">
        <f t="shared" si="24"/>
        <v>Save</v>
      </c>
      <c r="AF135" t="str">
        <f t="shared" si="22"/>
        <v>Save_Freeze</v>
      </c>
      <c r="AG135" t="str">
        <f t="shared" si="23"/>
        <v>Save-Chest</v>
      </c>
      <c r="AN135" t="str">
        <f t="shared" si="19"/>
        <v>Defensive</v>
      </c>
      <c r="BD135" s="23"/>
      <c r="BF135" s="21"/>
    </row>
    <row r="136" spans="1:58" x14ac:dyDescent="0.2">
      <c r="A136">
        <v>64</v>
      </c>
      <c r="B136">
        <v>13</v>
      </c>
      <c r="J136">
        <v>9</v>
      </c>
      <c r="K136">
        <v>1</v>
      </c>
      <c r="Q136" t="s">
        <v>699</v>
      </c>
      <c r="U136" s="8">
        <f t="shared" si="21"/>
        <v>1</v>
      </c>
      <c r="AD136" t="str">
        <f t="shared" si="20"/>
        <v>e</v>
      </c>
      <c r="AE136" t="str">
        <f t="shared" si="24"/>
        <v>Save</v>
      </c>
      <c r="AF136" t="str">
        <f t="shared" si="22"/>
        <v>Save_Freeze</v>
      </c>
      <c r="AG136" t="str">
        <f t="shared" si="23"/>
        <v>Save-Chest</v>
      </c>
      <c r="AN136" t="str">
        <f t="shared" si="19"/>
        <v>Defensive</v>
      </c>
      <c r="BD136" s="23"/>
      <c r="BF136" s="21"/>
    </row>
    <row r="137" spans="1:58" x14ac:dyDescent="0.2">
      <c r="A137">
        <v>64</v>
      </c>
      <c r="B137">
        <v>13</v>
      </c>
      <c r="J137">
        <v>17</v>
      </c>
      <c r="U137" s="8">
        <f t="shared" si="21"/>
        <v>1</v>
      </c>
      <c r="AD137" t="str">
        <f t="shared" si="20"/>
        <v>o</v>
      </c>
      <c r="AE137" t="str">
        <f t="shared" si="24"/>
        <v>Save</v>
      </c>
      <c r="AF137" t="str">
        <f t="shared" si="22"/>
        <v>Save_Freeze</v>
      </c>
      <c r="AG137" t="str">
        <f t="shared" si="23"/>
        <v>Save-Chest</v>
      </c>
      <c r="AN137" t="str">
        <f t="shared" ref="AN137:AN200" si="25">IF(AND(AD137="e",OR(AE137="Save",AF137="Turnover_Takeaway",AF137="Play_Defensive")),"Defensive",IF(AND(AD137="o",OR(AE137="Save",AF137="Turnover_Takeaway",AF137="Play_Defensive")),"Offensive",IF(OR(AE137="Deadice",AE137="Stoppage",AE137="Intermission"),"",IF(AD137="e","Offensive",IF(AD137="o","Defensive","")))))</f>
        <v>Offensive</v>
      </c>
      <c r="BD137" s="23"/>
      <c r="BF137" s="21"/>
    </row>
    <row r="138" spans="1:58" x14ac:dyDescent="0.2">
      <c r="A138">
        <v>65</v>
      </c>
      <c r="B138">
        <v>13</v>
      </c>
      <c r="E138" s="5" t="s">
        <v>871</v>
      </c>
      <c r="F138" s="5" t="s">
        <v>883</v>
      </c>
      <c r="I138" t="s">
        <v>835</v>
      </c>
      <c r="J138">
        <v>39</v>
      </c>
      <c r="K138">
        <v>1</v>
      </c>
      <c r="L138" t="s">
        <v>845</v>
      </c>
      <c r="M138" t="s">
        <v>13</v>
      </c>
      <c r="N138" t="s">
        <v>204</v>
      </c>
      <c r="O138" t="s">
        <v>110</v>
      </c>
      <c r="U138" s="8">
        <f t="shared" si="21"/>
        <v>1</v>
      </c>
      <c r="AD138" t="str">
        <f t="shared" si="20"/>
        <v>e</v>
      </c>
      <c r="AE138" t="str">
        <f t="shared" si="24"/>
        <v>Stoppage</v>
      </c>
      <c r="AF138" t="str">
        <f t="shared" si="22"/>
        <v>Stoppage_Play</v>
      </c>
      <c r="AG138" t="str">
        <f t="shared" si="23"/>
        <v>Stoppage-GoalieStoppage</v>
      </c>
      <c r="AN138" t="str">
        <f t="shared" si="25"/>
        <v/>
      </c>
      <c r="BD138" s="23"/>
      <c r="BF138" s="21"/>
    </row>
    <row r="139" spans="1:58" x14ac:dyDescent="0.2">
      <c r="A139">
        <v>66</v>
      </c>
      <c r="B139">
        <v>13</v>
      </c>
      <c r="E139" s="5" t="s">
        <v>871</v>
      </c>
      <c r="F139" s="5" t="s">
        <v>883</v>
      </c>
      <c r="G139" s="5" t="s">
        <v>871</v>
      </c>
      <c r="H139" s="7" t="s">
        <v>884</v>
      </c>
      <c r="I139" t="s">
        <v>835</v>
      </c>
      <c r="J139">
        <v>39</v>
      </c>
      <c r="K139">
        <v>1</v>
      </c>
      <c r="L139" t="s">
        <v>845</v>
      </c>
      <c r="M139" t="s">
        <v>262</v>
      </c>
      <c r="U139" s="8">
        <f t="shared" si="21"/>
        <v>1</v>
      </c>
      <c r="AD139" t="str">
        <f t="shared" si="20"/>
        <v>e</v>
      </c>
      <c r="AE139" t="str">
        <f t="shared" si="24"/>
        <v>DeadIce</v>
      </c>
      <c r="AF139" t="str">
        <f t="shared" si="22"/>
        <v/>
      </c>
      <c r="AG139" t="str">
        <f t="shared" si="23"/>
        <v/>
      </c>
      <c r="AN139" t="str">
        <f t="shared" si="25"/>
        <v/>
      </c>
      <c r="BD139" s="23"/>
      <c r="BF139" s="21"/>
    </row>
    <row r="140" spans="1:58" x14ac:dyDescent="0.2">
      <c r="A140">
        <v>67</v>
      </c>
      <c r="E140" s="5" t="s">
        <v>871</v>
      </c>
      <c r="F140" s="5" t="s">
        <v>884</v>
      </c>
      <c r="I140" t="s">
        <v>835</v>
      </c>
      <c r="J140">
        <v>42</v>
      </c>
      <c r="K140">
        <v>1</v>
      </c>
      <c r="L140" t="s">
        <v>845</v>
      </c>
      <c r="M140" t="s">
        <v>6</v>
      </c>
      <c r="N140" t="s">
        <v>255</v>
      </c>
      <c r="U140" s="8">
        <f t="shared" si="21"/>
        <v>1</v>
      </c>
      <c r="AD140" t="str">
        <f t="shared" si="20"/>
        <v>e</v>
      </c>
      <c r="AE140" t="str">
        <f t="shared" si="24"/>
        <v>Faceoff</v>
      </c>
      <c r="AF140" t="str">
        <f t="shared" si="22"/>
        <v>Faceoff_AfterStoppage</v>
      </c>
      <c r="AG140" t="str">
        <f t="shared" si="23"/>
        <v/>
      </c>
      <c r="AN140" t="str">
        <f t="shared" si="25"/>
        <v>Offensive</v>
      </c>
      <c r="BD140" s="23"/>
      <c r="BF140" s="21"/>
    </row>
    <row r="141" spans="1:58" x14ac:dyDescent="0.2">
      <c r="A141">
        <v>67</v>
      </c>
      <c r="J141">
        <v>24</v>
      </c>
      <c r="K141">
        <v>1</v>
      </c>
      <c r="U141" s="8">
        <f t="shared" si="21"/>
        <v>1</v>
      </c>
      <c r="AD141" t="str">
        <f t="shared" si="20"/>
        <v>e</v>
      </c>
      <c r="AE141" t="str">
        <f t="shared" si="24"/>
        <v>Faceoff</v>
      </c>
      <c r="AF141" t="str">
        <f t="shared" si="22"/>
        <v>Faceoff_AfterStoppage</v>
      </c>
      <c r="AG141" t="str">
        <f t="shared" si="23"/>
        <v/>
      </c>
      <c r="AN141" t="str">
        <f t="shared" si="25"/>
        <v>Offensive</v>
      </c>
      <c r="BD141" s="23"/>
      <c r="BF141" s="21"/>
    </row>
    <row r="142" spans="1:58" x14ac:dyDescent="0.2">
      <c r="A142">
        <v>67</v>
      </c>
      <c r="J142">
        <v>13</v>
      </c>
      <c r="U142" s="8">
        <f t="shared" si="21"/>
        <v>1</v>
      </c>
      <c r="AD142" t="str">
        <f t="shared" si="20"/>
        <v>o</v>
      </c>
      <c r="AE142" t="str">
        <f t="shared" si="24"/>
        <v>Faceoff</v>
      </c>
      <c r="AF142" t="str">
        <f t="shared" si="22"/>
        <v>Faceoff_AfterStoppage</v>
      </c>
      <c r="AG142" t="str">
        <f t="shared" si="23"/>
        <v/>
      </c>
      <c r="AN142" t="str">
        <f t="shared" si="25"/>
        <v>Defensive</v>
      </c>
      <c r="BD142" s="23"/>
      <c r="BF142" s="21"/>
    </row>
    <row r="143" spans="1:58" x14ac:dyDescent="0.2">
      <c r="A143">
        <v>68</v>
      </c>
      <c r="B143">
        <v>14</v>
      </c>
      <c r="E143" s="5" t="s">
        <v>871</v>
      </c>
      <c r="F143" s="5" t="s">
        <v>446</v>
      </c>
      <c r="I143" t="s">
        <v>835</v>
      </c>
      <c r="J143">
        <v>24</v>
      </c>
      <c r="K143">
        <v>1</v>
      </c>
      <c r="L143" t="s">
        <v>845</v>
      </c>
      <c r="M143" t="s">
        <v>8</v>
      </c>
      <c r="N143" t="s">
        <v>189</v>
      </c>
      <c r="O143" t="s">
        <v>70</v>
      </c>
      <c r="P143" t="s">
        <v>689</v>
      </c>
      <c r="Q143" t="s">
        <v>662</v>
      </c>
      <c r="S143" t="s">
        <v>689</v>
      </c>
      <c r="U143" s="8">
        <f t="shared" si="21"/>
        <v>1</v>
      </c>
      <c r="AD143" t="str">
        <f t="shared" si="20"/>
        <v>e</v>
      </c>
      <c r="AE143" t="str">
        <f t="shared" si="24"/>
        <v>Pass</v>
      </c>
      <c r="AF143" t="str">
        <f t="shared" si="22"/>
        <v>Pass_Completed</v>
      </c>
      <c r="AG143" t="str">
        <f t="shared" si="23"/>
        <v>Pass-Forehand</v>
      </c>
      <c r="AN143" t="str">
        <f t="shared" si="25"/>
        <v>Offensive</v>
      </c>
      <c r="BD143" s="23"/>
      <c r="BF143" s="21"/>
    </row>
    <row r="144" spans="1:58" x14ac:dyDescent="0.2">
      <c r="A144">
        <v>68</v>
      </c>
      <c r="B144">
        <v>14</v>
      </c>
      <c r="J144">
        <v>87</v>
      </c>
      <c r="K144">
        <v>1</v>
      </c>
      <c r="U144" s="8">
        <f t="shared" si="21"/>
        <v>1</v>
      </c>
      <c r="AD144" t="str">
        <f t="shared" si="20"/>
        <v>e</v>
      </c>
      <c r="AE144" t="str">
        <f t="shared" si="24"/>
        <v>Pass</v>
      </c>
      <c r="AF144" t="str">
        <f t="shared" si="22"/>
        <v>Pass_Completed</v>
      </c>
      <c r="AG144" t="str">
        <f t="shared" si="23"/>
        <v>Pass-Forehand</v>
      </c>
      <c r="AN144" t="str">
        <f t="shared" si="25"/>
        <v>Offensive</v>
      </c>
      <c r="BD144" s="23"/>
      <c r="BF144" s="21"/>
    </row>
    <row r="145" spans="1:58" x14ac:dyDescent="0.2">
      <c r="A145">
        <v>69</v>
      </c>
      <c r="B145">
        <v>14</v>
      </c>
      <c r="E145" s="5" t="s">
        <v>871</v>
      </c>
      <c r="F145" s="5" t="s">
        <v>446</v>
      </c>
      <c r="I145" t="s">
        <v>835</v>
      </c>
      <c r="J145">
        <v>24</v>
      </c>
      <c r="K145">
        <v>1</v>
      </c>
      <c r="L145" t="s">
        <v>845</v>
      </c>
      <c r="M145" t="s">
        <v>257</v>
      </c>
      <c r="N145" t="s">
        <v>201</v>
      </c>
      <c r="O145" t="s">
        <v>91</v>
      </c>
      <c r="P145" t="s">
        <v>689</v>
      </c>
      <c r="U145" s="8">
        <f t="shared" si="21"/>
        <v>1</v>
      </c>
      <c r="AD145" t="str">
        <f t="shared" si="20"/>
        <v>e</v>
      </c>
      <c r="AE145" t="str">
        <f t="shared" si="24"/>
        <v>Zone_Entry_Exit</v>
      </c>
      <c r="AF145" t="str">
        <f t="shared" si="22"/>
        <v>Zone_Exit</v>
      </c>
      <c r="AG145" t="str">
        <f t="shared" si="23"/>
        <v>ZoneExit-Pass</v>
      </c>
      <c r="AN145" t="str">
        <f t="shared" si="25"/>
        <v>Offensive</v>
      </c>
      <c r="BD145" s="23"/>
      <c r="BF145" s="21"/>
    </row>
    <row r="146" spans="1:58" x14ac:dyDescent="0.2">
      <c r="A146">
        <v>69</v>
      </c>
      <c r="B146">
        <v>14</v>
      </c>
      <c r="J146">
        <v>87</v>
      </c>
      <c r="K146">
        <v>1</v>
      </c>
      <c r="U146" s="8">
        <f t="shared" si="21"/>
        <v>1</v>
      </c>
      <c r="AD146" t="str">
        <f t="shared" si="20"/>
        <v>e</v>
      </c>
      <c r="AE146" t="str">
        <f t="shared" si="24"/>
        <v>Zone_Entry_Exit</v>
      </c>
      <c r="AF146" t="str">
        <f t="shared" si="22"/>
        <v>Zone_Exit</v>
      </c>
      <c r="AG146" t="str">
        <f t="shared" si="23"/>
        <v>ZoneExit-Pass</v>
      </c>
      <c r="AN146" t="str">
        <f t="shared" si="25"/>
        <v>Offensive</v>
      </c>
      <c r="BD146" s="23"/>
      <c r="BF146" s="21"/>
    </row>
    <row r="147" spans="1:58" x14ac:dyDescent="0.2">
      <c r="A147">
        <v>70</v>
      </c>
      <c r="E147" s="5" t="s">
        <v>864</v>
      </c>
      <c r="F147" s="5" t="s">
        <v>837</v>
      </c>
      <c r="G147" s="5" t="s">
        <v>864</v>
      </c>
      <c r="H147" s="7" t="s">
        <v>872</v>
      </c>
      <c r="I147" t="s">
        <v>835</v>
      </c>
      <c r="J147">
        <v>87</v>
      </c>
      <c r="K147">
        <v>1</v>
      </c>
      <c r="L147" t="s">
        <v>839</v>
      </c>
      <c r="M147" t="s">
        <v>15</v>
      </c>
      <c r="U147" s="8">
        <f t="shared" si="21"/>
        <v>1</v>
      </c>
      <c r="AD147" t="str">
        <f t="shared" si="20"/>
        <v>e</v>
      </c>
      <c r="AE147" t="str">
        <f t="shared" si="24"/>
        <v>Possession</v>
      </c>
      <c r="AF147" t="str">
        <f t="shared" si="22"/>
        <v/>
      </c>
      <c r="AG147" t="str">
        <f t="shared" si="23"/>
        <v/>
      </c>
      <c r="AN147" t="str">
        <f t="shared" si="25"/>
        <v>Offensive</v>
      </c>
      <c r="BD147" s="23"/>
      <c r="BF147" s="21"/>
    </row>
    <row r="148" spans="1:58" x14ac:dyDescent="0.2">
      <c r="A148">
        <v>71</v>
      </c>
      <c r="B148">
        <v>15</v>
      </c>
      <c r="E148" s="5" t="s">
        <v>864</v>
      </c>
      <c r="F148" s="5" t="s">
        <v>872</v>
      </c>
      <c r="I148" t="s">
        <v>835</v>
      </c>
      <c r="J148">
        <v>87</v>
      </c>
      <c r="K148">
        <v>1</v>
      </c>
      <c r="L148" t="s">
        <v>839</v>
      </c>
      <c r="M148" t="s">
        <v>8</v>
      </c>
      <c r="N148" t="s">
        <v>199</v>
      </c>
      <c r="O148" t="s">
        <v>70</v>
      </c>
      <c r="P148" t="s">
        <v>689</v>
      </c>
      <c r="U148" s="8">
        <f t="shared" si="21"/>
        <v>1</v>
      </c>
      <c r="AD148" t="str">
        <f t="shared" si="20"/>
        <v>e</v>
      </c>
      <c r="AE148" t="str">
        <f t="shared" si="24"/>
        <v>Pass</v>
      </c>
      <c r="AF148" t="str">
        <f t="shared" si="22"/>
        <v>Pass_Missed</v>
      </c>
      <c r="AG148" t="str">
        <f t="shared" si="23"/>
        <v>Pass-Forehand</v>
      </c>
      <c r="AN148" t="str">
        <f t="shared" si="25"/>
        <v>Offensive</v>
      </c>
      <c r="BD148" s="23"/>
      <c r="BF148" s="21"/>
    </row>
    <row r="149" spans="1:58" x14ac:dyDescent="0.2">
      <c r="A149">
        <v>71</v>
      </c>
      <c r="B149">
        <v>15</v>
      </c>
      <c r="J149">
        <v>42</v>
      </c>
      <c r="K149">
        <v>1</v>
      </c>
      <c r="Q149" t="s">
        <v>713</v>
      </c>
      <c r="U149" s="8">
        <f t="shared" si="21"/>
        <v>1</v>
      </c>
      <c r="AD149" t="str">
        <f t="shared" si="20"/>
        <v>e</v>
      </c>
      <c r="AE149" t="str">
        <f t="shared" si="24"/>
        <v>Pass</v>
      </c>
      <c r="AF149" t="str">
        <f t="shared" si="22"/>
        <v>Pass_Missed</v>
      </c>
      <c r="AG149" t="str">
        <f t="shared" si="23"/>
        <v>Pass-Forehand</v>
      </c>
      <c r="AN149" t="str">
        <f t="shared" si="25"/>
        <v>Offensive</v>
      </c>
      <c r="BD149" s="23"/>
      <c r="BF149" s="21"/>
    </row>
    <row r="150" spans="1:58" x14ac:dyDescent="0.2">
      <c r="A150">
        <v>72</v>
      </c>
      <c r="B150">
        <v>15</v>
      </c>
      <c r="E150" s="5" t="s">
        <v>864</v>
      </c>
      <c r="F150" s="5" t="s">
        <v>872</v>
      </c>
      <c r="I150" t="s">
        <v>835</v>
      </c>
      <c r="J150">
        <v>87</v>
      </c>
      <c r="K150">
        <v>1</v>
      </c>
      <c r="L150" t="s">
        <v>839</v>
      </c>
      <c r="M150" t="s">
        <v>257</v>
      </c>
      <c r="N150" t="s">
        <v>191</v>
      </c>
      <c r="O150" t="s">
        <v>423</v>
      </c>
      <c r="P150" t="s">
        <v>688</v>
      </c>
      <c r="U150" s="8">
        <f t="shared" si="21"/>
        <v>1</v>
      </c>
      <c r="AD150" t="str">
        <f t="shared" si="20"/>
        <v>e</v>
      </c>
      <c r="AE150" t="str">
        <f t="shared" si="24"/>
        <v>Zone_Entry_Exit</v>
      </c>
      <c r="AF150" t="str">
        <f t="shared" si="22"/>
        <v>Zone_Entry</v>
      </c>
      <c r="AG150" t="str">
        <f t="shared" si="23"/>
        <v>ZoneEntry-PassMiss/Misplay</v>
      </c>
      <c r="AN150" t="str">
        <f t="shared" si="25"/>
        <v>Offensive</v>
      </c>
      <c r="BD150" s="23"/>
      <c r="BF150" s="21"/>
    </row>
    <row r="151" spans="1:58" x14ac:dyDescent="0.2">
      <c r="A151">
        <v>72</v>
      </c>
      <c r="B151">
        <v>15</v>
      </c>
      <c r="J151">
        <v>42</v>
      </c>
      <c r="K151">
        <v>1</v>
      </c>
      <c r="U151" s="8">
        <f t="shared" si="21"/>
        <v>1</v>
      </c>
      <c r="AD151" t="str">
        <f t="shared" si="20"/>
        <v>e</v>
      </c>
      <c r="AE151" t="str">
        <f t="shared" si="24"/>
        <v>Zone_Entry_Exit</v>
      </c>
      <c r="AF151" t="str">
        <f t="shared" si="22"/>
        <v>Zone_Entry</v>
      </c>
      <c r="AG151" t="str">
        <f t="shared" si="23"/>
        <v>ZoneEntry-PassMiss/Misplay</v>
      </c>
      <c r="AN151" t="str">
        <f t="shared" si="25"/>
        <v>Offensive</v>
      </c>
      <c r="BD151" s="23"/>
      <c r="BF151" s="21"/>
    </row>
    <row r="152" spans="1:58" x14ac:dyDescent="0.2">
      <c r="A152">
        <v>73</v>
      </c>
      <c r="E152" s="5" t="s">
        <v>864</v>
      </c>
      <c r="F152" s="5" t="s">
        <v>885</v>
      </c>
      <c r="G152" s="5" t="s">
        <v>864</v>
      </c>
      <c r="H152" s="7" t="s">
        <v>886</v>
      </c>
      <c r="I152" t="s">
        <v>835</v>
      </c>
      <c r="J152">
        <v>42</v>
      </c>
      <c r="K152">
        <v>1</v>
      </c>
      <c r="L152" t="s">
        <v>401</v>
      </c>
      <c r="M152" t="s">
        <v>15</v>
      </c>
      <c r="N152" t="s">
        <v>681</v>
      </c>
      <c r="P152" t="s">
        <v>689</v>
      </c>
      <c r="Q152" t="s">
        <v>714</v>
      </c>
      <c r="S152" t="s">
        <v>689</v>
      </c>
      <c r="U152" s="8">
        <f t="shared" si="21"/>
        <v>1</v>
      </c>
      <c r="AD152" t="str">
        <f t="shared" si="20"/>
        <v>e</v>
      </c>
      <c r="AE152" t="str">
        <f t="shared" si="24"/>
        <v>Possession</v>
      </c>
      <c r="AF152" t="str">
        <f t="shared" si="22"/>
        <v>PuckRecovery</v>
      </c>
      <c r="AG152" t="str">
        <f t="shared" si="23"/>
        <v/>
      </c>
      <c r="AN152" t="str">
        <f t="shared" si="25"/>
        <v>Offensive</v>
      </c>
      <c r="BD152" s="23"/>
      <c r="BF152" s="21"/>
    </row>
    <row r="153" spans="1:58" x14ac:dyDescent="0.2">
      <c r="A153">
        <v>74</v>
      </c>
      <c r="E153" s="5" t="s">
        <v>864</v>
      </c>
      <c r="F153" s="5" t="s">
        <v>886</v>
      </c>
      <c r="I153" t="s">
        <v>835</v>
      </c>
      <c r="J153">
        <v>42</v>
      </c>
      <c r="K153">
        <v>1</v>
      </c>
      <c r="L153" t="s">
        <v>401</v>
      </c>
      <c r="M153" t="s">
        <v>8</v>
      </c>
      <c r="N153" t="s">
        <v>189</v>
      </c>
      <c r="O153" t="s">
        <v>70</v>
      </c>
      <c r="P153" t="s">
        <v>689</v>
      </c>
      <c r="T153">
        <v>1</v>
      </c>
      <c r="U153" s="8">
        <f t="shared" si="21"/>
        <v>1</v>
      </c>
      <c r="AD153" t="str">
        <f t="shared" si="20"/>
        <v>e</v>
      </c>
      <c r="AE153" t="str">
        <f t="shared" si="24"/>
        <v>Pass</v>
      </c>
      <c r="AF153" t="str">
        <f t="shared" si="22"/>
        <v>Pass_Completed</v>
      </c>
      <c r="AG153" t="str">
        <f t="shared" si="23"/>
        <v>Pass-Forehand</v>
      </c>
      <c r="AN153" t="str">
        <f t="shared" si="25"/>
        <v>Offensive</v>
      </c>
      <c r="BD153" s="23"/>
      <c r="BF153" s="21"/>
    </row>
    <row r="154" spans="1:58" x14ac:dyDescent="0.2">
      <c r="A154">
        <v>74</v>
      </c>
      <c r="J154">
        <v>87</v>
      </c>
      <c r="K154">
        <v>1</v>
      </c>
      <c r="U154" s="8">
        <f t="shared" si="21"/>
        <v>1</v>
      </c>
      <c r="AD154" t="str">
        <f t="shared" si="20"/>
        <v>e</v>
      </c>
      <c r="AE154" t="str">
        <f t="shared" si="24"/>
        <v>Pass</v>
      </c>
      <c r="AF154" t="str">
        <f t="shared" si="22"/>
        <v>Pass_Completed</v>
      </c>
      <c r="AG154" t="str">
        <f t="shared" si="23"/>
        <v>Pass-Forehand</v>
      </c>
      <c r="AN154" t="str">
        <f t="shared" si="25"/>
        <v>Offensive</v>
      </c>
      <c r="BD154" s="23"/>
      <c r="BF154" s="21"/>
    </row>
    <row r="155" spans="1:58" x14ac:dyDescent="0.2">
      <c r="A155">
        <v>74</v>
      </c>
      <c r="J155">
        <v>17</v>
      </c>
      <c r="T155">
        <v>1</v>
      </c>
      <c r="U155" s="8">
        <f t="shared" si="21"/>
        <v>1</v>
      </c>
      <c r="AD155" t="str">
        <f t="shared" si="20"/>
        <v>o</v>
      </c>
      <c r="AE155" t="str">
        <f t="shared" si="24"/>
        <v>Pass</v>
      </c>
      <c r="AF155" t="str">
        <f t="shared" si="22"/>
        <v>Pass_Completed</v>
      </c>
      <c r="AG155" t="str">
        <f t="shared" si="23"/>
        <v>Pass-Forehand</v>
      </c>
      <c r="AN155" t="str">
        <f t="shared" si="25"/>
        <v>Defensive</v>
      </c>
      <c r="BD155" s="23"/>
      <c r="BF155" s="21"/>
    </row>
    <row r="156" spans="1:58" x14ac:dyDescent="0.2">
      <c r="A156">
        <v>75</v>
      </c>
      <c r="E156" s="5" t="s">
        <v>864</v>
      </c>
      <c r="F156" s="5" t="s">
        <v>843</v>
      </c>
      <c r="G156" s="5" t="s">
        <v>864</v>
      </c>
      <c r="H156" s="7" t="s">
        <v>847</v>
      </c>
      <c r="I156" t="s">
        <v>835</v>
      </c>
      <c r="J156">
        <v>87</v>
      </c>
      <c r="K156">
        <v>1</v>
      </c>
      <c r="L156" t="s">
        <v>401</v>
      </c>
      <c r="M156" t="s">
        <v>15</v>
      </c>
      <c r="Q156" t="s">
        <v>663</v>
      </c>
      <c r="S156" t="s">
        <v>689</v>
      </c>
      <c r="T156">
        <v>1</v>
      </c>
      <c r="U156" s="8">
        <f t="shared" si="21"/>
        <v>1</v>
      </c>
      <c r="AD156" t="str">
        <f t="shared" si="20"/>
        <v>e</v>
      </c>
      <c r="AE156" t="str">
        <f t="shared" si="24"/>
        <v>Possession</v>
      </c>
      <c r="AF156" t="str">
        <f t="shared" si="22"/>
        <v/>
      </c>
      <c r="AG156" t="str">
        <f t="shared" si="23"/>
        <v/>
      </c>
      <c r="AN156" t="str">
        <f t="shared" si="25"/>
        <v>Offensive</v>
      </c>
      <c r="BD156" s="23"/>
      <c r="BF156" s="21"/>
    </row>
    <row r="157" spans="1:58" x14ac:dyDescent="0.2">
      <c r="A157">
        <v>75</v>
      </c>
      <c r="J157">
        <v>74</v>
      </c>
      <c r="T157">
        <v>1</v>
      </c>
      <c r="U157" s="8">
        <f t="shared" si="21"/>
        <v>1</v>
      </c>
      <c r="AD157" t="str">
        <f t="shared" si="20"/>
        <v>o</v>
      </c>
      <c r="AE157" t="str">
        <f t="shared" si="24"/>
        <v>Possession</v>
      </c>
      <c r="AF157" t="str">
        <f t="shared" si="22"/>
        <v/>
      </c>
      <c r="AG157" t="str">
        <f t="shared" si="23"/>
        <v/>
      </c>
      <c r="AN157" t="str">
        <f t="shared" si="25"/>
        <v>Defensive</v>
      </c>
      <c r="BD157" s="23"/>
      <c r="BF157" s="21"/>
    </row>
    <row r="158" spans="1:58" x14ac:dyDescent="0.2">
      <c r="A158">
        <v>76</v>
      </c>
      <c r="E158" s="5" t="s">
        <v>864</v>
      </c>
      <c r="F158" s="5" t="s">
        <v>847</v>
      </c>
      <c r="G158" s="5" t="s">
        <v>864</v>
      </c>
      <c r="H158" s="7" t="s">
        <v>888</v>
      </c>
      <c r="I158" t="s">
        <v>835</v>
      </c>
      <c r="J158">
        <v>87</v>
      </c>
      <c r="K158">
        <v>1</v>
      </c>
      <c r="L158" t="s">
        <v>401</v>
      </c>
      <c r="M158" t="s">
        <v>15</v>
      </c>
      <c r="Q158" t="s">
        <v>721</v>
      </c>
      <c r="S158" t="s">
        <v>689</v>
      </c>
      <c r="T158">
        <v>1</v>
      </c>
      <c r="U158" s="8">
        <f t="shared" si="21"/>
        <v>1</v>
      </c>
      <c r="AD158" t="str">
        <f t="shared" si="20"/>
        <v>e</v>
      </c>
      <c r="AE158" t="str">
        <f t="shared" si="24"/>
        <v>Possession</v>
      </c>
      <c r="AF158" t="str">
        <f t="shared" si="22"/>
        <v/>
      </c>
      <c r="AG158" t="str">
        <f t="shared" si="23"/>
        <v/>
      </c>
      <c r="AN158" t="str">
        <f t="shared" si="25"/>
        <v>Offensive</v>
      </c>
      <c r="BD158" s="23"/>
      <c r="BF158" s="21"/>
    </row>
    <row r="159" spans="1:58" x14ac:dyDescent="0.2">
      <c r="A159">
        <v>76</v>
      </c>
      <c r="J159">
        <v>71</v>
      </c>
      <c r="Q159" t="s">
        <v>719</v>
      </c>
      <c r="S159" t="s">
        <v>688</v>
      </c>
      <c r="T159">
        <v>1</v>
      </c>
      <c r="U159" s="8">
        <f t="shared" si="21"/>
        <v>1</v>
      </c>
      <c r="AD159" t="str">
        <f t="shared" si="20"/>
        <v>o</v>
      </c>
      <c r="AE159" t="str">
        <f t="shared" si="24"/>
        <v>Possession</v>
      </c>
      <c r="AF159" t="str">
        <f t="shared" si="22"/>
        <v/>
      </c>
      <c r="AG159" t="str">
        <f t="shared" si="23"/>
        <v/>
      </c>
      <c r="AN159" t="str">
        <f t="shared" si="25"/>
        <v>Defensive</v>
      </c>
      <c r="BD159" s="23"/>
      <c r="BF159" s="21"/>
    </row>
    <row r="160" spans="1:58" x14ac:dyDescent="0.2">
      <c r="A160">
        <v>77</v>
      </c>
      <c r="E160" s="5" t="s">
        <v>864</v>
      </c>
      <c r="F160" s="5" t="s">
        <v>888</v>
      </c>
      <c r="I160" t="s">
        <v>840</v>
      </c>
      <c r="J160">
        <v>13</v>
      </c>
      <c r="K160">
        <v>1</v>
      </c>
      <c r="L160" t="s">
        <v>845</v>
      </c>
      <c r="M160" t="s">
        <v>10</v>
      </c>
      <c r="N160" t="s">
        <v>200</v>
      </c>
      <c r="O160" t="s">
        <v>81</v>
      </c>
      <c r="P160" t="s">
        <v>689</v>
      </c>
      <c r="Q160" t="s">
        <v>725</v>
      </c>
      <c r="S160" t="s">
        <v>689</v>
      </c>
      <c r="T160">
        <v>1</v>
      </c>
      <c r="U160" s="8">
        <f t="shared" si="21"/>
        <v>1</v>
      </c>
      <c r="AD160" t="str">
        <f t="shared" si="20"/>
        <v>e</v>
      </c>
      <c r="AE160" t="str">
        <f t="shared" si="24"/>
        <v>Turnover</v>
      </c>
      <c r="AF160" t="str">
        <f t="shared" si="22"/>
        <v>Turnover_Takeaway</v>
      </c>
      <c r="AG160" t="str">
        <f t="shared" si="23"/>
        <v>Takeaway-BattleWon</v>
      </c>
      <c r="AN160" t="str">
        <f t="shared" si="25"/>
        <v>Defensive</v>
      </c>
      <c r="BD160" s="23"/>
      <c r="BF160" s="21"/>
    </row>
    <row r="161" spans="1:58" x14ac:dyDescent="0.2">
      <c r="A161">
        <v>77</v>
      </c>
      <c r="J161">
        <v>87</v>
      </c>
      <c r="T161">
        <v>1</v>
      </c>
      <c r="U161" s="8">
        <f t="shared" si="21"/>
        <v>1</v>
      </c>
      <c r="AD161" t="str">
        <f t="shared" si="20"/>
        <v>o</v>
      </c>
      <c r="AE161" t="str">
        <f t="shared" si="24"/>
        <v>Turnover</v>
      </c>
      <c r="AF161" t="str">
        <f t="shared" si="22"/>
        <v>Turnover_Takeaway</v>
      </c>
      <c r="AG161" t="str">
        <f t="shared" si="23"/>
        <v>Takeaway-BattleWon</v>
      </c>
      <c r="AN161" t="str">
        <f t="shared" si="25"/>
        <v>Offensive</v>
      </c>
      <c r="BD161" s="23"/>
      <c r="BF161" s="21"/>
    </row>
    <row r="162" spans="1:58" x14ac:dyDescent="0.2">
      <c r="A162">
        <v>78</v>
      </c>
      <c r="E162" s="5" t="s">
        <v>864</v>
      </c>
      <c r="F162" s="5" t="s">
        <v>889</v>
      </c>
      <c r="I162" t="s">
        <v>840</v>
      </c>
      <c r="J162">
        <v>13</v>
      </c>
      <c r="K162">
        <v>1</v>
      </c>
      <c r="L162" t="s">
        <v>845</v>
      </c>
      <c r="M162" t="s">
        <v>15</v>
      </c>
      <c r="N162" t="s">
        <v>680</v>
      </c>
      <c r="P162" t="s">
        <v>689</v>
      </c>
      <c r="Q162" t="s">
        <v>694</v>
      </c>
      <c r="R162" t="s">
        <v>662</v>
      </c>
      <c r="S162" t="s">
        <v>689</v>
      </c>
      <c r="U162" s="8">
        <f t="shared" si="21"/>
        <v>1</v>
      </c>
      <c r="AD162" t="str">
        <f t="shared" si="20"/>
        <v>e</v>
      </c>
      <c r="AE162" t="str">
        <f t="shared" si="24"/>
        <v>Possession</v>
      </c>
      <c r="AF162" t="str">
        <f t="shared" si="22"/>
        <v>PuckRetrieval</v>
      </c>
      <c r="AG162" t="str">
        <f t="shared" si="23"/>
        <v/>
      </c>
      <c r="AN162" t="str">
        <f t="shared" si="25"/>
        <v>Offensive</v>
      </c>
      <c r="BD162" s="23"/>
      <c r="BF162" s="21"/>
    </row>
    <row r="163" spans="1:58" x14ac:dyDescent="0.2">
      <c r="A163">
        <v>79</v>
      </c>
      <c r="E163" s="5" t="s">
        <v>864</v>
      </c>
      <c r="F163" s="5" t="s">
        <v>848</v>
      </c>
      <c r="G163" s="5" t="s">
        <v>864</v>
      </c>
      <c r="H163" s="7" t="s">
        <v>878</v>
      </c>
      <c r="I163" t="s">
        <v>840</v>
      </c>
      <c r="J163">
        <v>13</v>
      </c>
      <c r="K163">
        <v>1</v>
      </c>
      <c r="L163" t="s">
        <v>845</v>
      </c>
      <c r="M163" t="s">
        <v>257</v>
      </c>
      <c r="N163" t="s">
        <v>201</v>
      </c>
      <c r="O163" t="s">
        <v>90</v>
      </c>
      <c r="P163" t="s">
        <v>689</v>
      </c>
      <c r="U163" s="8">
        <f t="shared" si="21"/>
        <v>1</v>
      </c>
      <c r="AD163" t="str">
        <f t="shared" si="20"/>
        <v>e</v>
      </c>
      <c r="AE163" t="str">
        <f t="shared" si="24"/>
        <v>Zone_Entry_Exit</v>
      </c>
      <c r="AF163" t="str">
        <f t="shared" si="22"/>
        <v>Zone_Exit</v>
      </c>
      <c r="AG163" t="str">
        <f t="shared" si="23"/>
        <v>ZoneExit-Rush</v>
      </c>
      <c r="AN163" t="str">
        <f t="shared" si="25"/>
        <v>Offensive</v>
      </c>
      <c r="BD163" s="23"/>
      <c r="BF163" s="21"/>
    </row>
    <row r="164" spans="1:58" x14ac:dyDescent="0.2">
      <c r="A164">
        <v>80</v>
      </c>
      <c r="E164" s="5" t="s">
        <v>864</v>
      </c>
      <c r="F164" s="5" t="s">
        <v>878</v>
      </c>
      <c r="G164" s="5" t="s">
        <v>864</v>
      </c>
      <c r="H164" s="7" t="s">
        <v>849</v>
      </c>
      <c r="I164" t="s">
        <v>840</v>
      </c>
      <c r="J164">
        <v>13</v>
      </c>
      <c r="K164">
        <v>1</v>
      </c>
      <c r="L164" t="s">
        <v>839</v>
      </c>
      <c r="M164" t="s">
        <v>15</v>
      </c>
      <c r="T164">
        <v>1</v>
      </c>
      <c r="U164" s="8">
        <f t="shared" si="21"/>
        <v>1</v>
      </c>
      <c r="AD164" t="str">
        <f t="shared" si="20"/>
        <v>e</v>
      </c>
      <c r="AE164" t="str">
        <f t="shared" si="24"/>
        <v>Possession</v>
      </c>
      <c r="AF164" t="str">
        <f t="shared" si="22"/>
        <v/>
      </c>
      <c r="AG164" t="str">
        <f t="shared" si="23"/>
        <v/>
      </c>
      <c r="AN164" t="str">
        <f t="shared" si="25"/>
        <v>Offensive</v>
      </c>
      <c r="BD164" s="23"/>
      <c r="BF164" s="21"/>
    </row>
    <row r="165" spans="1:58" x14ac:dyDescent="0.2">
      <c r="A165">
        <v>80</v>
      </c>
      <c r="J165">
        <v>22</v>
      </c>
      <c r="Q165" t="s">
        <v>741</v>
      </c>
      <c r="T165">
        <v>1</v>
      </c>
      <c r="U165" s="8">
        <f t="shared" si="21"/>
        <v>1</v>
      </c>
      <c r="AD165" t="str">
        <f t="shared" si="20"/>
        <v>o</v>
      </c>
      <c r="AE165" t="str">
        <f t="shared" si="24"/>
        <v>Possession</v>
      </c>
      <c r="AF165" t="str">
        <f t="shared" si="22"/>
        <v/>
      </c>
      <c r="AG165" t="str">
        <f t="shared" si="23"/>
        <v/>
      </c>
      <c r="AN165" t="str">
        <f t="shared" si="25"/>
        <v>Defensive</v>
      </c>
      <c r="BD165" s="23"/>
      <c r="BF165" s="21"/>
    </row>
    <row r="166" spans="1:58" x14ac:dyDescent="0.2">
      <c r="A166">
        <v>81</v>
      </c>
      <c r="E166" s="5" t="s">
        <v>864</v>
      </c>
      <c r="F166" s="5" t="s">
        <v>849</v>
      </c>
      <c r="G166" s="5" t="s">
        <v>864</v>
      </c>
      <c r="H166" s="7" t="s">
        <v>881</v>
      </c>
      <c r="I166" t="s">
        <v>840</v>
      </c>
      <c r="J166">
        <v>13</v>
      </c>
      <c r="K166">
        <v>1</v>
      </c>
      <c r="L166" t="s">
        <v>401</v>
      </c>
      <c r="M166" t="s">
        <v>257</v>
      </c>
      <c r="N166" t="s">
        <v>191</v>
      </c>
      <c r="O166" t="s">
        <v>87</v>
      </c>
      <c r="P166" t="s">
        <v>689</v>
      </c>
      <c r="Q166" t="s">
        <v>702</v>
      </c>
      <c r="S166" t="s">
        <v>689</v>
      </c>
      <c r="T166">
        <v>1</v>
      </c>
      <c r="U166" s="8">
        <f t="shared" si="21"/>
        <v>1</v>
      </c>
      <c r="AD166" t="str">
        <f t="shared" si="20"/>
        <v>e</v>
      </c>
      <c r="AE166" t="str">
        <f t="shared" si="24"/>
        <v>Zone_Entry_Exit</v>
      </c>
      <c r="AF166" t="str">
        <f t="shared" si="22"/>
        <v>Zone_Entry</v>
      </c>
      <c r="AG166" t="str">
        <f t="shared" si="23"/>
        <v>ZoneEntry-Rush</v>
      </c>
      <c r="AN166" t="str">
        <f t="shared" si="25"/>
        <v>Offensive</v>
      </c>
      <c r="BD166" s="23"/>
      <c r="BF166" s="21"/>
    </row>
    <row r="167" spans="1:58" x14ac:dyDescent="0.2">
      <c r="A167">
        <v>81</v>
      </c>
      <c r="J167">
        <v>22</v>
      </c>
      <c r="Q167" t="s">
        <v>731</v>
      </c>
      <c r="S167" t="s">
        <v>688</v>
      </c>
      <c r="U167" s="8">
        <f t="shared" si="21"/>
        <v>1</v>
      </c>
      <c r="AD167" t="str">
        <f t="shared" si="20"/>
        <v>o</v>
      </c>
      <c r="AE167" t="str">
        <f t="shared" si="24"/>
        <v>Zone_Entry_Exit</v>
      </c>
      <c r="AF167" t="str">
        <f t="shared" si="22"/>
        <v>Zone_Entry</v>
      </c>
      <c r="AG167" t="str">
        <f t="shared" si="23"/>
        <v>ZoneEntry-Rush</v>
      </c>
      <c r="AN167" t="str">
        <f t="shared" si="25"/>
        <v>Defensive</v>
      </c>
      <c r="BD167" s="23"/>
      <c r="BF167" s="21"/>
    </row>
    <row r="168" spans="1:58" x14ac:dyDescent="0.2">
      <c r="A168">
        <v>81</v>
      </c>
      <c r="J168">
        <v>9</v>
      </c>
      <c r="T168">
        <v>1</v>
      </c>
      <c r="U168" s="8">
        <f t="shared" si="21"/>
        <v>1</v>
      </c>
      <c r="AD168" t="str">
        <f t="shared" si="20"/>
        <v>o</v>
      </c>
      <c r="AE168" t="str">
        <f t="shared" si="24"/>
        <v>Zone_Entry_Exit</v>
      </c>
      <c r="AF168" t="str">
        <f t="shared" si="22"/>
        <v>Zone_Entry</v>
      </c>
      <c r="AG168" t="str">
        <f t="shared" si="23"/>
        <v>ZoneEntry-Rush</v>
      </c>
      <c r="AN168" t="str">
        <f t="shared" si="25"/>
        <v>Defensive</v>
      </c>
      <c r="BD168" s="23"/>
      <c r="BF168" s="21"/>
    </row>
    <row r="169" spans="1:58" x14ac:dyDescent="0.2">
      <c r="A169">
        <v>82</v>
      </c>
      <c r="E169" s="5" t="s">
        <v>864</v>
      </c>
      <c r="F169" s="5" t="s">
        <v>881</v>
      </c>
      <c r="I169" t="s">
        <v>840</v>
      </c>
      <c r="J169">
        <v>13</v>
      </c>
      <c r="K169">
        <v>1</v>
      </c>
      <c r="L169" t="s">
        <v>401</v>
      </c>
      <c r="M169" t="s">
        <v>8</v>
      </c>
      <c r="N169" t="s">
        <v>189</v>
      </c>
      <c r="O169" t="s">
        <v>69</v>
      </c>
      <c r="P169" t="s">
        <v>689</v>
      </c>
      <c r="T169">
        <v>1</v>
      </c>
      <c r="U169" s="8">
        <f t="shared" si="21"/>
        <v>1</v>
      </c>
      <c r="AD169" t="str">
        <f t="shared" si="20"/>
        <v>e</v>
      </c>
      <c r="AE169" t="str">
        <f t="shared" si="24"/>
        <v>Pass</v>
      </c>
      <c r="AF169" t="str">
        <f t="shared" si="22"/>
        <v>Pass_Completed</v>
      </c>
      <c r="AG169" t="str">
        <f t="shared" si="23"/>
        <v>Pass-Backhand</v>
      </c>
      <c r="AN169" t="str">
        <f t="shared" si="25"/>
        <v>Offensive</v>
      </c>
      <c r="BD169" s="23"/>
      <c r="BF169" s="21"/>
    </row>
    <row r="170" spans="1:58" x14ac:dyDescent="0.2">
      <c r="A170">
        <v>82</v>
      </c>
      <c r="J170">
        <v>71</v>
      </c>
      <c r="K170">
        <v>1</v>
      </c>
      <c r="U170" s="8">
        <f t="shared" si="21"/>
        <v>1</v>
      </c>
      <c r="AD170" t="str">
        <f t="shared" si="20"/>
        <v>e</v>
      </c>
      <c r="AE170" t="str">
        <f t="shared" si="24"/>
        <v>Pass</v>
      </c>
      <c r="AF170" t="str">
        <f t="shared" si="22"/>
        <v>Pass_Completed</v>
      </c>
      <c r="AG170" t="str">
        <f t="shared" si="23"/>
        <v>Pass-Backhand</v>
      </c>
      <c r="AN170" t="str">
        <f t="shared" si="25"/>
        <v>Offensive</v>
      </c>
      <c r="BD170" s="23"/>
      <c r="BF170" s="21"/>
    </row>
    <row r="171" spans="1:58" x14ac:dyDescent="0.2">
      <c r="A171">
        <v>82</v>
      </c>
      <c r="J171">
        <v>9</v>
      </c>
      <c r="Q171" t="s">
        <v>696</v>
      </c>
      <c r="T171">
        <v>1</v>
      </c>
      <c r="U171" s="8">
        <f t="shared" si="21"/>
        <v>1</v>
      </c>
      <c r="AD171" t="str">
        <f t="shared" si="20"/>
        <v>o</v>
      </c>
      <c r="AE171" t="str">
        <f t="shared" si="24"/>
        <v>Pass</v>
      </c>
      <c r="AF171" t="str">
        <f t="shared" si="22"/>
        <v>Pass_Completed</v>
      </c>
      <c r="AG171" t="str">
        <f t="shared" si="23"/>
        <v>Pass-Backhand</v>
      </c>
      <c r="AN171" t="str">
        <f t="shared" si="25"/>
        <v>Defensive</v>
      </c>
      <c r="BD171" s="23"/>
      <c r="BF171" s="21"/>
    </row>
    <row r="172" spans="1:58" x14ac:dyDescent="0.2">
      <c r="A172">
        <v>83</v>
      </c>
      <c r="B172">
        <v>16</v>
      </c>
      <c r="E172" s="5" t="s">
        <v>864</v>
      </c>
      <c r="F172" s="5" t="s">
        <v>850</v>
      </c>
      <c r="I172" t="s">
        <v>840</v>
      </c>
      <c r="J172">
        <v>71</v>
      </c>
      <c r="K172">
        <v>1</v>
      </c>
      <c r="L172" t="s">
        <v>401</v>
      </c>
      <c r="M172" t="s">
        <v>7</v>
      </c>
      <c r="N172" t="s">
        <v>222</v>
      </c>
      <c r="O172" t="s">
        <v>56</v>
      </c>
      <c r="P172" t="s">
        <v>689</v>
      </c>
      <c r="U172" s="8">
        <f t="shared" si="21"/>
        <v>1</v>
      </c>
      <c r="AD172" t="str">
        <f t="shared" si="20"/>
        <v>e</v>
      </c>
      <c r="AE172" t="str">
        <f t="shared" si="24"/>
        <v>Shot</v>
      </c>
      <c r="AF172" t="str">
        <f t="shared" si="22"/>
        <v>Shot_OnNetSaved</v>
      </c>
      <c r="AG172" t="str">
        <f t="shared" si="23"/>
        <v>Shot-Tip</v>
      </c>
      <c r="AN172" t="str">
        <f t="shared" si="25"/>
        <v>Offensive</v>
      </c>
      <c r="BD172" s="23"/>
      <c r="BF172" s="21"/>
    </row>
    <row r="173" spans="1:58" x14ac:dyDescent="0.2">
      <c r="A173">
        <v>83</v>
      </c>
      <c r="B173">
        <v>16</v>
      </c>
      <c r="J173">
        <v>39</v>
      </c>
      <c r="U173" s="8">
        <f t="shared" si="21"/>
        <v>1</v>
      </c>
      <c r="AD173" t="str">
        <f t="shared" si="20"/>
        <v>o</v>
      </c>
      <c r="AE173" t="str">
        <f t="shared" si="24"/>
        <v>Shot</v>
      </c>
      <c r="AF173" t="str">
        <f t="shared" si="22"/>
        <v>Shot_OnNetSaved</v>
      </c>
      <c r="AG173" t="str">
        <f t="shared" si="23"/>
        <v>Shot-Tip</v>
      </c>
      <c r="AN173" t="str">
        <f t="shared" si="25"/>
        <v>Defensive</v>
      </c>
      <c r="BD173" s="23"/>
      <c r="BF173" s="21"/>
    </row>
    <row r="174" spans="1:58" x14ac:dyDescent="0.2">
      <c r="A174">
        <v>84</v>
      </c>
      <c r="B174">
        <v>16</v>
      </c>
      <c r="E174" s="5" t="s">
        <v>864</v>
      </c>
      <c r="F174" s="5" t="s">
        <v>850</v>
      </c>
      <c r="I174" t="s">
        <v>835</v>
      </c>
      <c r="J174">
        <v>39</v>
      </c>
      <c r="K174">
        <v>1</v>
      </c>
      <c r="L174" t="s">
        <v>845</v>
      </c>
      <c r="M174" t="s">
        <v>17</v>
      </c>
      <c r="N174" t="s">
        <v>196</v>
      </c>
      <c r="O174" t="s">
        <v>98</v>
      </c>
      <c r="U174" s="8">
        <f t="shared" si="21"/>
        <v>1</v>
      </c>
      <c r="AD174" t="str">
        <f t="shared" si="20"/>
        <v>e</v>
      </c>
      <c r="AE174" t="str">
        <f t="shared" si="24"/>
        <v>Save</v>
      </c>
      <c r="AF174" t="str">
        <f t="shared" si="22"/>
        <v>Save_Rebound</v>
      </c>
      <c r="AG174" t="str">
        <f t="shared" si="23"/>
        <v>Save-LeftPad</v>
      </c>
      <c r="AN174" t="str">
        <f t="shared" si="25"/>
        <v>Defensive</v>
      </c>
      <c r="BD174" s="23"/>
      <c r="BF174" s="21"/>
    </row>
    <row r="175" spans="1:58" x14ac:dyDescent="0.2">
      <c r="A175">
        <v>84</v>
      </c>
      <c r="B175">
        <v>16</v>
      </c>
      <c r="J175">
        <v>71</v>
      </c>
      <c r="U175" s="8">
        <f t="shared" si="21"/>
        <v>1</v>
      </c>
      <c r="AD175" t="str">
        <f t="shared" si="20"/>
        <v>o</v>
      </c>
      <c r="AE175" t="str">
        <f t="shared" si="24"/>
        <v>Save</v>
      </c>
      <c r="AF175" t="str">
        <f t="shared" si="22"/>
        <v>Save_Rebound</v>
      </c>
      <c r="AG175" t="str">
        <f t="shared" si="23"/>
        <v>Save-LeftPad</v>
      </c>
      <c r="AN175" t="str">
        <f t="shared" si="25"/>
        <v>Offensive</v>
      </c>
      <c r="BD175" s="23"/>
      <c r="BF175" s="21"/>
    </row>
    <row r="176" spans="1:58" x14ac:dyDescent="0.2">
      <c r="A176">
        <v>85</v>
      </c>
      <c r="B176">
        <v>16</v>
      </c>
      <c r="E176" s="5" t="s">
        <v>864</v>
      </c>
      <c r="F176" s="5" t="s">
        <v>850</v>
      </c>
      <c r="I176" t="s">
        <v>835</v>
      </c>
      <c r="J176">
        <v>39</v>
      </c>
      <c r="K176">
        <v>1</v>
      </c>
      <c r="L176" t="s">
        <v>845</v>
      </c>
      <c r="M176" t="s">
        <v>250</v>
      </c>
      <c r="N176" t="s">
        <v>251</v>
      </c>
      <c r="U176" s="8">
        <f t="shared" si="21"/>
        <v>1</v>
      </c>
      <c r="AD176" t="str">
        <f t="shared" si="20"/>
        <v>e</v>
      </c>
      <c r="AE176" t="str">
        <f t="shared" si="24"/>
        <v>Rebound</v>
      </c>
      <c r="AF176" t="str">
        <f t="shared" si="22"/>
        <v>Rebound_TeamRecovered</v>
      </c>
      <c r="AG176" t="str">
        <f t="shared" si="23"/>
        <v/>
      </c>
      <c r="AN176" t="str">
        <f t="shared" si="25"/>
        <v>Offensive</v>
      </c>
      <c r="BD176" s="23"/>
      <c r="BF176" s="21"/>
    </row>
    <row r="177" spans="1:58" x14ac:dyDescent="0.2">
      <c r="A177">
        <v>86</v>
      </c>
      <c r="E177" s="5" t="s">
        <v>864</v>
      </c>
      <c r="F177" s="5" t="s">
        <v>851</v>
      </c>
      <c r="G177" s="5" t="s">
        <v>864</v>
      </c>
      <c r="H177" s="7" t="s">
        <v>882</v>
      </c>
      <c r="I177" t="s">
        <v>835</v>
      </c>
      <c r="J177">
        <v>87</v>
      </c>
      <c r="K177">
        <v>1</v>
      </c>
      <c r="L177" t="s">
        <v>845</v>
      </c>
      <c r="M177" t="s">
        <v>15</v>
      </c>
      <c r="N177" t="s">
        <v>681</v>
      </c>
      <c r="P177" t="s">
        <v>689</v>
      </c>
      <c r="Q177" t="s">
        <v>747</v>
      </c>
      <c r="R177" t="s">
        <v>663</v>
      </c>
      <c r="S177" t="s">
        <v>689</v>
      </c>
      <c r="T177">
        <v>1</v>
      </c>
      <c r="U177" s="8">
        <f t="shared" si="21"/>
        <v>1</v>
      </c>
      <c r="AD177" t="str">
        <f t="shared" si="20"/>
        <v>e</v>
      </c>
      <c r="AE177" t="str">
        <f t="shared" si="24"/>
        <v>Possession</v>
      </c>
      <c r="AF177" t="str">
        <f t="shared" si="22"/>
        <v>PuckRecovery</v>
      </c>
      <c r="AG177" t="str">
        <f t="shared" si="23"/>
        <v/>
      </c>
      <c r="AN177" t="str">
        <f t="shared" si="25"/>
        <v>Offensive</v>
      </c>
      <c r="BD177" s="23"/>
      <c r="BF177" s="21"/>
    </row>
    <row r="178" spans="1:58" x14ac:dyDescent="0.2">
      <c r="A178">
        <v>86</v>
      </c>
      <c r="J178">
        <v>13</v>
      </c>
      <c r="T178">
        <v>1</v>
      </c>
      <c r="U178" s="8">
        <f t="shared" si="21"/>
        <v>1</v>
      </c>
      <c r="AD178" t="str">
        <f t="shared" si="20"/>
        <v>o</v>
      </c>
      <c r="AE178" t="str">
        <f t="shared" si="24"/>
        <v>Possession</v>
      </c>
      <c r="AF178" t="str">
        <f t="shared" si="22"/>
        <v>PuckRecovery</v>
      </c>
      <c r="AG178" t="str">
        <f t="shared" si="23"/>
        <v/>
      </c>
      <c r="AN178" t="str">
        <f t="shared" si="25"/>
        <v>Defensive</v>
      </c>
      <c r="BD178" s="23"/>
      <c r="BF178" s="21"/>
    </row>
    <row r="179" spans="1:58" x14ac:dyDescent="0.2">
      <c r="A179">
        <v>87</v>
      </c>
      <c r="E179" s="5" t="s">
        <v>864</v>
      </c>
      <c r="F179" s="5" t="s">
        <v>882</v>
      </c>
      <c r="I179" t="s">
        <v>835</v>
      </c>
      <c r="J179">
        <v>87</v>
      </c>
      <c r="K179">
        <v>1</v>
      </c>
      <c r="L179" t="s">
        <v>845</v>
      </c>
      <c r="M179" t="s">
        <v>8</v>
      </c>
      <c r="N179" t="s">
        <v>189</v>
      </c>
      <c r="O179" t="s">
        <v>70</v>
      </c>
      <c r="P179" t="s">
        <v>689</v>
      </c>
      <c r="U179" s="8">
        <f t="shared" si="21"/>
        <v>1</v>
      </c>
      <c r="AD179" t="str">
        <f t="shared" si="20"/>
        <v>e</v>
      </c>
      <c r="AE179" t="str">
        <f t="shared" si="24"/>
        <v>Pass</v>
      </c>
      <c r="AF179" t="str">
        <f t="shared" si="22"/>
        <v>Pass_Completed</v>
      </c>
      <c r="AG179" t="str">
        <f t="shared" si="23"/>
        <v>Pass-Forehand</v>
      </c>
      <c r="AN179" t="str">
        <f t="shared" si="25"/>
        <v>Offensive</v>
      </c>
      <c r="BD179" s="23"/>
      <c r="BF179" s="21"/>
    </row>
    <row r="180" spans="1:58" x14ac:dyDescent="0.2">
      <c r="A180">
        <v>87</v>
      </c>
      <c r="J180">
        <v>9</v>
      </c>
      <c r="K180">
        <v>1</v>
      </c>
      <c r="U180" s="8">
        <f t="shared" si="21"/>
        <v>1</v>
      </c>
      <c r="AD180" t="str">
        <f t="shared" si="20"/>
        <v>e</v>
      </c>
      <c r="AE180" t="str">
        <f t="shared" si="24"/>
        <v>Pass</v>
      </c>
      <c r="AF180" t="str">
        <f t="shared" si="22"/>
        <v>Pass_Completed</v>
      </c>
      <c r="AG180" t="str">
        <f t="shared" si="23"/>
        <v>Pass-Forehand</v>
      </c>
      <c r="AN180" t="str">
        <f t="shared" si="25"/>
        <v>Offensive</v>
      </c>
      <c r="BD180" s="23"/>
      <c r="BF180" s="21"/>
    </row>
    <row r="181" spans="1:58" x14ac:dyDescent="0.2">
      <c r="A181">
        <v>88</v>
      </c>
      <c r="E181" s="5" t="s">
        <v>864</v>
      </c>
      <c r="F181" s="5" t="s">
        <v>854</v>
      </c>
      <c r="G181" s="5" t="s">
        <v>864</v>
      </c>
      <c r="H181" s="7" t="s">
        <v>883</v>
      </c>
      <c r="I181" t="s">
        <v>835</v>
      </c>
      <c r="J181">
        <v>9</v>
      </c>
      <c r="K181">
        <v>1</v>
      </c>
      <c r="L181" t="s">
        <v>845</v>
      </c>
      <c r="M181" t="s">
        <v>257</v>
      </c>
      <c r="N181" t="s">
        <v>201</v>
      </c>
      <c r="O181" t="s">
        <v>90</v>
      </c>
      <c r="P181" t="s">
        <v>689</v>
      </c>
      <c r="T181">
        <v>1</v>
      </c>
      <c r="U181" s="8">
        <f t="shared" si="21"/>
        <v>1</v>
      </c>
      <c r="AD181" t="str">
        <f t="shared" si="20"/>
        <v>e</v>
      </c>
      <c r="AE181" t="str">
        <f t="shared" si="24"/>
        <v>Zone_Entry_Exit</v>
      </c>
      <c r="AF181" t="str">
        <f t="shared" si="22"/>
        <v>Zone_Exit</v>
      </c>
      <c r="AG181" t="str">
        <f t="shared" si="23"/>
        <v>ZoneExit-Rush</v>
      </c>
      <c r="AN181" t="str">
        <f t="shared" si="25"/>
        <v>Offensive</v>
      </c>
      <c r="BD181" s="23"/>
      <c r="BF181" s="21"/>
    </row>
    <row r="182" spans="1:58" x14ac:dyDescent="0.2">
      <c r="A182">
        <v>88</v>
      </c>
      <c r="J182">
        <v>5</v>
      </c>
      <c r="T182">
        <v>1</v>
      </c>
      <c r="U182" s="8">
        <f t="shared" si="21"/>
        <v>1</v>
      </c>
      <c r="AD182" t="str">
        <f t="shared" si="20"/>
        <v>o</v>
      </c>
      <c r="AE182" t="str">
        <f t="shared" si="24"/>
        <v>Zone_Entry_Exit</v>
      </c>
      <c r="AF182" t="str">
        <f t="shared" si="22"/>
        <v>Zone_Exit</v>
      </c>
      <c r="AG182" t="str">
        <f t="shared" si="23"/>
        <v>ZoneExit-Rush</v>
      </c>
      <c r="AN182" t="str">
        <f t="shared" si="25"/>
        <v>Defensive</v>
      </c>
      <c r="BD182" s="23"/>
      <c r="BF182" s="21"/>
    </row>
    <row r="183" spans="1:58" x14ac:dyDescent="0.2">
      <c r="A183">
        <v>89</v>
      </c>
      <c r="E183" s="5" t="s">
        <v>864</v>
      </c>
      <c r="F183" s="5" t="s">
        <v>883</v>
      </c>
      <c r="G183" s="5" t="s">
        <v>864</v>
      </c>
      <c r="H183" s="7" t="s">
        <v>859</v>
      </c>
      <c r="I183" t="s">
        <v>835</v>
      </c>
      <c r="J183">
        <v>9</v>
      </c>
      <c r="K183">
        <v>1</v>
      </c>
      <c r="L183" t="s">
        <v>839</v>
      </c>
      <c r="M183" t="s">
        <v>15</v>
      </c>
      <c r="U183" s="8">
        <f t="shared" si="21"/>
        <v>1</v>
      </c>
      <c r="AD183" t="str">
        <f t="shared" si="20"/>
        <v>e</v>
      </c>
      <c r="AE183" t="str">
        <f t="shared" si="24"/>
        <v>Possession</v>
      </c>
      <c r="AF183" t="str">
        <f t="shared" si="22"/>
        <v/>
      </c>
      <c r="AG183" t="str">
        <f t="shared" si="23"/>
        <v/>
      </c>
      <c r="AN183" t="str">
        <f t="shared" si="25"/>
        <v>Offensive</v>
      </c>
      <c r="BD183" s="23"/>
      <c r="BF183" s="21"/>
    </row>
    <row r="184" spans="1:58" x14ac:dyDescent="0.2">
      <c r="A184">
        <v>90</v>
      </c>
      <c r="E184" s="5" t="s">
        <v>864</v>
      </c>
      <c r="F184" s="5" t="s">
        <v>859</v>
      </c>
      <c r="G184" s="5" t="s">
        <v>864</v>
      </c>
      <c r="H184" s="7" t="s">
        <v>860</v>
      </c>
      <c r="I184" t="s">
        <v>835</v>
      </c>
      <c r="J184">
        <v>9</v>
      </c>
      <c r="K184">
        <v>1</v>
      </c>
      <c r="L184" t="s">
        <v>401</v>
      </c>
      <c r="M184" t="s">
        <v>257</v>
      </c>
      <c r="N184" t="s">
        <v>191</v>
      </c>
      <c r="O184" t="s">
        <v>87</v>
      </c>
      <c r="P184" t="s">
        <v>688</v>
      </c>
      <c r="Q184" t="s">
        <v>702</v>
      </c>
      <c r="T184">
        <v>1</v>
      </c>
      <c r="U184" s="8">
        <f t="shared" si="21"/>
        <v>1</v>
      </c>
      <c r="AD184" t="str">
        <f t="shared" si="20"/>
        <v>e</v>
      </c>
      <c r="AE184" t="str">
        <f t="shared" si="24"/>
        <v>Zone_Entry_Exit</v>
      </c>
      <c r="AF184" t="str">
        <f t="shared" si="22"/>
        <v>Zone_Entry</v>
      </c>
      <c r="AG184" t="str">
        <f t="shared" si="23"/>
        <v>ZoneEntry-Rush</v>
      </c>
      <c r="AN184" t="str">
        <f t="shared" si="25"/>
        <v>Offensive</v>
      </c>
      <c r="BD184" s="23"/>
      <c r="BF184" s="21"/>
    </row>
    <row r="185" spans="1:58" x14ac:dyDescent="0.2">
      <c r="A185">
        <v>90</v>
      </c>
      <c r="J185">
        <v>13</v>
      </c>
      <c r="Q185" t="s">
        <v>696</v>
      </c>
      <c r="T185">
        <v>1</v>
      </c>
      <c r="U185" s="8">
        <f t="shared" si="21"/>
        <v>1</v>
      </c>
      <c r="AD185" t="str">
        <f t="shared" si="20"/>
        <v>o</v>
      </c>
      <c r="AE185" t="str">
        <f t="shared" si="24"/>
        <v>Zone_Entry_Exit</v>
      </c>
      <c r="AF185" t="str">
        <f t="shared" si="22"/>
        <v>Zone_Entry</v>
      </c>
      <c r="AG185" t="str">
        <f t="shared" si="23"/>
        <v>ZoneEntry-Rush</v>
      </c>
      <c r="AN185" t="str">
        <f t="shared" si="25"/>
        <v>Defensive</v>
      </c>
      <c r="BD185" s="23"/>
      <c r="BF185" s="21"/>
    </row>
    <row r="186" spans="1:58" x14ac:dyDescent="0.2">
      <c r="A186">
        <v>91</v>
      </c>
      <c r="E186" s="5" t="s">
        <v>864</v>
      </c>
      <c r="F186" s="5" t="s">
        <v>860</v>
      </c>
      <c r="I186" t="s">
        <v>840</v>
      </c>
      <c r="J186">
        <v>13</v>
      </c>
      <c r="K186">
        <v>1</v>
      </c>
      <c r="L186" t="s">
        <v>845</v>
      </c>
      <c r="M186" t="s">
        <v>10</v>
      </c>
      <c r="N186" t="s">
        <v>200</v>
      </c>
      <c r="O186" t="s">
        <v>82</v>
      </c>
      <c r="P186" t="s">
        <v>689</v>
      </c>
      <c r="Q186" t="s">
        <v>695</v>
      </c>
      <c r="S186" t="s">
        <v>689</v>
      </c>
      <c r="T186">
        <v>1</v>
      </c>
      <c r="U186" s="8">
        <f t="shared" si="21"/>
        <v>1</v>
      </c>
      <c r="AD186" t="str">
        <f t="shared" si="20"/>
        <v>e</v>
      </c>
      <c r="AE186" t="str">
        <f t="shared" si="24"/>
        <v>Turnover</v>
      </c>
      <c r="AF186" t="str">
        <f t="shared" si="22"/>
        <v>Turnover_Takeaway</v>
      </c>
      <c r="AG186" t="str">
        <f t="shared" si="23"/>
        <v>Takeaway-PokeCheck</v>
      </c>
      <c r="AN186" t="str">
        <f t="shared" si="25"/>
        <v>Defensive</v>
      </c>
      <c r="BD186" s="23"/>
      <c r="BF186" s="21"/>
    </row>
    <row r="187" spans="1:58" x14ac:dyDescent="0.2">
      <c r="A187">
        <v>91</v>
      </c>
      <c r="J187">
        <v>9</v>
      </c>
      <c r="T187">
        <v>1</v>
      </c>
      <c r="U187" s="8">
        <f t="shared" si="21"/>
        <v>1</v>
      </c>
      <c r="AD187" t="str">
        <f t="shared" si="20"/>
        <v>o</v>
      </c>
      <c r="AE187" t="str">
        <f t="shared" si="24"/>
        <v>Turnover</v>
      </c>
      <c r="AF187" t="str">
        <f t="shared" si="22"/>
        <v>Turnover_Takeaway</v>
      </c>
      <c r="AG187" t="str">
        <f t="shared" si="23"/>
        <v>Takeaway-PokeCheck</v>
      </c>
      <c r="AN187" t="str">
        <f t="shared" si="25"/>
        <v>Offensive</v>
      </c>
      <c r="BD187" s="23"/>
      <c r="BF187" s="21"/>
    </row>
    <row r="188" spans="1:58" x14ac:dyDescent="0.2">
      <c r="A188">
        <v>92</v>
      </c>
      <c r="E188" s="5" t="s">
        <v>864</v>
      </c>
      <c r="F188" s="5" t="s">
        <v>871</v>
      </c>
      <c r="I188" t="s">
        <v>840</v>
      </c>
      <c r="J188">
        <v>17</v>
      </c>
      <c r="K188">
        <v>1</v>
      </c>
      <c r="L188" t="s">
        <v>845</v>
      </c>
      <c r="M188" t="s">
        <v>15</v>
      </c>
      <c r="N188" t="s">
        <v>680</v>
      </c>
      <c r="P188" t="s">
        <v>688</v>
      </c>
      <c r="Q188" t="s">
        <v>694</v>
      </c>
      <c r="S188" t="s">
        <v>688</v>
      </c>
      <c r="U188" s="8">
        <f t="shared" si="21"/>
        <v>1</v>
      </c>
      <c r="AD188" t="str">
        <f t="shared" si="20"/>
        <v>e</v>
      </c>
      <c r="AE188" t="str">
        <f t="shared" si="24"/>
        <v>Possession</v>
      </c>
      <c r="AF188" t="str">
        <f t="shared" si="22"/>
        <v>PuckRetrieval</v>
      </c>
      <c r="AG188" t="str">
        <f t="shared" si="23"/>
        <v/>
      </c>
      <c r="AN188" t="str">
        <f t="shared" si="25"/>
        <v>Offensive</v>
      </c>
      <c r="BD188" s="23"/>
      <c r="BF188" s="21"/>
    </row>
    <row r="189" spans="1:58" x14ac:dyDescent="0.2">
      <c r="A189">
        <v>93</v>
      </c>
      <c r="B189">
        <v>17</v>
      </c>
      <c r="E189" s="5" t="s">
        <v>864</v>
      </c>
      <c r="F189" s="5" t="s">
        <v>864</v>
      </c>
      <c r="I189" t="s">
        <v>840</v>
      </c>
      <c r="J189">
        <v>17</v>
      </c>
      <c r="K189">
        <v>1</v>
      </c>
      <c r="L189" t="s">
        <v>845</v>
      </c>
      <c r="M189" t="s">
        <v>8</v>
      </c>
      <c r="N189" t="s">
        <v>199</v>
      </c>
      <c r="O189" t="s">
        <v>478</v>
      </c>
      <c r="P189" t="s">
        <v>688</v>
      </c>
      <c r="Q189" t="s">
        <v>706</v>
      </c>
      <c r="S189" t="s">
        <v>688</v>
      </c>
      <c r="U189" s="8">
        <f t="shared" si="21"/>
        <v>1</v>
      </c>
      <c r="AD189" t="str">
        <f t="shared" si="20"/>
        <v>e</v>
      </c>
      <c r="AE189" t="str">
        <f t="shared" si="24"/>
        <v>Pass</v>
      </c>
      <c r="AF189" t="str">
        <f t="shared" si="22"/>
        <v>Pass_Missed</v>
      </c>
      <c r="AG189" t="str">
        <f t="shared" si="23"/>
        <v>Pass-ReceiverMissed</v>
      </c>
      <c r="AN189" t="str">
        <f t="shared" si="25"/>
        <v>Offensive</v>
      </c>
      <c r="BD189" s="23"/>
      <c r="BF189" s="21"/>
    </row>
    <row r="190" spans="1:58" x14ac:dyDescent="0.2">
      <c r="A190">
        <v>93</v>
      </c>
      <c r="B190">
        <v>17</v>
      </c>
      <c r="J190">
        <v>71</v>
      </c>
      <c r="K190">
        <v>1</v>
      </c>
      <c r="Q190" t="s">
        <v>713</v>
      </c>
      <c r="U190" s="8">
        <f t="shared" si="21"/>
        <v>1</v>
      </c>
      <c r="AD190" t="str">
        <f t="shared" si="20"/>
        <v>e</v>
      </c>
      <c r="AE190" t="str">
        <f t="shared" si="24"/>
        <v>Pass</v>
      </c>
      <c r="AF190" t="str">
        <f t="shared" si="22"/>
        <v>Pass_Missed</v>
      </c>
      <c r="AG190" t="str">
        <f t="shared" si="23"/>
        <v>Pass-ReceiverMissed</v>
      </c>
      <c r="AN190" t="str">
        <f t="shared" si="25"/>
        <v>Offensive</v>
      </c>
      <c r="BD190" s="23"/>
      <c r="BF190" s="21"/>
    </row>
    <row r="191" spans="1:58" x14ac:dyDescent="0.2">
      <c r="A191">
        <v>94</v>
      </c>
      <c r="B191">
        <v>17</v>
      </c>
      <c r="E191" s="5" t="s">
        <v>864</v>
      </c>
      <c r="F191" s="5" t="s">
        <v>864</v>
      </c>
      <c r="I191" t="s">
        <v>840</v>
      </c>
      <c r="J191">
        <v>17</v>
      </c>
      <c r="K191">
        <v>1</v>
      </c>
      <c r="L191" t="s">
        <v>845</v>
      </c>
      <c r="M191" t="s">
        <v>10</v>
      </c>
      <c r="N191" t="s">
        <v>190</v>
      </c>
      <c r="O191" t="s">
        <v>76</v>
      </c>
      <c r="P191" t="s">
        <v>688</v>
      </c>
      <c r="Q191" t="s">
        <v>706</v>
      </c>
      <c r="S191" t="s">
        <v>688</v>
      </c>
      <c r="U191" s="8">
        <f t="shared" si="21"/>
        <v>1</v>
      </c>
      <c r="AD191" t="str">
        <f t="shared" si="20"/>
        <v>e</v>
      </c>
      <c r="AE191" t="str">
        <f t="shared" si="24"/>
        <v>Turnover</v>
      </c>
      <c r="AF191" t="str">
        <f t="shared" si="22"/>
        <v>Turnover_Giveaway</v>
      </c>
      <c r="AG191" t="str">
        <f t="shared" si="23"/>
        <v>Giveaway-PassMissed</v>
      </c>
      <c r="AN191" t="str">
        <f t="shared" si="25"/>
        <v>Offensive</v>
      </c>
      <c r="BD191" s="23"/>
      <c r="BF191" s="21"/>
    </row>
    <row r="192" spans="1:58" x14ac:dyDescent="0.2">
      <c r="A192">
        <v>94</v>
      </c>
      <c r="B192">
        <v>17</v>
      </c>
      <c r="J192">
        <v>71</v>
      </c>
      <c r="K192">
        <v>1</v>
      </c>
      <c r="Q192" t="s">
        <v>713</v>
      </c>
      <c r="U192" s="8">
        <f t="shared" si="21"/>
        <v>1</v>
      </c>
      <c r="AD192" t="str">
        <f t="shared" si="20"/>
        <v>e</v>
      </c>
      <c r="AE192" t="str">
        <f t="shared" si="24"/>
        <v>Turnover</v>
      </c>
      <c r="AF192" t="str">
        <f t="shared" si="22"/>
        <v>Turnover_Giveaway</v>
      </c>
      <c r="AG192" t="str">
        <f t="shared" si="23"/>
        <v>Giveaway-PassMissed</v>
      </c>
      <c r="AN192" t="str">
        <f t="shared" si="25"/>
        <v>Offensive</v>
      </c>
      <c r="BD192" s="23"/>
      <c r="BF192" s="21"/>
    </row>
    <row r="193" spans="1:58" x14ac:dyDescent="0.2">
      <c r="A193">
        <v>95</v>
      </c>
      <c r="E193" s="5" t="s">
        <v>864</v>
      </c>
      <c r="F193" s="5" t="s">
        <v>865</v>
      </c>
      <c r="I193" t="s">
        <v>835</v>
      </c>
      <c r="J193">
        <v>49</v>
      </c>
      <c r="K193">
        <v>1</v>
      </c>
      <c r="L193" t="s">
        <v>401</v>
      </c>
      <c r="M193" t="s">
        <v>15</v>
      </c>
      <c r="N193" t="s">
        <v>680</v>
      </c>
      <c r="P193" t="s">
        <v>688</v>
      </c>
      <c r="Q193" t="s">
        <v>694</v>
      </c>
      <c r="S193" t="s">
        <v>688</v>
      </c>
      <c r="U193" s="8">
        <f t="shared" si="21"/>
        <v>1</v>
      </c>
      <c r="AD193" t="str">
        <f t="shared" si="20"/>
        <v>e</v>
      </c>
      <c r="AE193" t="str">
        <f t="shared" si="24"/>
        <v>Possession</v>
      </c>
      <c r="AF193" t="str">
        <f t="shared" si="22"/>
        <v>PuckRetrieval</v>
      </c>
      <c r="AG193" t="str">
        <f t="shared" si="23"/>
        <v/>
      </c>
      <c r="AN193" t="str">
        <f t="shared" si="25"/>
        <v>Offensive</v>
      </c>
      <c r="BD193" s="23"/>
      <c r="BF193" s="21"/>
    </row>
    <row r="194" spans="1:58" x14ac:dyDescent="0.2">
      <c r="A194">
        <v>96</v>
      </c>
      <c r="E194" s="5" t="s">
        <v>864</v>
      </c>
      <c r="F194" s="5" t="s">
        <v>891</v>
      </c>
      <c r="G194" s="5" t="s">
        <v>864</v>
      </c>
      <c r="H194" s="7" t="s">
        <v>892</v>
      </c>
      <c r="I194" t="s">
        <v>840</v>
      </c>
      <c r="J194">
        <v>71</v>
      </c>
      <c r="K194">
        <v>1</v>
      </c>
      <c r="L194" t="s">
        <v>845</v>
      </c>
      <c r="M194" t="s">
        <v>15</v>
      </c>
      <c r="Q194" t="s">
        <v>721</v>
      </c>
      <c r="S194" t="s">
        <v>689</v>
      </c>
      <c r="T194">
        <v>1</v>
      </c>
      <c r="U194" s="8">
        <f t="shared" si="21"/>
        <v>1</v>
      </c>
      <c r="AD194" t="str">
        <f t="shared" ref="AD194:AD257" si="26">IF(K194="x","",IF(K194=1,"e","o"))</f>
        <v>e</v>
      </c>
      <c r="AE194" t="str">
        <f t="shared" si="24"/>
        <v>Possession</v>
      </c>
      <c r="AF194" t="str">
        <f t="shared" si="22"/>
        <v/>
      </c>
      <c r="AG194" t="str">
        <f t="shared" si="23"/>
        <v/>
      </c>
      <c r="AN194" t="str">
        <f t="shared" si="25"/>
        <v>Offensive</v>
      </c>
      <c r="BD194" s="23"/>
      <c r="BF194" s="21"/>
    </row>
    <row r="195" spans="1:58" x14ac:dyDescent="0.2">
      <c r="A195">
        <v>96</v>
      </c>
      <c r="J195">
        <v>55</v>
      </c>
      <c r="Q195" t="s">
        <v>719</v>
      </c>
      <c r="S195" t="s">
        <v>688</v>
      </c>
      <c r="T195">
        <v>1</v>
      </c>
      <c r="U195" s="8">
        <f t="shared" ref="U195:U258" si="27">IF(M195="Intermission",U194+1,U194)</f>
        <v>1</v>
      </c>
      <c r="AD195" t="str">
        <f t="shared" si="26"/>
        <v>o</v>
      </c>
      <c r="AE195" t="str">
        <f t="shared" si="24"/>
        <v>Possession</v>
      </c>
      <c r="AF195" t="str">
        <f t="shared" ref="AF195:AF258" si="28">IF(N195&lt;&gt;"",N195,IF($A195=$A194,AF194,""))</f>
        <v/>
      </c>
      <c r="AG195" t="str">
        <f t="shared" ref="AG195:AG258" si="29">IF(O195&lt;&gt;"",O195,IF($A195=$A194,AG194,""))</f>
        <v/>
      </c>
      <c r="AN195" t="str">
        <f t="shared" si="25"/>
        <v>Defensive</v>
      </c>
      <c r="BD195" s="23"/>
      <c r="BF195" s="21"/>
    </row>
    <row r="196" spans="1:58" x14ac:dyDescent="0.2">
      <c r="A196">
        <v>97</v>
      </c>
      <c r="B196">
        <v>18</v>
      </c>
      <c r="E196" s="5" t="s">
        <v>864</v>
      </c>
      <c r="F196" s="5" t="s">
        <v>892</v>
      </c>
      <c r="I196" t="s">
        <v>840</v>
      </c>
      <c r="J196">
        <v>71</v>
      </c>
      <c r="K196">
        <v>1</v>
      </c>
      <c r="L196" t="s">
        <v>845</v>
      </c>
      <c r="M196" t="s">
        <v>8</v>
      </c>
      <c r="N196" t="s">
        <v>189</v>
      </c>
      <c r="O196" t="s">
        <v>70</v>
      </c>
      <c r="P196" t="s">
        <v>689</v>
      </c>
      <c r="Q196" t="s">
        <v>662</v>
      </c>
      <c r="S196" t="s">
        <v>689</v>
      </c>
      <c r="T196">
        <v>1</v>
      </c>
      <c r="U196" s="8">
        <f t="shared" si="27"/>
        <v>1</v>
      </c>
      <c r="AD196" t="str">
        <f t="shared" si="26"/>
        <v>e</v>
      </c>
      <c r="AE196" t="str">
        <f t="shared" ref="AE196:AE259" si="30">IF(M196&lt;&gt;"",M196,IF($A196=$A195,AE195,""))</f>
        <v>Pass</v>
      </c>
      <c r="AF196" t="str">
        <f t="shared" si="28"/>
        <v>Pass_Completed</v>
      </c>
      <c r="AG196" t="str">
        <f t="shared" si="29"/>
        <v>Pass-Forehand</v>
      </c>
      <c r="AN196" t="str">
        <f t="shared" si="25"/>
        <v>Offensive</v>
      </c>
      <c r="BD196" s="23"/>
      <c r="BF196" s="21"/>
    </row>
    <row r="197" spans="1:58" x14ac:dyDescent="0.2">
      <c r="A197">
        <v>97</v>
      </c>
      <c r="B197">
        <v>18</v>
      </c>
      <c r="J197">
        <v>5</v>
      </c>
      <c r="K197">
        <v>1</v>
      </c>
      <c r="U197" s="8">
        <f t="shared" si="27"/>
        <v>1</v>
      </c>
      <c r="AD197" t="str">
        <f t="shared" si="26"/>
        <v>e</v>
      </c>
      <c r="AE197" t="str">
        <f t="shared" si="30"/>
        <v>Pass</v>
      </c>
      <c r="AF197" t="str">
        <f t="shared" si="28"/>
        <v>Pass_Completed</v>
      </c>
      <c r="AG197" t="str">
        <f t="shared" si="29"/>
        <v>Pass-Forehand</v>
      </c>
      <c r="AN197" t="str">
        <f t="shared" si="25"/>
        <v>Offensive</v>
      </c>
      <c r="BD197" s="23"/>
      <c r="BF197" s="21"/>
    </row>
    <row r="198" spans="1:58" x14ac:dyDescent="0.2">
      <c r="A198">
        <v>97</v>
      </c>
      <c r="B198">
        <v>18</v>
      </c>
      <c r="J198">
        <v>49</v>
      </c>
      <c r="T198">
        <v>1</v>
      </c>
      <c r="U198" s="8">
        <f t="shared" si="27"/>
        <v>1</v>
      </c>
      <c r="AD198" t="str">
        <f t="shared" si="26"/>
        <v>o</v>
      </c>
      <c r="AE198" t="str">
        <f t="shared" si="30"/>
        <v>Pass</v>
      </c>
      <c r="AF198" t="str">
        <f t="shared" si="28"/>
        <v>Pass_Completed</v>
      </c>
      <c r="AG198" t="str">
        <f t="shared" si="29"/>
        <v>Pass-Forehand</v>
      </c>
      <c r="AN198" t="str">
        <f t="shared" si="25"/>
        <v>Defensive</v>
      </c>
      <c r="BD198" s="23"/>
      <c r="BF198" s="21"/>
    </row>
    <row r="199" spans="1:58" x14ac:dyDescent="0.2">
      <c r="A199">
        <v>98</v>
      </c>
      <c r="B199">
        <v>18</v>
      </c>
      <c r="E199" s="5" t="s">
        <v>864</v>
      </c>
      <c r="F199" s="5" t="s">
        <v>892</v>
      </c>
      <c r="I199" t="s">
        <v>840</v>
      </c>
      <c r="J199">
        <v>71</v>
      </c>
      <c r="K199">
        <v>1</v>
      </c>
      <c r="L199" t="s">
        <v>845</v>
      </c>
      <c r="M199" t="s">
        <v>257</v>
      </c>
      <c r="N199" t="s">
        <v>201</v>
      </c>
      <c r="O199" t="s">
        <v>91</v>
      </c>
      <c r="P199" t="s">
        <v>689</v>
      </c>
      <c r="Q199" t="s">
        <v>662</v>
      </c>
      <c r="S199" t="s">
        <v>689</v>
      </c>
      <c r="T199">
        <v>1</v>
      </c>
      <c r="U199" s="8">
        <f t="shared" si="27"/>
        <v>1</v>
      </c>
      <c r="AD199" t="str">
        <f t="shared" si="26"/>
        <v>e</v>
      </c>
      <c r="AE199" t="str">
        <f t="shared" si="30"/>
        <v>Zone_Entry_Exit</v>
      </c>
      <c r="AF199" t="str">
        <f t="shared" si="28"/>
        <v>Zone_Exit</v>
      </c>
      <c r="AG199" t="str">
        <f t="shared" si="29"/>
        <v>ZoneExit-Pass</v>
      </c>
      <c r="AN199" t="str">
        <f t="shared" si="25"/>
        <v>Offensive</v>
      </c>
      <c r="BD199" s="23"/>
      <c r="BF199" s="21"/>
    </row>
    <row r="200" spans="1:58" x14ac:dyDescent="0.2">
      <c r="A200">
        <v>98</v>
      </c>
      <c r="B200">
        <v>18</v>
      </c>
      <c r="J200">
        <v>5</v>
      </c>
      <c r="K200">
        <v>1</v>
      </c>
      <c r="U200" s="8">
        <f t="shared" si="27"/>
        <v>1</v>
      </c>
      <c r="AD200" t="str">
        <f t="shared" si="26"/>
        <v>e</v>
      </c>
      <c r="AE200" t="str">
        <f t="shared" si="30"/>
        <v>Zone_Entry_Exit</v>
      </c>
      <c r="AF200" t="str">
        <f t="shared" si="28"/>
        <v>Zone_Exit</v>
      </c>
      <c r="AG200" t="str">
        <f t="shared" si="29"/>
        <v>ZoneExit-Pass</v>
      </c>
      <c r="AN200" t="str">
        <f t="shared" si="25"/>
        <v>Offensive</v>
      </c>
      <c r="BD200" s="23"/>
      <c r="BF200" s="21"/>
    </row>
    <row r="201" spans="1:58" x14ac:dyDescent="0.2">
      <c r="A201">
        <v>98</v>
      </c>
      <c r="B201">
        <v>18</v>
      </c>
      <c r="J201">
        <v>49</v>
      </c>
      <c r="T201">
        <v>1</v>
      </c>
      <c r="U201" s="8">
        <f t="shared" si="27"/>
        <v>1</v>
      </c>
      <c r="AD201" t="str">
        <f t="shared" si="26"/>
        <v>o</v>
      </c>
      <c r="AE201" t="str">
        <f t="shared" si="30"/>
        <v>Zone_Entry_Exit</v>
      </c>
      <c r="AF201" t="str">
        <f t="shared" si="28"/>
        <v>Zone_Exit</v>
      </c>
      <c r="AG201" t="str">
        <f t="shared" si="29"/>
        <v>ZoneExit-Pass</v>
      </c>
      <c r="AN201" t="str">
        <f t="shared" ref="AN201:AN264" si="31">IF(AND(AD201="e",OR(AE201="Save",AF201="Turnover_Takeaway",AF201="Play_Defensive")),"Defensive",IF(AND(AD201="o",OR(AE201="Save",AF201="Turnover_Takeaway",AF201="Play_Defensive")),"Offensive",IF(OR(AE201="Deadice",AE201="Stoppage",AE201="Intermission"),"",IF(AD201="e","Offensive",IF(AD201="o","Defensive","")))))</f>
        <v>Defensive</v>
      </c>
      <c r="BD201" s="23"/>
      <c r="BF201" s="21"/>
    </row>
    <row r="202" spans="1:58" x14ac:dyDescent="0.2">
      <c r="A202">
        <v>99</v>
      </c>
      <c r="E202" s="5" t="s">
        <v>864</v>
      </c>
      <c r="F202" s="5" t="s">
        <v>868</v>
      </c>
      <c r="G202" s="5" t="s">
        <v>864</v>
      </c>
      <c r="H202" s="7" t="s">
        <v>893</v>
      </c>
      <c r="I202" t="s">
        <v>840</v>
      </c>
      <c r="J202">
        <v>5</v>
      </c>
      <c r="K202">
        <v>1</v>
      </c>
      <c r="L202" t="s">
        <v>839</v>
      </c>
      <c r="M202" t="s">
        <v>15</v>
      </c>
      <c r="U202" s="8">
        <f t="shared" si="27"/>
        <v>1</v>
      </c>
      <c r="AD202" t="str">
        <f t="shared" si="26"/>
        <v>e</v>
      </c>
      <c r="AE202" t="str">
        <f t="shared" si="30"/>
        <v>Possession</v>
      </c>
      <c r="AF202" t="str">
        <f t="shared" si="28"/>
        <v/>
      </c>
      <c r="AG202" t="str">
        <f t="shared" si="29"/>
        <v/>
      </c>
      <c r="AN202" t="str">
        <f t="shared" si="31"/>
        <v>Offensive</v>
      </c>
      <c r="BD202" s="23"/>
      <c r="BF202" s="21"/>
    </row>
    <row r="203" spans="1:58" x14ac:dyDescent="0.2">
      <c r="A203">
        <v>100</v>
      </c>
      <c r="E203" s="5" t="s">
        <v>864</v>
      </c>
      <c r="F203" s="5" t="s">
        <v>893</v>
      </c>
      <c r="G203" s="5" t="s">
        <v>864</v>
      </c>
      <c r="H203" s="7" t="s">
        <v>884</v>
      </c>
      <c r="I203" t="s">
        <v>840</v>
      </c>
      <c r="J203">
        <v>5</v>
      </c>
      <c r="K203">
        <v>1</v>
      </c>
      <c r="L203" t="s">
        <v>401</v>
      </c>
      <c r="M203" t="s">
        <v>257</v>
      </c>
      <c r="N203" t="s">
        <v>191</v>
      </c>
      <c r="O203" t="s">
        <v>87</v>
      </c>
      <c r="P203" t="s">
        <v>689</v>
      </c>
      <c r="U203" s="8">
        <f t="shared" si="27"/>
        <v>1</v>
      </c>
      <c r="AD203" t="str">
        <f t="shared" si="26"/>
        <v>e</v>
      </c>
      <c r="AE203" t="str">
        <f t="shared" si="30"/>
        <v>Zone_Entry_Exit</v>
      </c>
      <c r="AF203" t="str">
        <f t="shared" si="28"/>
        <v>Zone_Entry</v>
      </c>
      <c r="AG203" t="str">
        <f t="shared" si="29"/>
        <v>ZoneEntry-Rush</v>
      </c>
      <c r="AN203" t="str">
        <f t="shared" si="31"/>
        <v>Offensive</v>
      </c>
      <c r="BD203" s="23"/>
      <c r="BF203" s="21"/>
    </row>
    <row r="204" spans="1:58" x14ac:dyDescent="0.2">
      <c r="A204">
        <v>100</v>
      </c>
      <c r="J204">
        <v>9</v>
      </c>
      <c r="Q204" t="s">
        <v>822</v>
      </c>
      <c r="S204" t="s">
        <v>688</v>
      </c>
      <c r="U204" s="8">
        <f t="shared" si="27"/>
        <v>1</v>
      </c>
      <c r="AD204" t="str">
        <f t="shared" si="26"/>
        <v>o</v>
      </c>
      <c r="AE204" t="str">
        <f t="shared" si="30"/>
        <v>Zone_Entry_Exit</v>
      </c>
      <c r="AF204" t="str">
        <f t="shared" si="28"/>
        <v>Zone_Entry</v>
      </c>
      <c r="AG204" t="str">
        <f t="shared" si="29"/>
        <v>ZoneEntry-Rush</v>
      </c>
      <c r="AN204" t="str">
        <f t="shared" si="31"/>
        <v>Defensive</v>
      </c>
      <c r="BD204" s="23"/>
      <c r="BF204" s="21"/>
    </row>
    <row r="205" spans="1:58" x14ac:dyDescent="0.2">
      <c r="A205">
        <v>101</v>
      </c>
      <c r="E205" s="5" t="s">
        <v>864</v>
      </c>
      <c r="F205" s="5" t="s">
        <v>884</v>
      </c>
      <c r="I205" t="s">
        <v>840</v>
      </c>
      <c r="J205">
        <v>5</v>
      </c>
      <c r="K205">
        <v>1</v>
      </c>
      <c r="L205" t="s">
        <v>401</v>
      </c>
      <c r="M205" t="s">
        <v>7</v>
      </c>
      <c r="N205" t="s">
        <v>208</v>
      </c>
      <c r="O205" t="s">
        <v>53</v>
      </c>
      <c r="P205" t="s">
        <v>688</v>
      </c>
      <c r="T205">
        <v>1</v>
      </c>
      <c r="U205" s="8">
        <f t="shared" si="27"/>
        <v>1</v>
      </c>
      <c r="AD205" t="str">
        <f t="shared" si="26"/>
        <v>e</v>
      </c>
      <c r="AE205" t="str">
        <f t="shared" si="30"/>
        <v>Shot</v>
      </c>
      <c r="AF205" t="str">
        <f t="shared" si="28"/>
        <v>Shot_Blocked</v>
      </c>
      <c r="AG205" t="str">
        <f t="shared" si="29"/>
        <v>Shot-Wrist</v>
      </c>
      <c r="AN205" t="str">
        <f t="shared" si="31"/>
        <v>Offensive</v>
      </c>
      <c r="BD205" s="23"/>
      <c r="BF205" s="21"/>
    </row>
    <row r="206" spans="1:58" x14ac:dyDescent="0.2">
      <c r="A206">
        <v>101</v>
      </c>
      <c r="J206">
        <v>9</v>
      </c>
      <c r="Q206" t="s">
        <v>665</v>
      </c>
      <c r="S206" t="s">
        <v>689</v>
      </c>
      <c r="T206">
        <v>1</v>
      </c>
      <c r="U206" s="8">
        <f t="shared" si="27"/>
        <v>1</v>
      </c>
      <c r="AD206" t="str">
        <f t="shared" si="26"/>
        <v>o</v>
      </c>
      <c r="AE206" t="str">
        <f t="shared" si="30"/>
        <v>Shot</v>
      </c>
      <c r="AF206" t="str">
        <f t="shared" si="28"/>
        <v>Shot_Blocked</v>
      </c>
      <c r="AG206" t="str">
        <f t="shared" si="29"/>
        <v>Shot-Wrist</v>
      </c>
      <c r="AN206" t="str">
        <f t="shared" si="31"/>
        <v>Defensive</v>
      </c>
      <c r="BD206" s="23"/>
      <c r="BF206" s="21"/>
    </row>
    <row r="207" spans="1:58" x14ac:dyDescent="0.2">
      <c r="A207">
        <v>102</v>
      </c>
      <c r="E207" s="5" t="s">
        <v>864</v>
      </c>
      <c r="F207" s="5" t="s">
        <v>894</v>
      </c>
      <c r="I207" t="s">
        <v>840</v>
      </c>
      <c r="J207">
        <v>5</v>
      </c>
      <c r="K207">
        <v>1</v>
      </c>
      <c r="L207" t="s">
        <v>401</v>
      </c>
      <c r="M207" t="s">
        <v>15</v>
      </c>
      <c r="N207" t="s">
        <v>681</v>
      </c>
      <c r="P207" t="s">
        <v>689</v>
      </c>
      <c r="Q207" t="s">
        <v>705</v>
      </c>
      <c r="S207" t="s">
        <v>689</v>
      </c>
      <c r="U207" s="8">
        <f t="shared" si="27"/>
        <v>1</v>
      </c>
      <c r="AD207" t="str">
        <f t="shared" si="26"/>
        <v>e</v>
      </c>
      <c r="AE207" t="str">
        <f t="shared" si="30"/>
        <v>Possession</v>
      </c>
      <c r="AF207" t="str">
        <f t="shared" si="28"/>
        <v>PuckRecovery</v>
      </c>
      <c r="AG207" t="str">
        <f t="shared" si="29"/>
        <v/>
      </c>
      <c r="AN207" t="str">
        <f t="shared" si="31"/>
        <v>Offensive</v>
      </c>
      <c r="BD207" s="23"/>
      <c r="BF207" s="21"/>
    </row>
    <row r="208" spans="1:58" x14ac:dyDescent="0.2">
      <c r="A208">
        <v>103</v>
      </c>
      <c r="E208" s="5" t="s">
        <v>864</v>
      </c>
      <c r="F208" s="5" t="s">
        <v>894</v>
      </c>
      <c r="I208" t="s">
        <v>840</v>
      </c>
      <c r="J208">
        <v>5</v>
      </c>
      <c r="K208">
        <v>1</v>
      </c>
      <c r="L208" t="s">
        <v>401</v>
      </c>
      <c r="M208" t="s">
        <v>8</v>
      </c>
      <c r="N208" t="s">
        <v>189</v>
      </c>
      <c r="O208" t="s">
        <v>69</v>
      </c>
      <c r="P208" t="s">
        <v>689</v>
      </c>
      <c r="Q208" t="s">
        <v>749</v>
      </c>
      <c r="S208" t="s">
        <v>689</v>
      </c>
      <c r="U208" s="8">
        <f t="shared" si="27"/>
        <v>1</v>
      </c>
      <c r="AD208" t="str">
        <f t="shared" si="26"/>
        <v>e</v>
      </c>
      <c r="AE208" t="str">
        <f t="shared" si="30"/>
        <v>Pass</v>
      </c>
      <c r="AF208" t="str">
        <f t="shared" si="28"/>
        <v>Pass_Completed</v>
      </c>
      <c r="AG208" t="str">
        <f t="shared" si="29"/>
        <v>Pass-Backhand</v>
      </c>
      <c r="AN208" t="str">
        <f t="shared" si="31"/>
        <v>Offensive</v>
      </c>
      <c r="BD208" s="23"/>
      <c r="BF208" s="21"/>
    </row>
    <row r="209" spans="1:58" x14ac:dyDescent="0.2">
      <c r="A209">
        <v>103</v>
      </c>
      <c r="J209">
        <v>71</v>
      </c>
      <c r="K209">
        <v>1</v>
      </c>
      <c r="U209" s="8">
        <f t="shared" si="27"/>
        <v>1</v>
      </c>
      <c r="AD209" t="str">
        <f t="shared" si="26"/>
        <v>e</v>
      </c>
      <c r="AE209" t="str">
        <f t="shared" si="30"/>
        <v>Pass</v>
      </c>
      <c r="AF209" t="str">
        <f t="shared" si="28"/>
        <v>Pass_Completed</v>
      </c>
      <c r="AG209" t="str">
        <f t="shared" si="29"/>
        <v>Pass-Backhand</v>
      </c>
      <c r="AN209" t="str">
        <f t="shared" si="31"/>
        <v>Offensive</v>
      </c>
      <c r="BD209" s="23"/>
      <c r="BF209" s="21"/>
    </row>
    <row r="210" spans="1:58" x14ac:dyDescent="0.2">
      <c r="A210">
        <v>103</v>
      </c>
      <c r="J210">
        <v>55</v>
      </c>
      <c r="Q210" t="s">
        <v>699</v>
      </c>
      <c r="U210" s="8">
        <f t="shared" si="27"/>
        <v>1</v>
      </c>
      <c r="AD210" t="str">
        <f t="shared" si="26"/>
        <v>o</v>
      </c>
      <c r="AE210" t="str">
        <f t="shared" si="30"/>
        <v>Pass</v>
      </c>
      <c r="AF210" t="str">
        <f t="shared" si="28"/>
        <v>Pass_Completed</v>
      </c>
      <c r="AG210" t="str">
        <f t="shared" si="29"/>
        <v>Pass-Backhand</v>
      </c>
      <c r="AN210" t="str">
        <f t="shared" si="31"/>
        <v>Defensive</v>
      </c>
      <c r="BD210" s="23"/>
      <c r="BF210" s="21"/>
    </row>
    <row r="211" spans="1:58" x14ac:dyDescent="0.2">
      <c r="A211">
        <v>104</v>
      </c>
      <c r="E211" s="5" t="s">
        <v>864</v>
      </c>
      <c r="F211" s="5" t="s">
        <v>870</v>
      </c>
      <c r="I211" t="s">
        <v>840</v>
      </c>
      <c r="J211">
        <v>71</v>
      </c>
      <c r="K211">
        <v>1</v>
      </c>
      <c r="L211" t="s">
        <v>401</v>
      </c>
      <c r="M211" t="s">
        <v>247</v>
      </c>
      <c r="N211" t="s">
        <v>421</v>
      </c>
      <c r="O211" t="s">
        <v>464</v>
      </c>
      <c r="P211" t="s">
        <v>689</v>
      </c>
      <c r="Q211" t="s">
        <v>697</v>
      </c>
      <c r="S211" t="s">
        <v>689</v>
      </c>
      <c r="U211" s="8">
        <f t="shared" si="27"/>
        <v>1</v>
      </c>
      <c r="AD211" t="str">
        <f t="shared" si="26"/>
        <v>e</v>
      </c>
      <c r="AE211" t="str">
        <f t="shared" si="30"/>
        <v>Play</v>
      </c>
      <c r="AF211" t="str">
        <f t="shared" si="28"/>
        <v>Play_Offensive</v>
      </c>
      <c r="AG211" t="str">
        <f t="shared" si="29"/>
        <v>Play-Dump/RimInZone</v>
      </c>
      <c r="AN211" t="str">
        <f t="shared" si="31"/>
        <v>Offensive</v>
      </c>
      <c r="BD211" s="23"/>
      <c r="BF211" s="21"/>
    </row>
    <row r="212" spans="1:58" x14ac:dyDescent="0.2">
      <c r="A212">
        <v>105</v>
      </c>
      <c r="E212" s="5" t="s">
        <v>865</v>
      </c>
      <c r="F212" s="5" t="s">
        <v>838</v>
      </c>
      <c r="G212" s="5" t="s">
        <v>865</v>
      </c>
      <c r="H212" s="7" t="s">
        <v>895</v>
      </c>
      <c r="I212" t="s">
        <v>840</v>
      </c>
      <c r="J212">
        <v>8</v>
      </c>
      <c r="K212">
        <v>1</v>
      </c>
      <c r="L212" t="s">
        <v>401</v>
      </c>
      <c r="M212" t="s">
        <v>15</v>
      </c>
      <c r="N212" t="s">
        <v>681</v>
      </c>
      <c r="P212" t="s">
        <v>688</v>
      </c>
      <c r="Q212" t="s">
        <v>791</v>
      </c>
      <c r="S212" t="s">
        <v>688</v>
      </c>
      <c r="U212" s="8">
        <f t="shared" si="27"/>
        <v>1</v>
      </c>
      <c r="AD212" t="str">
        <f t="shared" si="26"/>
        <v>e</v>
      </c>
      <c r="AE212" t="str">
        <f t="shared" si="30"/>
        <v>Possession</v>
      </c>
      <c r="AF212" t="str">
        <f t="shared" si="28"/>
        <v>PuckRecovery</v>
      </c>
      <c r="AG212" t="str">
        <f t="shared" si="29"/>
        <v/>
      </c>
      <c r="AN212" t="str">
        <f t="shared" si="31"/>
        <v>Offensive</v>
      </c>
      <c r="BD212" s="23"/>
      <c r="BF212" s="21"/>
    </row>
    <row r="213" spans="1:58" x14ac:dyDescent="0.2">
      <c r="A213">
        <v>106</v>
      </c>
      <c r="E213" s="5" t="s">
        <v>865</v>
      </c>
      <c r="F213" s="5" t="s">
        <v>885</v>
      </c>
      <c r="I213" t="s">
        <v>835</v>
      </c>
      <c r="J213">
        <v>9</v>
      </c>
      <c r="K213">
        <v>1</v>
      </c>
      <c r="L213" t="s">
        <v>845</v>
      </c>
      <c r="M213" t="s">
        <v>10</v>
      </c>
      <c r="N213" t="s">
        <v>200</v>
      </c>
      <c r="O213" t="s">
        <v>82</v>
      </c>
      <c r="P213" t="s">
        <v>689</v>
      </c>
      <c r="Q213" t="s">
        <v>695</v>
      </c>
      <c r="R213" t="s">
        <v>896</v>
      </c>
      <c r="S213" t="s">
        <v>689</v>
      </c>
      <c r="T213">
        <v>1</v>
      </c>
      <c r="U213" s="8">
        <f t="shared" si="27"/>
        <v>1</v>
      </c>
      <c r="AD213" t="str">
        <f t="shared" si="26"/>
        <v>e</v>
      </c>
      <c r="AE213" t="str">
        <f t="shared" si="30"/>
        <v>Turnover</v>
      </c>
      <c r="AF213" t="str">
        <f t="shared" si="28"/>
        <v>Turnover_Takeaway</v>
      </c>
      <c r="AG213" t="str">
        <f t="shared" si="29"/>
        <v>Takeaway-PokeCheck</v>
      </c>
      <c r="AN213" t="str">
        <f t="shared" si="31"/>
        <v>Defensive</v>
      </c>
      <c r="BD213" s="23"/>
      <c r="BF213" s="21"/>
    </row>
    <row r="214" spans="1:58" x14ac:dyDescent="0.2">
      <c r="A214">
        <v>106</v>
      </c>
      <c r="J214">
        <v>8</v>
      </c>
      <c r="Q214" t="s">
        <v>721</v>
      </c>
      <c r="S214" t="s">
        <v>688</v>
      </c>
      <c r="T214">
        <v>1</v>
      </c>
      <c r="U214" s="8">
        <f t="shared" si="27"/>
        <v>1</v>
      </c>
      <c r="AD214" t="str">
        <f t="shared" si="26"/>
        <v>o</v>
      </c>
      <c r="AE214" t="str">
        <f t="shared" si="30"/>
        <v>Turnover</v>
      </c>
      <c r="AF214" t="str">
        <f t="shared" si="28"/>
        <v>Turnover_Takeaway</v>
      </c>
      <c r="AG214" t="str">
        <f t="shared" si="29"/>
        <v>Takeaway-PokeCheck</v>
      </c>
      <c r="AN214" t="str">
        <f t="shared" si="31"/>
        <v>Offensive</v>
      </c>
      <c r="BD214" s="23"/>
      <c r="BF214" s="21"/>
    </row>
    <row r="215" spans="1:58" x14ac:dyDescent="0.2">
      <c r="A215">
        <v>107</v>
      </c>
      <c r="E215" s="5" t="s">
        <v>865</v>
      </c>
      <c r="F215" s="5" t="s">
        <v>841</v>
      </c>
      <c r="I215" t="s">
        <v>835</v>
      </c>
      <c r="J215">
        <v>61</v>
      </c>
      <c r="K215">
        <v>1</v>
      </c>
      <c r="L215" t="s">
        <v>845</v>
      </c>
      <c r="M215" t="s">
        <v>15</v>
      </c>
      <c r="N215" t="s">
        <v>680</v>
      </c>
      <c r="P215" t="s">
        <v>689</v>
      </c>
      <c r="Q215" t="s">
        <v>694</v>
      </c>
      <c r="S215" t="s">
        <v>689</v>
      </c>
      <c r="U215" s="8">
        <f t="shared" si="27"/>
        <v>1</v>
      </c>
      <c r="AD215" t="str">
        <f t="shared" si="26"/>
        <v>e</v>
      </c>
      <c r="AE215" t="str">
        <f t="shared" si="30"/>
        <v>Possession</v>
      </c>
      <c r="AF215" t="str">
        <f t="shared" si="28"/>
        <v>PuckRetrieval</v>
      </c>
      <c r="AG215" t="str">
        <f t="shared" si="29"/>
        <v/>
      </c>
      <c r="AN215" t="str">
        <f t="shared" si="31"/>
        <v>Offensive</v>
      </c>
      <c r="BD215" s="23"/>
      <c r="BF215" s="21"/>
    </row>
    <row r="216" spans="1:58" x14ac:dyDescent="0.2">
      <c r="A216">
        <v>108</v>
      </c>
      <c r="B216">
        <v>19</v>
      </c>
      <c r="E216" s="5" t="s">
        <v>865</v>
      </c>
      <c r="F216" s="5" t="s">
        <v>875</v>
      </c>
      <c r="I216" t="s">
        <v>835</v>
      </c>
      <c r="J216">
        <v>61</v>
      </c>
      <c r="K216">
        <v>1</v>
      </c>
      <c r="L216" t="s">
        <v>845</v>
      </c>
      <c r="M216" t="s">
        <v>8</v>
      </c>
      <c r="N216" t="s">
        <v>189</v>
      </c>
      <c r="O216" t="s">
        <v>70</v>
      </c>
      <c r="P216" t="s">
        <v>689</v>
      </c>
      <c r="Q216" t="s">
        <v>662</v>
      </c>
      <c r="R216" t="s">
        <v>749</v>
      </c>
      <c r="S216" t="s">
        <v>689</v>
      </c>
      <c r="U216" s="8">
        <f t="shared" si="27"/>
        <v>1</v>
      </c>
      <c r="AD216" t="str">
        <f t="shared" si="26"/>
        <v>e</v>
      </c>
      <c r="AE216" t="str">
        <f t="shared" si="30"/>
        <v>Pass</v>
      </c>
      <c r="AF216" t="str">
        <f t="shared" si="28"/>
        <v>Pass_Completed</v>
      </c>
      <c r="AG216" t="str">
        <f t="shared" si="29"/>
        <v>Pass-Forehand</v>
      </c>
      <c r="AN216" t="str">
        <f t="shared" si="31"/>
        <v>Offensive</v>
      </c>
      <c r="BD216" s="23"/>
      <c r="BF216" s="21"/>
    </row>
    <row r="217" spans="1:58" x14ac:dyDescent="0.2">
      <c r="A217">
        <v>108</v>
      </c>
      <c r="B217">
        <v>19</v>
      </c>
      <c r="J217">
        <v>49</v>
      </c>
      <c r="U217" s="8">
        <f t="shared" si="27"/>
        <v>1</v>
      </c>
      <c r="AD217" t="str">
        <f t="shared" si="26"/>
        <v>o</v>
      </c>
      <c r="AE217" t="str">
        <f t="shared" si="30"/>
        <v>Pass</v>
      </c>
      <c r="AF217" t="str">
        <f t="shared" si="28"/>
        <v>Pass_Completed</v>
      </c>
      <c r="AG217" t="str">
        <f t="shared" si="29"/>
        <v>Pass-Forehand</v>
      </c>
      <c r="AN217" t="str">
        <f t="shared" si="31"/>
        <v>Defensive</v>
      </c>
      <c r="BD217" s="23"/>
      <c r="BF217" s="21"/>
    </row>
    <row r="218" spans="1:58" x14ac:dyDescent="0.2">
      <c r="A218">
        <v>109</v>
      </c>
      <c r="B218">
        <v>19</v>
      </c>
      <c r="E218" s="5" t="s">
        <v>865</v>
      </c>
      <c r="F218" s="5" t="s">
        <v>875</v>
      </c>
      <c r="I218" t="s">
        <v>835</v>
      </c>
      <c r="J218">
        <v>61</v>
      </c>
      <c r="K218">
        <v>1</v>
      </c>
      <c r="L218" t="s">
        <v>845</v>
      </c>
      <c r="M218" t="s">
        <v>257</v>
      </c>
      <c r="N218" t="s">
        <v>201</v>
      </c>
      <c r="O218" t="s">
        <v>91</v>
      </c>
      <c r="P218" t="s">
        <v>689</v>
      </c>
      <c r="Q218" t="s">
        <v>662</v>
      </c>
      <c r="R218" t="s">
        <v>749</v>
      </c>
      <c r="S218" t="s">
        <v>689</v>
      </c>
      <c r="U218" s="8">
        <f t="shared" si="27"/>
        <v>1</v>
      </c>
      <c r="AD218" t="str">
        <f t="shared" si="26"/>
        <v>e</v>
      </c>
      <c r="AE218" t="str">
        <f t="shared" si="30"/>
        <v>Zone_Entry_Exit</v>
      </c>
      <c r="AF218" t="str">
        <f t="shared" si="28"/>
        <v>Zone_Exit</v>
      </c>
      <c r="AG218" t="str">
        <f t="shared" si="29"/>
        <v>ZoneExit-Pass</v>
      </c>
      <c r="AN218" t="str">
        <f t="shared" si="31"/>
        <v>Offensive</v>
      </c>
      <c r="BD218" s="23"/>
      <c r="BF218" s="21"/>
    </row>
    <row r="219" spans="1:58" x14ac:dyDescent="0.2">
      <c r="A219">
        <v>109</v>
      </c>
      <c r="B219">
        <v>19</v>
      </c>
      <c r="J219">
        <v>49</v>
      </c>
      <c r="U219" s="8">
        <f t="shared" si="27"/>
        <v>1</v>
      </c>
      <c r="AD219" t="str">
        <f t="shared" si="26"/>
        <v>o</v>
      </c>
      <c r="AE219" t="str">
        <f t="shared" si="30"/>
        <v>Zone_Entry_Exit</v>
      </c>
      <c r="AF219" t="str">
        <f t="shared" si="28"/>
        <v>Zone_Exit</v>
      </c>
      <c r="AG219" t="str">
        <f t="shared" si="29"/>
        <v>ZoneExit-Pass</v>
      </c>
      <c r="AN219" t="str">
        <f t="shared" si="31"/>
        <v>Defensive</v>
      </c>
      <c r="BD219" s="23"/>
      <c r="BF219" s="21"/>
    </row>
    <row r="220" spans="1:58" x14ac:dyDescent="0.2">
      <c r="A220">
        <v>110</v>
      </c>
      <c r="E220" s="5" t="s">
        <v>865</v>
      </c>
      <c r="F220" s="5" t="s">
        <v>875</v>
      </c>
      <c r="G220" s="5" t="s">
        <v>865</v>
      </c>
      <c r="H220" s="7" t="s">
        <v>886</v>
      </c>
      <c r="I220" t="s">
        <v>835</v>
      </c>
      <c r="J220">
        <v>49</v>
      </c>
      <c r="K220">
        <v>1</v>
      </c>
      <c r="L220" t="s">
        <v>839</v>
      </c>
      <c r="M220" t="s">
        <v>15</v>
      </c>
      <c r="U220" s="8">
        <f t="shared" si="27"/>
        <v>1</v>
      </c>
      <c r="AD220" t="str">
        <f t="shared" si="26"/>
        <v>e</v>
      </c>
      <c r="AE220" t="str">
        <f t="shared" si="30"/>
        <v>Possession</v>
      </c>
      <c r="AF220" t="str">
        <f t="shared" si="28"/>
        <v/>
      </c>
      <c r="AG220" t="str">
        <f t="shared" si="29"/>
        <v/>
      </c>
      <c r="AN220" t="str">
        <f t="shared" si="31"/>
        <v>Offensive</v>
      </c>
      <c r="BD220" s="23"/>
      <c r="BF220" s="21"/>
    </row>
    <row r="221" spans="1:58" x14ac:dyDescent="0.2">
      <c r="A221">
        <v>111</v>
      </c>
      <c r="E221" s="5" t="s">
        <v>865</v>
      </c>
      <c r="F221" s="5" t="s">
        <v>886</v>
      </c>
      <c r="G221" s="5" t="s">
        <v>865</v>
      </c>
      <c r="H221" s="7" t="s">
        <v>843</v>
      </c>
      <c r="I221" t="s">
        <v>835</v>
      </c>
      <c r="J221">
        <v>49</v>
      </c>
      <c r="K221">
        <v>1</v>
      </c>
      <c r="L221" t="s">
        <v>401</v>
      </c>
      <c r="M221" t="s">
        <v>257</v>
      </c>
      <c r="N221" t="s">
        <v>191</v>
      </c>
      <c r="O221" t="s">
        <v>87</v>
      </c>
      <c r="P221" t="s">
        <v>688</v>
      </c>
      <c r="U221" s="8">
        <f t="shared" si="27"/>
        <v>1</v>
      </c>
      <c r="AD221" t="str">
        <f t="shared" si="26"/>
        <v>e</v>
      </c>
      <c r="AE221" t="str">
        <f t="shared" si="30"/>
        <v>Zone_Entry_Exit</v>
      </c>
      <c r="AF221" t="str">
        <f t="shared" si="28"/>
        <v>Zone_Entry</v>
      </c>
      <c r="AG221" t="str">
        <f t="shared" si="29"/>
        <v>ZoneEntry-Rush</v>
      </c>
      <c r="AN221" t="str">
        <f t="shared" si="31"/>
        <v>Offensive</v>
      </c>
      <c r="BD221" s="23"/>
      <c r="BF221" s="21"/>
    </row>
    <row r="222" spans="1:58" x14ac:dyDescent="0.2">
      <c r="A222">
        <v>112</v>
      </c>
      <c r="E222" s="5" t="s">
        <v>865</v>
      </c>
      <c r="F222" s="5" t="s">
        <v>843</v>
      </c>
      <c r="I222" t="s">
        <v>835</v>
      </c>
      <c r="J222">
        <v>49</v>
      </c>
      <c r="K222">
        <v>1</v>
      </c>
      <c r="L222" t="s">
        <v>401</v>
      </c>
      <c r="M222" t="s">
        <v>8</v>
      </c>
      <c r="N222" t="s">
        <v>189</v>
      </c>
      <c r="O222" t="s">
        <v>70</v>
      </c>
      <c r="P222" t="s">
        <v>689</v>
      </c>
      <c r="U222" s="8">
        <f t="shared" si="27"/>
        <v>1</v>
      </c>
      <c r="AD222" t="str">
        <f t="shared" si="26"/>
        <v>e</v>
      </c>
      <c r="AE222" t="str">
        <f t="shared" si="30"/>
        <v>Pass</v>
      </c>
      <c r="AF222" t="str">
        <f t="shared" si="28"/>
        <v>Pass_Completed</v>
      </c>
      <c r="AG222" t="str">
        <f t="shared" si="29"/>
        <v>Pass-Forehand</v>
      </c>
      <c r="AN222" t="str">
        <f t="shared" si="31"/>
        <v>Offensive</v>
      </c>
      <c r="BD222" s="23"/>
      <c r="BF222" s="21"/>
    </row>
    <row r="223" spans="1:58" x14ac:dyDescent="0.2">
      <c r="A223">
        <v>112</v>
      </c>
      <c r="J223">
        <v>55</v>
      </c>
      <c r="U223" s="8">
        <f t="shared" si="27"/>
        <v>1</v>
      </c>
      <c r="AD223" t="str">
        <f t="shared" si="26"/>
        <v>o</v>
      </c>
      <c r="AE223" t="str">
        <f t="shared" si="30"/>
        <v>Pass</v>
      </c>
      <c r="AF223" t="str">
        <f t="shared" si="28"/>
        <v>Pass_Completed</v>
      </c>
      <c r="AG223" t="str">
        <f t="shared" si="29"/>
        <v>Pass-Forehand</v>
      </c>
      <c r="AN223" t="str">
        <f t="shared" si="31"/>
        <v>Defensive</v>
      </c>
      <c r="BD223" s="23"/>
      <c r="BF223" s="21"/>
    </row>
    <row r="224" spans="1:58" x14ac:dyDescent="0.2">
      <c r="A224">
        <v>113</v>
      </c>
      <c r="B224">
        <v>20</v>
      </c>
      <c r="E224" s="5" t="s">
        <v>865</v>
      </c>
      <c r="F224" s="5" t="s">
        <v>876</v>
      </c>
      <c r="I224" t="s">
        <v>835</v>
      </c>
      <c r="J224">
        <v>55</v>
      </c>
      <c r="K224">
        <v>1</v>
      </c>
      <c r="L224" t="s">
        <v>401</v>
      </c>
      <c r="M224" t="s">
        <v>7</v>
      </c>
      <c r="N224" t="s">
        <v>208</v>
      </c>
      <c r="O224" t="s">
        <v>53</v>
      </c>
      <c r="P224" t="s">
        <v>688</v>
      </c>
      <c r="T224">
        <v>1</v>
      </c>
      <c r="U224" s="8">
        <f t="shared" si="27"/>
        <v>1</v>
      </c>
      <c r="AD224" t="str">
        <f t="shared" si="26"/>
        <v>e</v>
      </c>
      <c r="AE224" t="str">
        <f t="shared" si="30"/>
        <v>Shot</v>
      </c>
      <c r="AF224" t="str">
        <f t="shared" si="28"/>
        <v>Shot_Blocked</v>
      </c>
      <c r="AG224" t="str">
        <f t="shared" si="29"/>
        <v>Shot-Wrist</v>
      </c>
      <c r="AN224" t="str">
        <f t="shared" si="31"/>
        <v>Offensive</v>
      </c>
      <c r="BD224" s="23"/>
      <c r="BF224" s="21"/>
    </row>
    <row r="225" spans="1:58" x14ac:dyDescent="0.2">
      <c r="A225">
        <v>113</v>
      </c>
      <c r="B225">
        <v>20</v>
      </c>
      <c r="J225">
        <v>74</v>
      </c>
      <c r="Q225" t="s">
        <v>665</v>
      </c>
      <c r="S225" t="s">
        <v>689</v>
      </c>
      <c r="T225">
        <v>1</v>
      </c>
      <c r="U225" s="8">
        <f t="shared" si="27"/>
        <v>1</v>
      </c>
      <c r="AD225" t="str">
        <f t="shared" si="26"/>
        <v>o</v>
      </c>
      <c r="AE225" t="str">
        <f t="shared" si="30"/>
        <v>Shot</v>
      </c>
      <c r="AF225" t="str">
        <f t="shared" si="28"/>
        <v>Shot_Blocked</v>
      </c>
      <c r="AG225" t="str">
        <f t="shared" si="29"/>
        <v>Shot-Wrist</v>
      </c>
      <c r="AN225" t="str">
        <f t="shared" si="31"/>
        <v>Defensive</v>
      </c>
      <c r="BD225" s="23"/>
      <c r="BF225" s="21"/>
    </row>
    <row r="226" spans="1:58" x14ac:dyDescent="0.2">
      <c r="A226">
        <v>114</v>
      </c>
      <c r="B226">
        <v>20</v>
      </c>
      <c r="E226" s="5" t="s">
        <v>865</v>
      </c>
      <c r="F226" s="5" t="s">
        <v>876</v>
      </c>
      <c r="I226" t="s">
        <v>835</v>
      </c>
      <c r="J226">
        <v>55</v>
      </c>
      <c r="K226">
        <v>1</v>
      </c>
      <c r="L226" t="s">
        <v>401</v>
      </c>
      <c r="M226" t="s">
        <v>10</v>
      </c>
      <c r="N226" t="s">
        <v>190</v>
      </c>
      <c r="O226" t="s">
        <v>78</v>
      </c>
      <c r="P226" t="s">
        <v>688</v>
      </c>
      <c r="T226">
        <v>1</v>
      </c>
      <c r="U226" s="8">
        <f t="shared" si="27"/>
        <v>1</v>
      </c>
      <c r="AD226" t="str">
        <f t="shared" si="26"/>
        <v>e</v>
      </c>
      <c r="AE226" t="str">
        <f t="shared" si="30"/>
        <v>Turnover</v>
      </c>
      <c r="AF226" t="str">
        <f t="shared" si="28"/>
        <v>Turnover_Giveaway</v>
      </c>
      <c r="AG226" t="str">
        <f t="shared" si="29"/>
        <v>Giveaway-ShotBlocked</v>
      </c>
      <c r="AN226" t="str">
        <f t="shared" si="31"/>
        <v>Offensive</v>
      </c>
      <c r="BD226" s="23"/>
      <c r="BF226" s="21"/>
    </row>
    <row r="227" spans="1:58" x14ac:dyDescent="0.2">
      <c r="A227">
        <v>114</v>
      </c>
      <c r="B227">
        <v>20</v>
      </c>
      <c r="J227">
        <v>74</v>
      </c>
      <c r="Q227" t="s">
        <v>665</v>
      </c>
      <c r="S227" t="s">
        <v>689</v>
      </c>
      <c r="T227">
        <v>1</v>
      </c>
      <c r="U227" s="8">
        <f t="shared" si="27"/>
        <v>1</v>
      </c>
      <c r="AD227" t="str">
        <f t="shared" si="26"/>
        <v>o</v>
      </c>
      <c r="AE227" t="str">
        <f t="shared" si="30"/>
        <v>Turnover</v>
      </c>
      <c r="AF227" t="str">
        <f t="shared" si="28"/>
        <v>Turnover_Giveaway</v>
      </c>
      <c r="AG227" t="str">
        <f t="shared" si="29"/>
        <v>Giveaway-ShotBlocked</v>
      </c>
      <c r="AN227" t="str">
        <f t="shared" si="31"/>
        <v>Defensive</v>
      </c>
      <c r="BD227" s="23"/>
      <c r="BF227" s="21"/>
    </row>
    <row r="228" spans="1:58" x14ac:dyDescent="0.2">
      <c r="A228">
        <v>115</v>
      </c>
      <c r="E228" s="5" t="s">
        <v>865</v>
      </c>
      <c r="F228" s="5" t="s">
        <v>846</v>
      </c>
      <c r="G228" s="5" t="s">
        <v>865</v>
      </c>
      <c r="H228" s="7" t="s">
        <v>877</v>
      </c>
      <c r="I228" t="s">
        <v>840</v>
      </c>
      <c r="J228">
        <v>17</v>
      </c>
      <c r="K228">
        <v>1</v>
      </c>
      <c r="L228" t="s">
        <v>845</v>
      </c>
      <c r="M228" t="s">
        <v>15</v>
      </c>
      <c r="N228" t="s">
        <v>680</v>
      </c>
      <c r="P228" t="s">
        <v>689</v>
      </c>
      <c r="Q228" t="s">
        <v>666</v>
      </c>
      <c r="S228" t="s">
        <v>689</v>
      </c>
      <c r="U228" s="8">
        <f t="shared" si="27"/>
        <v>1</v>
      </c>
      <c r="AD228" t="str">
        <f t="shared" si="26"/>
        <v>e</v>
      </c>
      <c r="AE228" t="str">
        <f t="shared" si="30"/>
        <v>Possession</v>
      </c>
      <c r="AF228" t="str">
        <f t="shared" si="28"/>
        <v>PuckRetrieval</v>
      </c>
      <c r="AG228" t="str">
        <f t="shared" si="29"/>
        <v/>
      </c>
      <c r="AN228" t="str">
        <f t="shared" si="31"/>
        <v>Offensive</v>
      </c>
      <c r="BD228" s="23"/>
      <c r="BF228" s="21"/>
    </row>
    <row r="229" spans="1:58" x14ac:dyDescent="0.2">
      <c r="A229">
        <v>116</v>
      </c>
      <c r="E229" s="5" t="s">
        <v>865</v>
      </c>
      <c r="F229" s="5" t="s">
        <v>877</v>
      </c>
      <c r="G229" s="5" t="s">
        <v>865</v>
      </c>
      <c r="H229" s="7" t="s">
        <v>888</v>
      </c>
      <c r="I229" t="s">
        <v>840</v>
      </c>
      <c r="J229">
        <v>17</v>
      </c>
      <c r="K229">
        <v>1</v>
      </c>
      <c r="L229" t="s">
        <v>845</v>
      </c>
      <c r="M229" t="s">
        <v>257</v>
      </c>
      <c r="N229" t="s">
        <v>201</v>
      </c>
      <c r="O229" t="s">
        <v>90</v>
      </c>
      <c r="P229" t="s">
        <v>689</v>
      </c>
      <c r="U229" s="8">
        <f t="shared" si="27"/>
        <v>1</v>
      </c>
      <c r="AD229" t="str">
        <f t="shared" si="26"/>
        <v>e</v>
      </c>
      <c r="AE229" t="str">
        <f t="shared" si="30"/>
        <v>Zone_Entry_Exit</v>
      </c>
      <c r="AF229" t="str">
        <f t="shared" si="28"/>
        <v>Zone_Exit</v>
      </c>
      <c r="AG229" t="str">
        <f t="shared" si="29"/>
        <v>ZoneExit-Rush</v>
      </c>
      <c r="AN229" t="str">
        <f t="shared" si="31"/>
        <v>Offensive</v>
      </c>
      <c r="BD229" s="23"/>
      <c r="BF229" s="21"/>
    </row>
    <row r="230" spans="1:58" x14ac:dyDescent="0.2">
      <c r="A230">
        <v>117</v>
      </c>
      <c r="E230" s="5" t="s">
        <v>865</v>
      </c>
      <c r="F230" s="5" t="s">
        <v>888</v>
      </c>
      <c r="G230" s="5" t="s">
        <v>865</v>
      </c>
      <c r="H230" s="7" t="s">
        <v>889</v>
      </c>
      <c r="I230" t="s">
        <v>840</v>
      </c>
      <c r="J230">
        <v>17</v>
      </c>
      <c r="K230">
        <v>1</v>
      </c>
      <c r="L230" t="s">
        <v>839</v>
      </c>
      <c r="M230" t="s">
        <v>15</v>
      </c>
      <c r="U230" s="8">
        <f t="shared" si="27"/>
        <v>1</v>
      </c>
      <c r="AD230" t="str">
        <f t="shared" si="26"/>
        <v>e</v>
      </c>
      <c r="AE230" t="str">
        <f t="shared" si="30"/>
        <v>Possession</v>
      </c>
      <c r="AF230" t="str">
        <f t="shared" si="28"/>
        <v/>
      </c>
      <c r="AG230" t="str">
        <f t="shared" si="29"/>
        <v/>
      </c>
      <c r="AN230" t="str">
        <f t="shared" si="31"/>
        <v>Offensive</v>
      </c>
      <c r="BD230" s="23"/>
      <c r="BF230" s="21"/>
    </row>
    <row r="231" spans="1:58" x14ac:dyDescent="0.2">
      <c r="A231">
        <v>118</v>
      </c>
      <c r="E231" s="5" t="s">
        <v>865</v>
      </c>
      <c r="F231" s="5" t="s">
        <v>889</v>
      </c>
      <c r="G231" s="5" t="s">
        <v>865</v>
      </c>
      <c r="H231" s="7" t="s">
        <v>897</v>
      </c>
      <c r="I231" t="s">
        <v>840</v>
      </c>
      <c r="J231">
        <v>17</v>
      </c>
      <c r="K231">
        <v>1</v>
      </c>
      <c r="L231" t="s">
        <v>401</v>
      </c>
      <c r="M231" t="s">
        <v>257</v>
      </c>
      <c r="N231" t="s">
        <v>191</v>
      </c>
      <c r="O231" t="s">
        <v>87</v>
      </c>
      <c r="P231" t="s">
        <v>689</v>
      </c>
      <c r="Q231" t="s">
        <v>702</v>
      </c>
      <c r="T231">
        <v>1</v>
      </c>
      <c r="U231" s="8">
        <f t="shared" si="27"/>
        <v>1</v>
      </c>
      <c r="AD231" t="str">
        <f t="shared" si="26"/>
        <v>e</v>
      </c>
      <c r="AE231" t="str">
        <f t="shared" si="30"/>
        <v>Zone_Entry_Exit</v>
      </c>
      <c r="AF231" t="str">
        <f t="shared" si="28"/>
        <v>Zone_Entry</v>
      </c>
      <c r="AG231" t="str">
        <f t="shared" si="29"/>
        <v>ZoneEntry-Rush</v>
      </c>
      <c r="AN231" t="str">
        <f t="shared" si="31"/>
        <v>Offensive</v>
      </c>
      <c r="BD231" s="23"/>
      <c r="BF231" s="21"/>
    </row>
    <row r="232" spans="1:58" x14ac:dyDescent="0.2">
      <c r="A232">
        <v>118</v>
      </c>
      <c r="J232">
        <v>8</v>
      </c>
      <c r="K232">
        <v>1</v>
      </c>
      <c r="U232" s="8">
        <f t="shared" si="27"/>
        <v>1</v>
      </c>
      <c r="AD232" t="str">
        <f t="shared" si="26"/>
        <v>e</v>
      </c>
      <c r="AE232" t="str">
        <f t="shared" si="30"/>
        <v>Zone_Entry_Exit</v>
      </c>
      <c r="AF232" t="str">
        <f t="shared" si="28"/>
        <v>Zone_Entry</v>
      </c>
      <c r="AG232" t="str">
        <f t="shared" si="29"/>
        <v>ZoneEntry-Rush</v>
      </c>
      <c r="AN232" t="str">
        <f t="shared" si="31"/>
        <v>Offensive</v>
      </c>
      <c r="BD232" s="23"/>
      <c r="BF232" s="21"/>
    </row>
    <row r="233" spans="1:58" x14ac:dyDescent="0.2">
      <c r="A233">
        <v>118</v>
      </c>
      <c r="J233">
        <v>52</v>
      </c>
      <c r="T233">
        <v>1</v>
      </c>
      <c r="U233" s="8">
        <f t="shared" si="27"/>
        <v>1</v>
      </c>
      <c r="AD233" t="str">
        <f t="shared" si="26"/>
        <v>o</v>
      </c>
      <c r="AE233" t="str">
        <f t="shared" si="30"/>
        <v>Zone_Entry_Exit</v>
      </c>
      <c r="AF233" t="str">
        <f t="shared" si="28"/>
        <v>Zone_Entry</v>
      </c>
      <c r="AG233" t="str">
        <f t="shared" si="29"/>
        <v>ZoneEntry-Rush</v>
      </c>
      <c r="AN233" t="str">
        <f t="shared" si="31"/>
        <v>Defensive</v>
      </c>
      <c r="BD233" s="23"/>
      <c r="BF233" s="21"/>
    </row>
    <row r="234" spans="1:58" x14ac:dyDescent="0.2">
      <c r="A234">
        <v>118</v>
      </c>
      <c r="J234">
        <v>91</v>
      </c>
      <c r="U234" s="8">
        <f t="shared" si="27"/>
        <v>1</v>
      </c>
      <c r="AD234" t="str">
        <f t="shared" si="26"/>
        <v>o</v>
      </c>
      <c r="AE234" t="str">
        <f t="shared" si="30"/>
        <v>Zone_Entry_Exit</v>
      </c>
      <c r="AF234" t="str">
        <f t="shared" si="28"/>
        <v>Zone_Entry</v>
      </c>
      <c r="AG234" t="str">
        <f t="shared" si="29"/>
        <v>ZoneEntry-Rush</v>
      </c>
      <c r="AN234" t="str">
        <f t="shared" si="31"/>
        <v>Defensive</v>
      </c>
      <c r="BD234" s="23"/>
      <c r="BF234" s="21"/>
    </row>
    <row r="235" spans="1:58" x14ac:dyDescent="0.2">
      <c r="A235">
        <v>119</v>
      </c>
      <c r="B235">
        <v>21</v>
      </c>
      <c r="E235" s="5" t="s">
        <v>865</v>
      </c>
      <c r="F235" s="5" t="s">
        <v>897</v>
      </c>
      <c r="I235" t="s">
        <v>840</v>
      </c>
      <c r="J235">
        <v>17</v>
      </c>
      <c r="K235">
        <v>1</v>
      </c>
      <c r="L235" t="s">
        <v>401</v>
      </c>
      <c r="M235" t="s">
        <v>7</v>
      </c>
      <c r="N235" t="s">
        <v>222</v>
      </c>
      <c r="O235" t="s">
        <v>53</v>
      </c>
      <c r="P235" t="s">
        <v>689</v>
      </c>
      <c r="T235">
        <v>1</v>
      </c>
      <c r="U235" s="8">
        <f t="shared" si="27"/>
        <v>1</v>
      </c>
      <c r="AD235" t="str">
        <f t="shared" si="26"/>
        <v>e</v>
      </c>
      <c r="AE235" t="str">
        <f t="shared" si="30"/>
        <v>Shot</v>
      </c>
      <c r="AF235" t="str">
        <f t="shared" si="28"/>
        <v>Shot_OnNetSaved</v>
      </c>
      <c r="AG235" t="str">
        <f t="shared" si="29"/>
        <v>Shot-Wrist</v>
      </c>
      <c r="AN235" t="str">
        <f t="shared" si="31"/>
        <v>Offensive</v>
      </c>
      <c r="BD235" s="23"/>
      <c r="BF235" s="21"/>
    </row>
    <row r="236" spans="1:58" x14ac:dyDescent="0.2">
      <c r="A236">
        <v>119</v>
      </c>
      <c r="B236">
        <v>21</v>
      </c>
      <c r="J236">
        <v>39</v>
      </c>
      <c r="U236" s="8">
        <f t="shared" si="27"/>
        <v>1</v>
      </c>
      <c r="AD236" t="str">
        <f t="shared" si="26"/>
        <v>o</v>
      </c>
      <c r="AE236" t="str">
        <f t="shared" si="30"/>
        <v>Shot</v>
      </c>
      <c r="AF236" t="str">
        <f t="shared" si="28"/>
        <v>Shot_OnNetSaved</v>
      </c>
      <c r="AG236" t="str">
        <f t="shared" si="29"/>
        <v>Shot-Wrist</v>
      </c>
      <c r="AN236" t="str">
        <f t="shared" si="31"/>
        <v>Defensive</v>
      </c>
      <c r="BD236" s="23"/>
      <c r="BF236" s="21"/>
    </row>
    <row r="237" spans="1:58" x14ac:dyDescent="0.2">
      <c r="A237">
        <v>119</v>
      </c>
      <c r="B237">
        <v>21</v>
      </c>
      <c r="J237">
        <v>52</v>
      </c>
      <c r="T237">
        <v>1</v>
      </c>
      <c r="U237" s="8">
        <f t="shared" si="27"/>
        <v>1</v>
      </c>
      <c r="AD237" t="str">
        <f t="shared" si="26"/>
        <v>o</v>
      </c>
      <c r="AE237" t="str">
        <f t="shared" si="30"/>
        <v>Shot</v>
      </c>
      <c r="AF237" t="str">
        <f t="shared" si="28"/>
        <v>Shot_OnNetSaved</v>
      </c>
      <c r="AG237" t="str">
        <f t="shared" si="29"/>
        <v>Shot-Wrist</v>
      </c>
      <c r="AN237" t="str">
        <f t="shared" si="31"/>
        <v>Defensive</v>
      </c>
      <c r="BD237" s="23"/>
      <c r="BF237" s="21"/>
    </row>
    <row r="238" spans="1:58" x14ac:dyDescent="0.2">
      <c r="A238">
        <v>120</v>
      </c>
      <c r="B238">
        <v>21</v>
      </c>
      <c r="E238" s="5" t="s">
        <v>865</v>
      </c>
      <c r="F238" s="5" t="s">
        <v>897</v>
      </c>
      <c r="I238" t="s">
        <v>835</v>
      </c>
      <c r="J238">
        <v>39</v>
      </c>
      <c r="K238">
        <v>1</v>
      </c>
      <c r="L238" t="s">
        <v>845</v>
      </c>
      <c r="M238" t="s">
        <v>17</v>
      </c>
      <c r="N238" t="s">
        <v>196</v>
      </c>
      <c r="O238" t="s">
        <v>102</v>
      </c>
      <c r="U238" s="8">
        <f t="shared" si="27"/>
        <v>1</v>
      </c>
      <c r="AD238" t="str">
        <f t="shared" si="26"/>
        <v>e</v>
      </c>
      <c r="AE238" t="str">
        <f t="shared" si="30"/>
        <v>Save</v>
      </c>
      <c r="AF238" t="str">
        <f t="shared" si="28"/>
        <v>Save_Rebound</v>
      </c>
      <c r="AG238" t="str">
        <f t="shared" si="29"/>
        <v>Save-Butterfly</v>
      </c>
      <c r="AN238" t="str">
        <f t="shared" si="31"/>
        <v>Defensive</v>
      </c>
      <c r="BD238" s="23"/>
      <c r="BF238" s="21"/>
    </row>
    <row r="239" spans="1:58" x14ac:dyDescent="0.2">
      <c r="A239">
        <v>120</v>
      </c>
      <c r="B239">
        <v>21</v>
      </c>
      <c r="J239">
        <v>52</v>
      </c>
      <c r="K239">
        <v>1</v>
      </c>
      <c r="T239">
        <v>1</v>
      </c>
      <c r="U239" s="8">
        <f t="shared" si="27"/>
        <v>1</v>
      </c>
      <c r="AD239" t="str">
        <f t="shared" si="26"/>
        <v>e</v>
      </c>
      <c r="AE239" t="str">
        <f t="shared" si="30"/>
        <v>Save</v>
      </c>
      <c r="AF239" t="str">
        <f t="shared" si="28"/>
        <v>Save_Rebound</v>
      </c>
      <c r="AG239" t="str">
        <f t="shared" si="29"/>
        <v>Save-Butterfly</v>
      </c>
      <c r="AN239" t="str">
        <f t="shared" si="31"/>
        <v>Defensive</v>
      </c>
      <c r="BD239" s="23"/>
      <c r="BF239" s="21"/>
    </row>
    <row r="240" spans="1:58" x14ac:dyDescent="0.2">
      <c r="A240">
        <v>120</v>
      </c>
      <c r="B240">
        <v>21</v>
      </c>
      <c r="J240">
        <v>17</v>
      </c>
      <c r="T240">
        <v>1</v>
      </c>
      <c r="U240" s="8">
        <f t="shared" si="27"/>
        <v>1</v>
      </c>
      <c r="AD240" t="str">
        <f t="shared" si="26"/>
        <v>o</v>
      </c>
      <c r="AE240" t="str">
        <f t="shared" si="30"/>
        <v>Save</v>
      </c>
      <c r="AF240" t="str">
        <f t="shared" si="28"/>
        <v>Save_Rebound</v>
      </c>
      <c r="AG240" t="str">
        <f t="shared" si="29"/>
        <v>Save-Butterfly</v>
      </c>
      <c r="AN240" t="str">
        <f t="shared" si="31"/>
        <v>Offensive</v>
      </c>
      <c r="BD240" s="23"/>
      <c r="BF240" s="21"/>
    </row>
    <row r="241" spans="1:58" x14ac:dyDescent="0.2">
      <c r="A241">
        <v>121</v>
      </c>
      <c r="B241">
        <v>21</v>
      </c>
      <c r="E241" s="5" t="s">
        <v>865</v>
      </c>
      <c r="F241" s="5" t="s">
        <v>897</v>
      </c>
      <c r="I241" t="s">
        <v>835</v>
      </c>
      <c r="J241">
        <v>39</v>
      </c>
      <c r="K241">
        <v>1</v>
      </c>
      <c r="L241" t="s">
        <v>845</v>
      </c>
      <c r="M241" t="s">
        <v>250</v>
      </c>
      <c r="N241" t="s">
        <v>253</v>
      </c>
      <c r="U241" s="8">
        <f t="shared" si="27"/>
        <v>1</v>
      </c>
      <c r="AD241" t="str">
        <f t="shared" si="26"/>
        <v>e</v>
      </c>
      <c r="AE241" t="str">
        <f t="shared" si="30"/>
        <v>Rebound</v>
      </c>
      <c r="AF241" t="str">
        <f t="shared" si="28"/>
        <v>Rebound_ShotGenerated</v>
      </c>
      <c r="AG241" t="str">
        <f t="shared" si="29"/>
        <v/>
      </c>
      <c r="AN241" t="str">
        <f t="shared" si="31"/>
        <v>Offensive</v>
      </c>
      <c r="BD241" s="23"/>
      <c r="BF241" s="21"/>
    </row>
    <row r="242" spans="1:58" x14ac:dyDescent="0.2">
      <c r="A242">
        <v>122</v>
      </c>
      <c r="B242">
        <v>22</v>
      </c>
      <c r="E242" s="5" t="s">
        <v>865</v>
      </c>
      <c r="F242" s="5" t="s">
        <v>849</v>
      </c>
      <c r="I242" t="s">
        <v>840</v>
      </c>
      <c r="J242">
        <v>8</v>
      </c>
      <c r="K242">
        <v>1</v>
      </c>
      <c r="L242" t="s">
        <v>401</v>
      </c>
      <c r="M242" t="s">
        <v>7</v>
      </c>
      <c r="N242" t="s">
        <v>222</v>
      </c>
      <c r="O242" t="s">
        <v>55</v>
      </c>
      <c r="P242" t="s">
        <v>689</v>
      </c>
      <c r="U242" s="8">
        <f t="shared" si="27"/>
        <v>1</v>
      </c>
      <c r="AD242" t="str">
        <f t="shared" si="26"/>
        <v>e</v>
      </c>
      <c r="AE242" t="str">
        <f t="shared" si="30"/>
        <v>Shot</v>
      </c>
      <c r="AF242" t="str">
        <f t="shared" si="28"/>
        <v>Shot_OnNetSaved</v>
      </c>
      <c r="AG242" t="str">
        <f t="shared" si="29"/>
        <v>Shot-Backhand</v>
      </c>
      <c r="AN242" t="str">
        <f t="shared" si="31"/>
        <v>Offensive</v>
      </c>
      <c r="BD242" s="23"/>
      <c r="BF242" s="21"/>
    </row>
    <row r="243" spans="1:58" x14ac:dyDescent="0.2">
      <c r="A243">
        <v>122</v>
      </c>
      <c r="B243">
        <v>22</v>
      </c>
      <c r="J243">
        <v>39</v>
      </c>
      <c r="U243" s="8">
        <f t="shared" si="27"/>
        <v>1</v>
      </c>
      <c r="AD243" t="str">
        <f t="shared" si="26"/>
        <v>o</v>
      </c>
      <c r="AE243" t="str">
        <f t="shared" si="30"/>
        <v>Shot</v>
      </c>
      <c r="AF243" t="str">
        <f t="shared" si="28"/>
        <v>Shot_OnNetSaved</v>
      </c>
      <c r="AG243" t="str">
        <f t="shared" si="29"/>
        <v>Shot-Backhand</v>
      </c>
      <c r="AN243" t="str">
        <f t="shared" si="31"/>
        <v>Defensive</v>
      </c>
      <c r="BD243" s="23"/>
      <c r="BF243" s="21"/>
    </row>
    <row r="244" spans="1:58" x14ac:dyDescent="0.2">
      <c r="A244">
        <v>123</v>
      </c>
      <c r="B244">
        <v>22</v>
      </c>
      <c r="E244" s="5" t="s">
        <v>865</v>
      </c>
      <c r="F244" s="5" t="s">
        <v>849</v>
      </c>
      <c r="I244" t="s">
        <v>835</v>
      </c>
      <c r="J244">
        <v>39</v>
      </c>
      <c r="K244">
        <v>1</v>
      </c>
      <c r="L244" t="s">
        <v>845</v>
      </c>
      <c r="M244" t="s">
        <v>17</v>
      </c>
      <c r="N244" t="s">
        <v>206</v>
      </c>
      <c r="O244" t="s">
        <v>99</v>
      </c>
      <c r="U244" s="8">
        <f t="shared" si="27"/>
        <v>1</v>
      </c>
      <c r="AD244" t="str">
        <f t="shared" si="26"/>
        <v>e</v>
      </c>
      <c r="AE244" t="str">
        <f t="shared" si="30"/>
        <v>Save</v>
      </c>
      <c r="AF244" t="str">
        <f t="shared" si="28"/>
        <v>Save_Freeze</v>
      </c>
      <c r="AG244" t="str">
        <f t="shared" si="29"/>
        <v>Save-RightPad</v>
      </c>
      <c r="AN244" t="str">
        <f t="shared" si="31"/>
        <v>Defensive</v>
      </c>
      <c r="BD244" s="23"/>
      <c r="BF244" s="21"/>
    </row>
    <row r="245" spans="1:58" x14ac:dyDescent="0.2">
      <c r="A245">
        <v>123</v>
      </c>
      <c r="B245">
        <v>22</v>
      </c>
      <c r="J245">
        <v>8</v>
      </c>
      <c r="U245" s="8">
        <f t="shared" si="27"/>
        <v>1</v>
      </c>
      <c r="AD245" t="str">
        <f t="shared" si="26"/>
        <v>o</v>
      </c>
      <c r="AE245" t="str">
        <f t="shared" si="30"/>
        <v>Save</v>
      </c>
      <c r="AF245" t="str">
        <f t="shared" si="28"/>
        <v>Save_Freeze</v>
      </c>
      <c r="AG245" t="str">
        <f t="shared" si="29"/>
        <v>Save-RightPad</v>
      </c>
      <c r="AN245" t="str">
        <f t="shared" si="31"/>
        <v>Offensive</v>
      </c>
      <c r="BD245" s="23"/>
      <c r="BF245" s="21"/>
    </row>
    <row r="246" spans="1:58" x14ac:dyDescent="0.2">
      <c r="A246">
        <v>124</v>
      </c>
      <c r="B246">
        <v>22</v>
      </c>
      <c r="E246" s="5" t="s">
        <v>865</v>
      </c>
      <c r="F246" s="5" t="s">
        <v>879</v>
      </c>
      <c r="I246" t="s">
        <v>835</v>
      </c>
      <c r="J246">
        <v>39</v>
      </c>
      <c r="K246">
        <v>1</v>
      </c>
      <c r="L246" t="s">
        <v>845</v>
      </c>
      <c r="M246" t="s">
        <v>13</v>
      </c>
      <c r="N246" t="s">
        <v>204</v>
      </c>
      <c r="O246" t="s">
        <v>110</v>
      </c>
      <c r="U246" s="8">
        <f t="shared" si="27"/>
        <v>1</v>
      </c>
      <c r="AD246" t="str">
        <f t="shared" si="26"/>
        <v>e</v>
      </c>
      <c r="AE246" t="str">
        <f t="shared" si="30"/>
        <v>Stoppage</v>
      </c>
      <c r="AF246" t="str">
        <f t="shared" si="28"/>
        <v>Stoppage_Play</v>
      </c>
      <c r="AG246" t="str">
        <f t="shared" si="29"/>
        <v>Stoppage-GoalieStoppage</v>
      </c>
      <c r="AN246" t="str">
        <f t="shared" si="31"/>
        <v/>
      </c>
      <c r="BD246" s="23"/>
      <c r="BF246" s="21"/>
    </row>
    <row r="247" spans="1:58" x14ac:dyDescent="0.2">
      <c r="A247">
        <v>125</v>
      </c>
      <c r="B247">
        <v>22</v>
      </c>
      <c r="E247" s="5" t="s">
        <v>865</v>
      </c>
      <c r="F247" s="5" t="s">
        <v>879</v>
      </c>
      <c r="G247" s="5" t="s">
        <v>865</v>
      </c>
      <c r="H247" s="7" t="s">
        <v>863</v>
      </c>
      <c r="I247" t="s">
        <v>835</v>
      </c>
      <c r="J247">
        <v>39</v>
      </c>
      <c r="K247">
        <v>1</v>
      </c>
      <c r="L247" t="s">
        <v>845</v>
      </c>
      <c r="M247" t="s">
        <v>262</v>
      </c>
      <c r="U247" s="8">
        <f t="shared" si="27"/>
        <v>1</v>
      </c>
      <c r="AD247" t="str">
        <f t="shared" si="26"/>
        <v>e</v>
      </c>
      <c r="AE247" t="str">
        <f t="shared" si="30"/>
        <v>DeadIce</v>
      </c>
      <c r="AF247" t="str">
        <f t="shared" si="28"/>
        <v/>
      </c>
      <c r="AG247" t="str">
        <f t="shared" si="29"/>
        <v/>
      </c>
      <c r="AN247" t="str">
        <f t="shared" si="31"/>
        <v/>
      </c>
      <c r="BD247" s="23"/>
      <c r="BF247" s="21"/>
    </row>
    <row r="248" spans="1:58" x14ac:dyDescent="0.2">
      <c r="A248">
        <v>126</v>
      </c>
      <c r="E248" s="5" t="s">
        <v>865</v>
      </c>
      <c r="F248" s="5" t="s">
        <v>863</v>
      </c>
      <c r="I248" t="s">
        <v>835</v>
      </c>
      <c r="J248">
        <v>49</v>
      </c>
      <c r="K248">
        <v>1</v>
      </c>
      <c r="L248" t="s">
        <v>845</v>
      </c>
      <c r="M248" t="s">
        <v>6</v>
      </c>
      <c r="N248" t="s">
        <v>255</v>
      </c>
      <c r="U248" s="8">
        <f t="shared" si="27"/>
        <v>1</v>
      </c>
      <c r="AD248" t="str">
        <f t="shared" si="26"/>
        <v>e</v>
      </c>
      <c r="AE248" t="str">
        <f t="shared" si="30"/>
        <v>Faceoff</v>
      </c>
      <c r="AF248" t="str">
        <f t="shared" si="28"/>
        <v>Faceoff_AfterStoppage</v>
      </c>
      <c r="AG248" t="str">
        <f t="shared" si="29"/>
        <v/>
      </c>
      <c r="AN248" t="str">
        <f t="shared" si="31"/>
        <v>Offensive</v>
      </c>
      <c r="BD248" s="23"/>
      <c r="BF248" s="21"/>
    </row>
    <row r="249" spans="1:58" x14ac:dyDescent="0.2">
      <c r="A249">
        <v>126</v>
      </c>
      <c r="J249">
        <v>8</v>
      </c>
      <c r="U249" s="8">
        <f t="shared" si="27"/>
        <v>1</v>
      </c>
      <c r="AD249" t="str">
        <f t="shared" si="26"/>
        <v>o</v>
      </c>
      <c r="AE249" t="str">
        <f t="shared" si="30"/>
        <v>Faceoff</v>
      </c>
      <c r="AF249" t="str">
        <f t="shared" si="28"/>
        <v>Faceoff_AfterStoppage</v>
      </c>
      <c r="AG249" t="str">
        <f t="shared" si="29"/>
        <v/>
      </c>
      <c r="AN249" t="str">
        <f t="shared" si="31"/>
        <v>Defensive</v>
      </c>
      <c r="BD249" s="23"/>
      <c r="BF249" s="21"/>
    </row>
    <row r="250" spans="1:58" x14ac:dyDescent="0.2">
      <c r="A250">
        <v>127</v>
      </c>
      <c r="E250" s="5" t="s">
        <v>865</v>
      </c>
      <c r="F250" s="5" t="s">
        <v>865</v>
      </c>
      <c r="I250" t="s">
        <v>835</v>
      </c>
      <c r="J250">
        <v>61</v>
      </c>
      <c r="K250">
        <v>1</v>
      </c>
      <c r="L250" t="s">
        <v>845</v>
      </c>
      <c r="M250" t="s">
        <v>15</v>
      </c>
      <c r="N250" t="s">
        <v>680</v>
      </c>
      <c r="P250" t="s">
        <v>689</v>
      </c>
      <c r="Q250" t="s">
        <v>827</v>
      </c>
      <c r="S250" t="s">
        <v>689</v>
      </c>
      <c r="T250">
        <v>1</v>
      </c>
      <c r="U250" s="8">
        <f t="shared" si="27"/>
        <v>1</v>
      </c>
      <c r="AD250" t="str">
        <f t="shared" si="26"/>
        <v>e</v>
      </c>
      <c r="AE250" t="str">
        <f t="shared" si="30"/>
        <v>Possession</v>
      </c>
      <c r="AF250" t="str">
        <f t="shared" si="28"/>
        <v>PuckRetrieval</v>
      </c>
      <c r="AG250" t="str">
        <f t="shared" si="29"/>
        <v/>
      </c>
      <c r="AN250" t="str">
        <f t="shared" si="31"/>
        <v>Offensive</v>
      </c>
      <c r="BD250" s="23"/>
      <c r="BF250" s="21"/>
    </row>
    <row r="251" spans="1:58" x14ac:dyDescent="0.2">
      <c r="A251">
        <v>127</v>
      </c>
      <c r="J251">
        <v>19</v>
      </c>
      <c r="Q251" t="s">
        <v>830</v>
      </c>
      <c r="S251" t="s">
        <v>688</v>
      </c>
      <c r="T251">
        <v>1</v>
      </c>
      <c r="U251" s="8">
        <f t="shared" si="27"/>
        <v>1</v>
      </c>
      <c r="AD251" t="str">
        <f t="shared" si="26"/>
        <v>o</v>
      </c>
      <c r="AE251" t="str">
        <f t="shared" si="30"/>
        <v>Possession</v>
      </c>
      <c r="AF251" t="str">
        <f t="shared" si="28"/>
        <v>PuckRetrieval</v>
      </c>
      <c r="AG251" t="str">
        <f t="shared" si="29"/>
        <v/>
      </c>
      <c r="AN251" t="str">
        <f t="shared" si="31"/>
        <v>Defensive</v>
      </c>
      <c r="BD251" s="23"/>
      <c r="BF251" s="21"/>
    </row>
    <row r="252" spans="1:58" x14ac:dyDescent="0.2">
      <c r="A252">
        <v>128</v>
      </c>
      <c r="B252">
        <v>23</v>
      </c>
      <c r="E252" s="5" t="s">
        <v>865</v>
      </c>
      <c r="F252" s="5" t="s">
        <v>898</v>
      </c>
      <c r="I252" t="s">
        <v>835</v>
      </c>
      <c r="J252">
        <v>61</v>
      </c>
      <c r="K252">
        <v>1</v>
      </c>
      <c r="L252" t="s">
        <v>845</v>
      </c>
      <c r="M252" t="s">
        <v>8</v>
      </c>
      <c r="N252" t="s">
        <v>189</v>
      </c>
      <c r="O252" t="s">
        <v>71</v>
      </c>
      <c r="P252" t="s">
        <v>689</v>
      </c>
      <c r="Q252" t="s">
        <v>749</v>
      </c>
      <c r="R252" t="s">
        <v>662</v>
      </c>
      <c r="S252" t="s">
        <v>689</v>
      </c>
      <c r="U252" s="8">
        <f t="shared" si="27"/>
        <v>1</v>
      </c>
      <c r="AD252" t="str">
        <f t="shared" si="26"/>
        <v>e</v>
      </c>
      <c r="AE252" t="str">
        <f t="shared" si="30"/>
        <v>Pass</v>
      </c>
      <c r="AF252" t="str">
        <f t="shared" si="28"/>
        <v>Pass_Completed</v>
      </c>
      <c r="AG252" t="str">
        <f t="shared" si="29"/>
        <v>Pass-Bank</v>
      </c>
      <c r="AN252" t="str">
        <f t="shared" si="31"/>
        <v>Offensive</v>
      </c>
      <c r="BD252" s="23"/>
      <c r="BF252" s="21"/>
    </row>
    <row r="253" spans="1:58" x14ac:dyDescent="0.2">
      <c r="A253">
        <v>128</v>
      </c>
      <c r="B253">
        <v>23</v>
      </c>
      <c r="J253">
        <v>49</v>
      </c>
      <c r="K253">
        <v>1</v>
      </c>
      <c r="U253" s="8">
        <f t="shared" si="27"/>
        <v>1</v>
      </c>
      <c r="AD253" t="str">
        <f t="shared" si="26"/>
        <v>e</v>
      </c>
      <c r="AE253" t="str">
        <f t="shared" si="30"/>
        <v>Pass</v>
      </c>
      <c r="AF253" t="str">
        <f t="shared" si="28"/>
        <v>Pass_Completed</v>
      </c>
      <c r="AG253" t="str">
        <f t="shared" si="29"/>
        <v>Pass-Bank</v>
      </c>
      <c r="AN253" t="str">
        <f t="shared" si="31"/>
        <v>Offensive</v>
      </c>
      <c r="BD253" s="23"/>
      <c r="BF253" s="21"/>
    </row>
    <row r="254" spans="1:58" x14ac:dyDescent="0.2">
      <c r="A254">
        <v>129</v>
      </c>
      <c r="B254">
        <v>23</v>
      </c>
      <c r="E254" s="5" t="s">
        <v>865</v>
      </c>
      <c r="F254" s="5" t="s">
        <v>898</v>
      </c>
      <c r="I254" t="s">
        <v>835</v>
      </c>
      <c r="J254">
        <v>61</v>
      </c>
      <c r="K254">
        <v>1</v>
      </c>
      <c r="L254" t="s">
        <v>845</v>
      </c>
      <c r="M254" t="s">
        <v>257</v>
      </c>
      <c r="N254" t="s">
        <v>201</v>
      </c>
      <c r="O254" t="s">
        <v>91</v>
      </c>
      <c r="P254" t="s">
        <v>689</v>
      </c>
      <c r="Q254" t="s">
        <v>749</v>
      </c>
      <c r="S254" t="s">
        <v>689</v>
      </c>
      <c r="U254" s="8">
        <f t="shared" si="27"/>
        <v>1</v>
      </c>
      <c r="AD254" t="str">
        <f t="shared" si="26"/>
        <v>e</v>
      </c>
      <c r="AE254" t="str">
        <f t="shared" si="30"/>
        <v>Zone_Entry_Exit</v>
      </c>
      <c r="AF254" t="str">
        <f t="shared" si="28"/>
        <v>Zone_Exit</v>
      </c>
      <c r="AG254" t="str">
        <f t="shared" si="29"/>
        <v>ZoneExit-Pass</v>
      </c>
      <c r="AN254" t="str">
        <f t="shared" si="31"/>
        <v>Offensive</v>
      </c>
      <c r="BD254" s="23"/>
      <c r="BF254" s="21"/>
    </row>
    <row r="255" spans="1:58" x14ac:dyDescent="0.2">
      <c r="A255">
        <v>129</v>
      </c>
      <c r="B255">
        <v>23</v>
      </c>
      <c r="J255">
        <v>49</v>
      </c>
      <c r="K255">
        <v>1</v>
      </c>
      <c r="U255" s="8">
        <f t="shared" si="27"/>
        <v>1</v>
      </c>
      <c r="AD255" t="str">
        <f t="shared" si="26"/>
        <v>e</v>
      </c>
      <c r="AE255" t="str">
        <f t="shared" si="30"/>
        <v>Zone_Entry_Exit</v>
      </c>
      <c r="AF255" t="str">
        <f t="shared" si="28"/>
        <v>Zone_Exit</v>
      </c>
      <c r="AG255" t="str">
        <f t="shared" si="29"/>
        <v>ZoneExit-Pass</v>
      </c>
      <c r="AN255" t="str">
        <f t="shared" si="31"/>
        <v>Offensive</v>
      </c>
      <c r="BD255" s="23"/>
      <c r="BF255" s="21"/>
    </row>
    <row r="256" spans="1:58" x14ac:dyDescent="0.2">
      <c r="A256">
        <v>130</v>
      </c>
      <c r="E256" s="5" t="s">
        <v>865</v>
      </c>
      <c r="F256" s="5" t="s">
        <v>898</v>
      </c>
      <c r="G256" s="5" t="s">
        <v>865</v>
      </c>
      <c r="H256" s="7" t="s">
        <v>899</v>
      </c>
      <c r="I256" t="s">
        <v>835</v>
      </c>
      <c r="J256">
        <v>49</v>
      </c>
      <c r="K256">
        <v>1</v>
      </c>
      <c r="L256" t="s">
        <v>839</v>
      </c>
      <c r="M256" t="s">
        <v>15</v>
      </c>
      <c r="U256" s="8">
        <f t="shared" si="27"/>
        <v>1</v>
      </c>
      <c r="AD256" t="str">
        <f t="shared" si="26"/>
        <v>e</v>
      </c>
      <c r="AE256" t="str">
        <f t="shared" si="30"/>
        <v>Possession</v>
      </c>
      <c r="AF256" t="str">
        <f t="shared" si="28"/>
        <v/>
      </c>
      <c r="AG256" t="str">
        <f t="shared" si="29"/>
        <v/>
      </c>
      <c r="AN256" t="str">
        <f t="shared" si="31"/>
        <v>Offensive</v>
      </c>
      <c r="BD256" s="23"/>
      <c r="BF256" s="21"/>
    </row>
    <row r="257" spans="1:58" x14ac:dyDescent="0.2">
      <c r="A257">
        <v>131</v>
      </c>
      <c r="E257" s="5" t="s">
        <v>865</v>
      </c>
      <c r="F257" s="5" t="s">
        <v>891</v>
      </c>
      <c r="G257" s="5" t="s">
        <v>865</v>
      </c>
      <c r="H257" s="7" t="s">
        <v>892</v>
      </c>
      <c r="I257" t="s">
        <v>835</v>
      </c>
      <c r="J257">
        <v>49</v>
      </c>
      <c r="K257">
        <v>1</v>
      </c>
      <c r="L257" t="s">
        <v>401</v>
      </c>
      <c r="M257" t="s">
        <v>257</v>
      </c>
      <c r="N257" t="s">
        <v>191</v>
      </c>
      <c r="O257" t="s">
        <v>87</v>
      </c>
      <c r="P257" t="s">
        <v>689</v>
      </c>
      <c r="U257" s="8">
        <f t="shared" si="27"/>
        <v>1</v>
      </c>
      <c r="AD257" t="str">
        <f t="shared" si="26"/>
        <v>e</v>
      </c>
      <c r="AE257" t="str">
        <f t="shared" si="30"/>
        <v>Zone_Entry_Exit</v>
      </c>
      <c r="AF257" t="str">
        <f t="shared" si="28"/>
        <v>Zone_Entry</v>
      </c>
      <c r="AG257" t="str">
        <f t="shared" si="29"/>
        <v>ZoneEntry-Rush</v>
      </c>
      <c r="AN257" t="str">
        <f t="shared" si="31"/>
        <v>Offensive</v>
      </c>
      <c r="BD257" s="23"/>
      <c r="BF257" s="21"/>
    </row>
    <row r="258" spans="1:58" x14ac:dyDescent="0.2">
      <c r="A258">
        <v>131</v>
      </c>
      <c r="J258">
        <v>83</v>
      </c>
      <c r="U258" s="8">
        <f t="shared" si="27"/>
        <v>1</v>
      </c>
      <c r="AD258" t="str">
        <f t="shared" ref="AD258:AD321" si="32">IF(K258="x","",IF(K258=1,"e","o"))</f>
        <v>o</v>
      </c>
      <c r="AE258" t="str">
        <f t="shared" si="30"/>
        <v>Zone_Entry_Exit</v>
      </c>
      <c r="AF258" t="str">
        <f t="shared" si="28"/>
        <v>Zone_Entry</v>
      </c>
      <c r="AG258" t="str">
        <f t="shared" si="29"/>
        <v>ZoneEntry-Rush</v>
      </c>
      <c r="AN258" t="str">
        <f t="shared" si="31"/>
        <v>Defensive</v>
      </c>
      <c r="BD258" s="23"/>
      <c r="BF258" s="21"/>
    </row>
    <row r="259" spans="1:58" x14ac:dyDescent="0.2">
      <c r="A259">
        <v>132</v>
      </c>
      <c r="B259">
        <v>24</v>
      </c>
      <c r="E259" s="5" t="s">
        <v>865</v>
      </c>
      <c r="F259" s="5" t="s">
        <v>892</v>
      </c>
      <c r="I259" t="s">
        <v>835</v>
      </c>
      <c r="J259">
        <v>49</v>
      </c>
      <c r="K259">
        <v>1</v>
      </c>
      <c r="L259" t="s">
        <v>401</v>
      </c>
      <c r="M259" t="s">
        <v>8</v>
      </c>
      <c r="N259" t="s">
        <v>199</v>
      </c>
      <c r="O259" t="s">
        <v>478</v>
      </c>
      <c r="P259" t="s">
        <v>688</v>
      </c>
      <c r="T259">
        <v>1</v>
      </c>
      <c r="U259" s="8">
        <f t="shared" ref="U259:U322" si="33">IF(M259="Intermission",U258+1,U258)</f>
        <v>1</v>
      </c>
      <c r="AD259" t="str">
        <f t="shared" si="32"/>
        <v>e</v>
      </c>
      <c r="AE259" t="str">
        <f t="shared" si="30"/>
        <v>Pass</v>
      </c>
      <c r="AF259" t="str">
        <f t="shared" ref="AF259:AF322" si="34">IF(N259&lt;&gt;"",N259,IF($A259=$A258,AF258,""))</f>
        <v>Pass_Missed</v>
      </c>
      <c r="AG259" t="str">
        <f t="shared" ref="AG259:AG322" si="35">IF(O259&lt;&gt;"",O259,IF($A259=$A258,AG258,""))</f>
        <v>Pass-ReceiverMissed</v>
      </c>
      <c r="AN259" t="str">
        <f t="shared" si="31"/>
        <v>Offensive</v>
      </c>
      <c r="BD259" s="23"/>
      <c r="BF259" s="21"/>
    </row>
    <row r="260" spans="1:58" x14ac:dyDescent="0.2">
      <c r="A260">
        <v>132</v>
      </c>
      <c r="B260">
        <v>24</v>
      </c>
      <c r="J260">
        <v>55</v>
      </c>
      <c r="K260">
        <v>1</v>
      </c>
      <c r="Q260" t="s">
        <v>713</v>
      </c>
      <c r="S260" t="s">
        <v>688</v>
      </c>
      <c r="U260" s="8">
        <f t="shared" si="33"/>
        <v>1</v>
      </c>
      <c r="AD260" t="str">
        <f t="shared" si="32"/>
        <v>e</v>
      </c>
      <c r="AE260" t="str">
        <f t="shared" ref="AE260:AE323" si="36">IF(M260&lt;&gt;"",M260,IF($A260=$A259,AE259,""))</f>
        <v>Pass</v>
      </c>
      <c r="AF260" t="str">
        <f t="shared" si="34"/>
        <v>Pass_Missed</v>
      </c>
      <c r="AG260" t="str">
        <f t="shared" si="35"/>
        <v>Pass-ReceiverMissed</v>
      </c>
      <c r="AN260" t="str">
        <f t="shared" si="31"/>
        <v>Offensive</v>
      </c>
      <c r="BD260" s="23"/>
      <c r="BF260" s="21"/>
    </row>
    <row r="261" spans="1:58" x14ac:dyDescent="0.2">
      <c r="A261">
        <v>132</v>
      </c>
      <c r="B261">
        <v>24</v>
      </c>
      <c r="J261">
        <v>83</v>
      </c>
      <c r="T261">
        <v>1</v>
      </c>
      <c r="U261" s="8">
        <f t="shared" si="33"/>
        <v>1</v>
      </c>
      <c r="AD261" t="str">
        <f t="shared" si="32"/>
        <v>o</v>
      </c>
      <c r="AE261" t="str">
        <f t="shared" si="36"/>
        <v>Pass</v>
      </c>
      <c r="AF261" t="str">
        <f t="shared" si="34"/>
        <v>Pass_Missed</v>
      </c>
      <c r="AG261" t="str">
        <f t="shared" si="35"/>
        <v>Pass-ReceiverMissed</v>
      </c>
      <c r="AN261" t="str">
        <f t="shared" si="31"/>
        <v>Defensive</v>
      </c>
      <c r="BD261" s="23"/>
      <c r="BF261" s="21"/>
    </row>
    <row r="262" spans="1:58" x14ac:dyDescent="0.2">
      <c r="A262">
        <v>133</v>
      </c>
      <c r="B262">
        <v>24</v>
      </c>
      <c r="E262" s="5" t="s">
        <v>865</v>
      </c>
      <c r="F262" s="5" t="s">
        <v>892</v>
      </c>
      <c r="I262" t="s">
        <v>835</v>
      </c>
      <c r="J262">
        <v>49</v>
      </c>
      <c r="K262">
        <v>1</v>
      </c>
      <c r="L262" t="s">
        <v>401</v>
      </c>
      <c r="M262" t="s">
        <v>10</v>
      </c>
      <c r="N262" t="s">
        <v>190</v>
      </c>
      <c r="O262" t="s">
        <v>76</v>
      </c>
      <c r="P262" t="s">
        <v>688</v>
      </c>
      <c r="T262">
        <v>1</v>
      </c>
      <c r="U262" s="8">
        <f t="shared" si="33"/>
        <v>1</v>
      </c>
      <c r="AD262" t="str">
        <f t="shared" si="32"/>
        <v>e</v>
      </c>
      <c r="AE262" t="str">
        <f t="shared" si="36"/>
        <v>Turnover</v>
      </c>
      <c r="AF262" t="str">
        <f t="shared" si="34"/>
        <v>Turnover_Giveaway</v>
      </c>
      <c r="AG262" t="str">
        <f t="shared" si="35"/>
        <v>Giveaway-PassMissed</v>
      </c>
      <c r="AN262" t="str">
        <f t="shared" si="31"/>
        <v>Offensive</v>
      </c>
      <c r="BD262" s="23"/>
      <c r="BF262" s="21"/>
    </row>
    <row r="263" spans="1:58" x14ac:dyDescent="0.2">
      <c r="A263">
        <v>133</v>
      </c>
      <c r="B263">
        <v>24</v>
      </c>
      <c r="J263">
        <v>55</v>
      </c>
      <c r="K263">
        <v>1</v>
      </c>
      <c r="Q263" t="s">
        <v>713</v>
      </c>
      <c r="S263" t="s">
        <v>688</v>
      </c>
      <c r="U263" s="8">
        <f t="shared" si="33"/>
        <v>1</v>
      </c>
      <c r="AD263" t="str">
        <f t="shared" si="32"/>
        <v>e</v>
      </c>
      <c r="AE263" t="str">
        <f t="shared" si="36"/>
        <v>Turnover</v>
      </c>
      <c r="AF263" t="str">
        <f t="shared" si="34"/>
        <v>Turnover_Giveaway</v>
      </c>
      <c r="AG263" t="str">
        <f t="shared" si="35"/>
        <v>Giveaway-PassMissed</v>
      </c>
      <c r="AN263" t="str">
        <f t="shared" si="31"/>
        <v>Offensive</v>
      </c>
      <c r="BD263" s="23"/>
      <c r="BF263" s="21"/>
    </row>
    <row r="264" spans="1:58" x14ac:dyDescent="0.2">
      <c r="A264">
        <v>133</v>
      </c>
      <c r="B264">
        <v>24</v>
      </c>
      <c r="J264">
        <v>83</v>
      </c>
      <c r="T264">
        <v>1</v>
      </c>
      <c r="U264" s="8">
        <f t="shared" si="33"/>
        <v>1</v>
      </c>
      <c r="AD264" t="str">
        <f t="shared" si="32"/>
        <v>o</v>
      </c>
      <c r="AE264" t="str">
        <f t="shared" si="36"/>
        <v>Turnover</v>
      </c>
      <c r="AF264" t="str">
        <f t="shared" si="34"/>
        <v>Turnover_Giveaway</v>
      </c>
      <c r="AG264" t="str">
        <f t="shared" si="35"/>
        <v>Giveaway-PassMissed</v>
      </c>
      <c r="AN264" t="str">
        <f t="shared" si="31"/>
        <v>Defensive</v>
      </c>
      <c r="BD264" s="23"/>
      <c r="BF264" s="21"/>
    </row>
    <row r="265" spans="1:58" x14ac:dyDescent="0.2">
      <c r="A265">
        <v>134</v>
      </c>
      <c r="E265" s="5" t="s">
        <v>865</v>
      </c>
      <c r="F265" s="5" t="s">
        <v>893</v>
      </c>
      <c r="G265" s="5" t="s">
        <v>865</v>
      </c>
      <c r="H265" s="7" t="s">
        <v>869</v>
      </c>
      <c r="I265" t="s">
        <v>840</v>
      </c>
      <c r="J265">
        <v>8</v>
      </c>
      <c r="K265">
        <v>1</v>
      </c>
      <c r="L265" t="s">
        <v>845</v>
      </c>
      <c r="M265" t="s">
        <v>15</v>
      </c>
      <c r="N265" t="s">
        <v>680</v>
      </c>
      <c r="P265" t="s">
        <v>689</v>
      </c>
      <c r="Q265" t="s">
        <v>694</v>
      </c>
      <c r="S265" t="s">
        <v>689</v>
      </c>
      <c r="U265" s="8">
        <f t="shared" si="33"/>
        <v>1</v>
      </c>
      <c r="AD265" t="str">
        <f t="shared" si="32"/>
        <v>e</v>
      </c>
      <c r="AE265" t="str">
        <f t="shared" si="36"/>
        <v>Possession</v>
      </c>
      <c r="AF265" t="str">
        <f t="shared" si="34"/>
        <v>PuckRetrieval</v>
      </c>
      <c r="AG265" t="str">
        <f t="shared" si="35"/>
        <v/>
      </c>
      <c r="AN265" t="str">
        <f t="shared" ref="AN265:AN328" si="37">IF(AND(AD265="e",OR(AE265="Save",AF265="Turnover_Takeaway",AF265="Play_Defensive")),"Defensive",IF(AND(AD265="o",OR(AE265="Save",AF265="Turnover_Takeaway",AF265="Play_Defensive")),"Offensive",IF(OR(AE265="Deadice",AE265="Stoppage",AE265="Intermission"),"",IF(AD265="e","Offensive",IF(AD265="o","Defensive","")))))</f>
        <v>Offensive</v>
      </c>
      <c r="BD265" s="23"/>
      <c r="BF265" s="21"/>
    </row>
    <row r="266" spans="1:58" x14ac:dyDescent="0.2">
      <c r="A266">
        <v>135</v>
      </c>
      <c r="B266">
        <v>25</v>
      </c>
      <c r="E266" s="5" t="s">
        <v>865</v>
      </c>
      <c r="F266" s="5" t="s">
        <v>869</v>
      </c>
      <c r="I266" t="s">
        <v>840</v>
      </c>
      <c r="J266">
        <v>8</v>
      </c>
      <c r="K266">
        <v>1</v>
      </c>
      <c r="L266" t="s">
        <v>845</v>
      </c>
      <c r="M266" t="s">
        <v>8</v>
      </c>
      <c r="N266" t="s">
        <v>189</v>
      </c>
      <c r="O266" t="s">
        <v>70</v>
      </c>
      <c r="P266" t="s">
        <v>689</v>
      </c>
      <c r="Q266" t="s">
        <v>662</v>
      </c>
      <c r="S266" t="s">
        <v>689</v>
      </c>
      <c r="U266" s="8">
        <f t="shared" si="33"/>
        <v>1</v>
      </c>
      <c r="AD266" t="str">
        <f t="shared" si="32"/>
        <v>e</v>
      </c>
      <c r="AE266" t="str">
        <f t="shared" si="36"/>
        <v>Pass</v>
      </c>
      <c r="AF266" t="str">
        <f t="shared" si="34"/>
        <v>Pass_Completed</v>
      </c>
      <c r="AG266" t="str">
        <f t="shared" si="35"/>
        <v>Pass-Forehand</v>
      </c>
      <c r="AN266" t="str">
        <f t="shared" si="37"/>
        <v>Offensive</v>
      </c>
      <c r="BD266" s="23"/>
      <c r="BF266" s="21"/>
    </row>
    <row r="267" spans="1:58" x14ac:dyDescent="0.2">
      <c r="A267">
        <v>135</v>
      </c>
      <c r="B267">
        <v>25</v>
      </c>
      <c r="J267">
        <v>19</v>
      </c>
      <c r="K267">
        <v>1</v>
      </c>
      <c r="U267" s="8">
        <f t="shared" si="33"/>
        <v>1</v>
      </c>
      <c r="AD267" t="str">
        <f t="shared" si="32"/>
        <v>e</v>
      </c>
      <c r="AE267" t="str">
        <f t="shared" si="36"/>
        <v>Pass</v>
      </c>
      <c r="AF267" t="str">
        <f t="shared" si="34"/>
        <v>Pass_Completed</v>
      </c>
      <c r="AG267" t="str">
        <f t="shared" si="35"/>
        <v>Pass-Forehand</v>
      </c>
      <c r="AN267" t="str">
        <f t="shared" si="37"/>
        <v>Offensive</v>
      </c>
      <c r="BD267" s="23"/>
      <c r="BF267" s="21"/>
    </row>
    <row r="268" spans="1:58" x14ac:dyDescent="0.2">
      <c r="A268">
        <v>136</v>
      </c>
      <c r="B268">
        <v>25</v>
      </c>
      <c r="E268" s="5" t="s">
        <v>865</v>
      </c>
      <c r="F268" s="5" t="s">
        <v>869</v>
      </c>
      <c r="I268" t="s">
        <v>840</v>
      </c>
      <c r="J268">
        <v>8</v>
      </c>
      <c r="K268">
        <v>1</v>
      </c>
      <c r="L268" t="s">
        <v>845</v>
      </c>
      <c r="M268" t="s">
        <v>257</v>
      </c>
      <c r="N268" t="s">
        <v>201</v>
      </c>
      <c r="O268" t="s">
        <v>91</v>
      </c>
      <c r="P268" t="s">
        <v>689</v>
      </c>
      <c r="Q268" t="s">
        <v>662</v>
      </c>
      <c r="S268" t="s">
        <v>689</v>
      </c>
      <c r="U268" s="8">
        <f t="shared" si="33"/>
        <v>1</v>
      </c>
      <c r="AD268" t="str">
        <f t="shared" si="32"/>
        <v>e</v>
      </c>
      <c r="AE268" t="str">
        <f t="shared" si="36"/>
        <v>Zone_Entry_Exit</v>
      </c>
      <c r="AF268" t="str">
        <f t="shared" si="34"/>
        <v>Zone_Exit</v>
      </c>
      <c r="AG268" t="str">
        <f t="shared" si="35"/>
        <v>ZoneExit-Pass</v>
      </c>
      <c r="AN268" t="str">
        <f t="shared" si="37"/>
        <v>Offensive</v>
      </c>
      <c r="BD268" s="23"/>
      <c r="BF268" s="21"/>
    </row>
    <row r="269" spans="1:58" x14ac:dyDescent="0.2">
      <c r="A269">
        <v>136</v>
      </c>
      <c r="B269">
        <v>25</v>
      </c>
      <c r="J269">
        <v>19</v>
      </c>
      <c r="K269">
        <v>1</v>
      </c>
      <c r="U269" s="8">
        <f t="shared" si="33"/>
        <v>1</v>
      </c>
      <c r="AD269" t="str">
        <f t="shared" si="32"/>
        <v>e</v>
      </c>
      <c r="AE269" t="str">
        <f t="shared" si="36"/>
        <v>Zone_Entry_Exit</v>
      </c>
      <c r="AF269" t="str">
        <f t="shared" si="34"/>
        <v>Zone_Exit</v>
      </c>
      <c r="AG269" t="str">
        <f t="shared" si="35"/>
        <v>ZoneExit-Pass</v>
      </c>
      <c r="AN269" t="str">
        <f t="shared" si="37"/>
        <v>Offensive</v>
      </c>
      <c r="BD269" s="23"/>
      <c r="BF269" s="21"/>
    </row>
    <row r="270" spans="1:58" x14ac:dyDescent="0.2">
      <c r="A270">
        <v>137</v>
      </c>
      <c r="E270" s="5" t="s">
        <v>865</v>
      </c>
      <c r="F270" s="5" t="s">
        <v>869</v>
      </c>
      <c r="G270" s="5" t="s">
        <v>865</v>
      </c>
      <c r="H270" s="7" t="s">
        <v>870</v>
      </c>
      <c r="I270" t="s">
        <v>840</v>
      </c>
      <c r="J270">
        <v>19</v>
      </c>
      <c r="K270">
        <v>1</v>
      </c>
      <c r="L270" t="s">
        <v>839</v>
      </c>
      <c r="M270" t="s">
        <v>15</v>
      </c>
      <c r="U270" s="8">
        <f t="shared" si="33"/>
        <v>1</v>
      </c>
      <c r="AD270" t="str">
        <f t="shared" si="32"/>
        <v>e</v>
      </c>
      <c r="AE270" t="str">
        <f t="shared" si="36"/>
        <v>Possession</v>
      </c>
      <c r="AF270" t="str">
        <f t="shared" si="34"/>
        <v/>
      </c>
      <c r="AG270" t="str">
        <f t="shared" si="35"/>
        <v/>
      </c>
      <c r="AN270" t="str">
        <f t="shared" si="37"/>
        <v>Offensive</v>
      </c>
      <c r="BD270" s="23"/>
      <c r="BF270" s="21"/>
    </row>
    <row r="271" spans="1:58" x14ac:dyDescent="0.2">
      <c r="A271">
        <v>138</v>
      </c>
      <c r="E271" s="5" t="s">
        <v>865</v>
      </c>
      <c r="F271" s="5" t="s">
        <v>870</v>
      </c>
      <c r="G271" s="5" t="s">
        <v>865</v>
      </c>
      <c r="H271" s="7" t="s">
        <v>446</v>
      </c>
      <c r="I271" t="s">
        <v>840</v>
      </c>
      <c r="J271">
        <v>19</v>
      </c>
      <c r="K271">
        <v>1</v>
      </c>
      <c r="L271" t="s">
        <v>401</v>
      </c>
      <c r="M271" t="s">
        <v>257</v>
      </c>
      <c r="N271" t="s">
        <v>191</v>
      </c>
      <c r="O271" t="s">
        <v>87</v>
      </c>
      <c r="P271" t="s">
        <v>689</v>
      </c>
      <c r="U271" s="8">
        <f t="shared" si="33"/>
        <v>1</v>
      </c>
      <c r="AD271" t="str">
        <f t="shared" si="32"/>
        <v>e</v>
      </c>
      <c r="AE271" t="str">
        <f t="shared" si="36"/>
        <v>Zone_Entry_Exit</v>
      </c>
      <c r="AF271" t="str">
        <f t="shared" si="34"/>
        <v>Zone_Entry</v>
      </c>
      <c r="AG271" t="str">
        <f t="shared" si="35"/>
        <v>ZoneEntry-Rush</v>
      </c>
      <c r="AN271" t="str">
        <f t="shared" si="37"/>
        <v>Offensive</v>
      </c>
      <c r="BD271" s="23"/>
      <c r="BF271" s="21"/>
    </row>
    <row r="272" spans="1:58" x14ac:dyDescent="0.2">
      <c r="A272">
        <v>138</v>
      </c>
      <c r="J272">
        <v>52</v>
      </c>
      <c r="U272" s="8">
        <f t="shared" si="33"/>
        <v>1</v>
      </c>
      <c r="AD272" t="str">
        <f t="shared" si="32"/>
        <v>o</v>
      </c>
      <c r="AE272" t="str">
        <f t="shared" si="36"/>
        <v>Zone_Entry_Exit</v>
      </c>
      <c r="AF272" t="str">
        <f t="shared" si="34"/>
        <v>Zone_Entry</v>
      </c>
      <c r="AG272" t="str">
        <f t="shared" si="35"/>
        <v>ZoneEntry-Rush</v>
      </c>
      <c r="AN272" t="str">
        <f t="shared" si="37"/>
        <v>Defensive</v>
      </c>
      <c r="BD272" s="23"/>
      <c r="BF272" s="21"/>
    </row>
    <row r="273" spans="1:58" x14ac:dyDescent="0.2">
      <c r="A273">
        <v>138</v>
      </c>
      <c r="J273">
        <v>91</v>
      </c>
      <c r="U273" s="8">
        <f t="shared" si="33"/>
        <v>1</v>
      </c>
      <c r="AD273" t="str">
        <f t="shared" si="32"/>
        <v>o</v>
      </c>
      <c r="AE273" t="str">
        <f t="shared" si="36"/>
        <v>Zone_Entry_Exit</v>
      </c>
      <c r="AF273" t="str">
        <f t="shared" si="34"/>
        <v>Zone_Entry</v>
      </c>
      <c r="AG273" t="str">
        <f t="shared" si="35"/>
        <v>ZoneEntry-Rush</v>
      </c>
      <c r="AN273" t="str">
        <f t="shared" si="37"/>
        <v>Defensive</v>
      </c>
      <c r="BD273" s="23"/>
      <c r="BF273" s="21"/>
    </row>
    <row r="274" spans="1:58" x14ac:dyDescent="0.2">
      <c r="A274">
        <v>139</v>
      </c>
      <c r="E274" s="5" t="s">
        <v>865</v>
      </c>
      <c r="F274" s="5" t="s">
        <v>446</v>
      </c>
      <c r="I274" t="s">
        <v>840</v>
      </c>
      <c r="J274">
        <v>19</v>
      </c>
      <c r="K274">
        <v>1</v>
      </c>
      <c r="L274" t="s">
        <v>401</v>
      </c>
      <c r="M274" t="s">
        <v>8</v>
      </c>
      <c r="N274" t="s">
        <v>189</v>
      </c>
      <c r="O274" t="s">
        <v>70</v>
      </c>
      <c r="P274" t="s">
        <v>689</v>
      </c>
      <c r="U274" s="8">
        <f t="shared" si="33"/>
        <v>1</v>
      </c>
      <c r="AD274" t="str">
        <f t="shared" si="32"/>
        <v>e</v>
      </c>
      <c r="AE274" t="str">
        <f t="shared" si="36"/>
        <v>Pass</v>
      </c>
      <c r="AF274" t="str">
        <f t="shared" si="34"/>
        <v>Pass_Completed</v>
      </c>
      <c r="AG274" t="str">
        <f t="shared" si="35"/>
        <v>Pass-Forehand</v>
      </c>
      <c r="AN274" t="str">
        <f t="shared" si="37"/>
        <v>Offensive</v>
      </c>
      <c r="BD274" s="23"/>
      <c r="BF274" s="21"/>
    </row>
    <row r="275" spans="1:58" x14ac:dyDescent="0.2">
      <c r="A275">
        <v>139</v>
      </c>
      <c r="J275">
        <v>8</v>
      </c>
      <c r="K275">
        <v>1</v>
      </c>
      <c r="U275" s="8">
        <f t="shared" si="33"/>
        <v>1</v>
      </c>
      <c r="AD275" t="str">
        <f t="shared" si="32"/>
        <v>e</v>
      </c>
      <c r="AE275" t="str">
        <f t="shared" si="36"/>
        <v>Pass</v>
      </c>
      <c r="AF275" t="str">
        <f t="shared" si="34"/>
        <v>Pass_Completed</v>
      </c>
      <c r="AG275" t="str">
        <f t="shared" si="35"/>
        <v>Pass-Forehand</v>
      </c>
      <c r="AN275" t="str">
        <f t="shared" si="37"/>
        <v>Offensive</v>
      </c>
      <c r="BD275" s="23"/>
      <c r="BF275" s="21"/>
    </row>
    <row r="276" spans="1:58" x14ac:dyDescent="0.2">
      <c r="A276">
        <v>139</v>
      </c>
      <c r="J276">
        <v>91</v>
      </c>
      <c r="Q276" t="s">
        <v>696</v>
      </c>
      <c r="U276" s="8">
        <f t="shared" si="33"/>
        <v>1</v>
      </c>
      <c r="AD276" t="str">
        <f t="shared" si="32"/>
        <v>o</v>
      </c>
      <c r="AE276" t="str">
        <f t="shared" si="36"/>
        <v>Pass</v>
      </c>
      <c r="AF276" t="str">
        <f t="shared" si="34"/>
        <v>Pass_Completed</v>
      </c>
      <c r="AG276" t="str">
        <f t="shared" si="35"/>
        <v>Pass-Forehand</v>
      </c>
      <c r="AN276" t="str">
        <f t="shared" si="37"/>
        <v>Defensive</v>
      </c>
      <c r="BD276" s="23"/>
      <c r="BF276" s="21"/>
    </row>
    <row r="277" spans="1:58" x14ac:dyDescent="0.2">
      <c r="A277">
        <v>140</v>
      </c>
      <c r="E277" s="5" t="s">
        <v>865</v>
      </c>
      <c r="F277" s="5" t="s">
        <v>446</v>
      </c>
      <c r="G277" s="5" t="s">
        <v>898</v>
      </c>
      <c r="H277" s="7" t="s">
        <v>872</v>
      </c>
      <c r="I277" t="s">
        <v>840</v>
      </c>
      <c r="J277">
        <v>8</v>
      </c>
      <c r="K277">
        <v>1</v>
      </c>
      <c r="L277" t="s">
        <v>401</v>
      </c>
      <c r="M277" t="s">
        <v>15</v>
      </c>
      <c r="U277" s="8">
        <f t="shared" si="33"/>
        <v>1</v>
      </c>
      <c r="AD277" t="str">
        <f t="shared" si="32"/>
        <v>e</v>
      </c>
      <c r="AE277" t="str">
        <f t="shared" si="36"/>
        <v>Possession</v>
      </c>
      <c r="AF277" t="str">
        <f t="shared" si="34"/>
        <v/>
      </c>
      <c r="AG277" t="str">
        <f t="shared" si="35"/>
        <v/>
      </c>
      <c r="AN277" t="str">
        <f t="shared" si="37"/>
        <v>Offensive</v>
      </c>
      <c r="BD277" s="23"/>
      <c r="BF277" s="21"/>
    </row>
    <row r="278" spans="1:58" x14ac:dyDescent="0.2">
      <c r="A278">
        <v>141</v>
      </c>
      <c r="E278" s="5" t="s">
        <v>898</v>
      </c>
      <c r="F278" s="5" t="s">
        <v>872</v>
      </c>
      <c r="G278" s="5" t="s">
        <v>898</v>
      </c>
      <c r="H278" s="7" t="s">
        <v>885</v>
      </c>
      <c r="I278" t="s">
        <v>840</v>
      </c>
      <c r="J278">
        <v>8</v>
      </c>
      <c r="K278">
        <v>1</v>
      </c>
      <c r="L278" t="s">
        <v>401</v>
      </c>
      <c r="M278" t="s">
        <v>15</v>
      </c>
      <c r="Q278" t="s">
        <v>727</v>
      </c>
      <c r="R278" t="s">
        <v>663</v>
      </c>
      <c r="S278" t="s">
        <v>689</v>
      </c>
      <c r="T278">
        <v>1</v>
      </c>
      <c r="U278" s="8">
        <f t="shared" si="33"/>
        <v>1</v>
      </c>
      <c r="AD278" t="str">
        <f t="shared" si="32"/>
        <v>e</v>
      </c>
      <c r="AE278" t="str">
        <f t="shared" si="36"/>
        <v>Possession</v>
      </c>
      <c r="AF278" t="str">
        <f t="shared" si="34"/>
        <v/>
      </c>
      <c r="AG278" t="str">
        <f t="shared" si="35"/>
        <v/>
      </c>
      <c r="AN278" t="str">
        <f t="shared" si="37"/>
        <v>Offensive</v>
      </c>
      <c r="BD278" s="23"/>
      <c r="BF278" s="21"/>
    </row>
    <row r="279" spans="1:58" x14ac:dyDescent="0.2">
      <c r="A279">
        <v>141</v>
      </c>
      <c r="J279">
        <v>91</v>
      </c>
      <c r="T279">
        <v>1</v>
      </c>
      <c r="U279" s="8">
        <f t="shared" si="33"/>
        <v>1</v>
      </c>
      <c r="AD279" t="str">
        <f t="shared" si="32"/>
        <v>o</v>
      </c>
      <c r="AE279" t="str">
        <f t="shared" si="36"/>
        <v>Possession</v>
      </c>
      <c r="AF279" t="str">
        <f t="shared" si="34"/>
        <v/>
      </c>
      <c r="AG279" t="str">
        <f t="shared" si="35"/>
        <v/>
      </c>
      <c r="AN279" t="str">
        <f t="shared" si="37"/>
        <v>Defensive</v>
      </c>
      <c r="BD279" s="23"/>
      <c r="BF279" s="21"/>
    </row>
    <row r="280" spans="1:58" x14ac:dyDescent="0.2">
      <c r="A280">
        <v>142</v>
      </c>
      <c r="E280" s="5" t="s">
        <v>898</v>
      </c>
      <c r="F280" s="5" t="s">
        <v>885</v>
      </c>
      <c r="G280" s="5" t="s">
        <v>898</v>
      </c>
      <c r="H280" s="7" t="s">
        <v>874</v>
      </c>
      <c r="I280" t="s">
        <v>840</v>
      </c>
      <c r="J280">
        <v>8</v>
      </c>
      <c r="K280">
        <v>1</v>
      </c>
      <c r="L280" t="s">
        <v>401</v>
      </c>
      <c r="M280" t="s">
        <v>15</v>
      </c>
      <c r="U280" s="8">
        <f t="shared" si="33"/>
        <v>1</v>
      </c>
      <c r="AD280" t="str">
        <f t="shared" si="32"/>
        <v>e</v>
      </c>
      <c r="AE280" t="str">
        <f t="shared" si="36"/>
        <v>Possession</v>
      </c>
      <c r="AF280" t="str">
        <f t="shared" si="34"/>
        <v/>
      </c>
      <c r="AG280" t="str">
        <f t="shared" si="35"/>
        <v/>
      </c>
      <c r="AN280" t="str">
        <f t="shared" si="37"/>
        <v>Offensive</v>
      </c>
      <c r="BD280" s="23"/>
      <c r="BF280" s="21"/>
    </row>
    <row r="281" spans="1:58" x14ac:dyDescent="0.2">
      <c r="A281">
        <v>143</v>
      </c>
      <c r="B281">
        <v>26</v>
      </c>
      <c r="E281" s="5" t="s">
        <v>898</v>
      </c>
      <c r="F281" s="5" t="s">
        <v>874</v>
      </c>
      <c r="I281" t="s">
        <v>840</v>
      </c>
      <c r="J281">
        <v>8</v>
      </c>
      <c r="K281">
        <v>1</v>
      </c>
      <c r="L281" t="s">
        <v>401</v>
      </c>
      <c r="M281" t="s">
        <v>7</v>
      </c>
      <c r="N281" t="s">
        <v>222</v>
      </c>
      <c r="O281" t="s">
        <v>53</v>
      </c>
      <c r="P281" t="s">
        <v>689</v>
      </c>
      <c r="T281">
        <v>1</v>
      </c>
      <c r="U281" s="8">
        <f t="shared" si="33"/>
        <v>1</v>
      </c>
      <c r="AD281" t="str">
        <f t="shared" si="32"/>
        <v>e</v>
      </c>
      <c r="AE281" t="str">
        <f t="shared" si="36"/>
        <v>Shot</v>
      </c>
      <c r="AF281" t="str">
        <f t="shared" si="34"/>
        <v>Shot_OnNetSaved</v>
      </c>
      <c r="AG281" t="str">
        <f t="shared" si="35"/>
        <v>Shot-Wrist</v>
      </c>
      <c r="AN281" t="str">
        <f t="shared" si="37"/>
        <v>Offensive</v>
      </c>
      <c r="BD281" s="23"/>
      <c r="BF281" s="21"/>
    </row>
    <row r="282" spans="1:58" x14ac:dyDescent="0.2">
      <c r="A282">
        <v>143</v>
      </c>
      <c r="B282">
        <v>26</v>
      </c>
      <c r="J282">
        <v>39</v>
      </c>
      <c r="U282" s="8">
        <f t="shared" si="33"/>
        <v>1</v>
      </c>
      <c r="AD282" t="str">
        <f t="shared" si="32"/>
        <v>o</v>
      </c>
      <c r="AE282" t="str">
        <f t="shared" si="36"/>
        <v>Shot</v>
      </c>
      <c r="AF282" t="str">
        <f t="shared" si="34"/>
        <v>Shot_OnNetSaved</v>
      </c>
      <c r="AG282" t="str">
        <f t="shared" si="35"/>
        <v>Shot-Wrist</v>
      </c>
      <c r="AN282" t="str">
        <f t="shared" si="37"/>
        <v>Defensive</v>
      </c>
      <c r="BD282" s="23"/>
      <c r="BF282" s="21"/>
    </row>
    <row r="283" spans="1:58" x14ac:dyDescent="0.2">
      <c r="A283">
        <v>143</v>
      </c>
      <c r="B283">
        <v>26</v>
      </c>
      <c r="J283">
        <v>49</v>
      </c>
      <c r="Q283" t="s">
        <v>699</v>
      </c>
      <c r="T283">
        <v>1</v>
      </c>
      <c r="U283" s="8">
        <f t="shared" si="33"/>
        <v>1</v>
      </c>
      <c r="AD283" t="str">
        <f t="shared" si="32"/>
        <v>o</v>
      </c>
      <c r="AE283" t="str">
        <f t="shared" si="36"/>
        <v>Shot</v>
      </c>
      <c r="AF283" t="str">
        <f t="shared" si="34"/>
        <v>Shot_OnNetSaved</v>
      </c>
      <c r="AG283" t="str">
        <f t="shared" si="35"/>
        <v>Shot-Wrist</v>
      </c>
      <c r="AN283" t="str">
        <f t="shared" si="37"/>
        <v>Defensive</v>
      </c>
      <c r="BD283" s="23"/>
      <c r="BF283" s="21"/>
    </row>
    <row r="284" spans="1:58" x14ac:dyDescent="0.2">
      <c r="A284">
        <v>144</v>
      </c>
      <c r="B284">
        <v>26</v>
      </c>
      <c r="E284" s="5" t="s">
        <v>898</v>
      </c>
      <c r="F284" s="5" t="s">
        <v>874</v>
      </c>
      <c r="I284" t="s">
        <v>835</v>
      </c>
      <c r="J284">
        <v>39</v>
      </c>
      <c r="K284">
        <v>1</v>
      </c>
      <c r="L284" t="s">
        <v>845</v>
      </c>
      <c r="M284" t="s">
        <v>17</v>
      </c>
      <c r="N284" t="s">
        <v>196</v>
      </c>
      <c r="O284" t="s">
        <v>99</v>
      </c>
      <c r="U284" s="8">
        <f t="shared" si="33"/>
        <v>1</v>
      </c>
      <c r="AD284" t="str">
        <f t="shared" si="32"/>
        <v>e</v>
      </c>
      <c r="AE284" t="str">
        <f t="shared" si="36"/>
        <v>Save</v>
      </c>
      <c r="AF284" t="str">
        <f t="shared" si="34"/>
        <v>Save_Rebound</v>
      </c>
      <c r="AG284" t="str">
        <f t="shared" si="35"/>
        <v>Save-RightPad</v>
      </c>
      <c r="AN284" t="str">
        <f t="shared" si="37"/>
        <v>Defensive</v>
      </c>
      <c r="BD284" s="23"/>
      <c r="BF284" s="21"/>
    </row>
    <row r="285" spans="1:58" x14ac:dyDescent="0.2">
      <c r="A285">
        <v>144</v>
      </c>
      <c r="B285">
        <v>26</v>
      </c>
      <c r="J285">
        <v>49</v>
      </c>
      <c r="K285">
        <v>1</v>
      </c>
      <c r="Q285" t="s">
        <v>699</v>
      </c>
      <c r="T285">
        <v>1</v>
      </c>
      <c r="U285" s="8">
        <f t="shared" si="33"/>
        <v>1</v>
      </c>
      <c r="AD285" t="str">
        <f t="shared" si="32"/>
        <v>e</v>
      </c>
      <c r="AE285" t="str">
        <f t="shared" si="36"/>
        <v>Save</v>
      </c>
      <c r="AF285" t="str">
        <f t="shared" si="34"/>
        <v>Save_Rebound</v>
      </c>
      <c r="AG285" t="str">
        <f t="shared" si="35"/>
        <v>Save-RightPad</v>
      </c>
      <c r="AN285" t="str">
        <f t="shared" si="37"/>
        <v>Defensive</v>
      </c>
      <c r="BD285" s="23"/>
      <c r="BF285" s="21"/>
    </row>
    <row r="286" spans="1:58" x14ac:dyDescent="0.2">
      <c r="A286">
        <v>144</v>
      </c>
      <c r="B286">
        <v>26</v>
      </c>
      <c r="J286">
        <v>8</v>
      </c>
      <c r="T286">
        <v>1</v>
      </c>
      <c r="U286" s="8">
        <f t="shared" si="33"/>
        <v>1</v>
      </c>
      <c r="AD286" t="str">
        <f t="shared" si="32"/>
        <v>o</v>
      </c>
      <c r="AE286" t="str">
        <f t="shared" si="36"/>
        <v>Save</v>
      </c>
      <c r="AF286" t="str">
        <f t="shared" si="34"/>
        <v>Save_Rebound</v>
      </c>
      <c r="AG286" t="str">
        <f t="shared" si="35"/>
        <v>Save-RightPad</v>
      </c>
      <c r="AN286" t="str">
        <f t="shared" si="37"/>
        <v>Offensive</v>
      </c>
      <c r="BD286" s="23"/>
      <c r="BF286" s="21"/>
    </row>
    <row r="287" spans="1:58" x14ac:dyDescent="0.2">
      <c r="A287">
        <v>145</v>
      </c>
      <c r="B287">
        <v>26</v>
      </c>
      <c r="E287" s="5" t="s">
        <v>898</v>
      </c>
      <c r="F287" s="5" t="s">
        <v>874</v>
      </c>
      <c r="I287" t="s">
        <v>835</v>
      </c>
      <c r="J287">
        <v>39</v>
      </c>
      <c r="K287">
        <v>1</v>
      </c>
      <c r="L287" t="s">
        <v>845</v>
      </c>
      <c r="M287" t="s">
        <v>250</v>
      </c>
      <c r="N287" t="s">
        <v>251</v>
      </c>
      <c r="U287" s="8">
        <f t="shared" si="33"/>
        <v>1</v>
      </c>
      <c r="AD287" t="str">
        <f t="shared" si="32"/>
        <v>e</v>
      </c>
      <c r="AE287" t="str">
        <f t="shared" si="36"/>
        <v>Rebound</v>
      </c>
      <c r="AF287" t="str">
        <f t="shared" si="34"/>
        <v>Rebound_TeamRecovered</v>
      </c>
      <c r="AG287" t="str">
        <f t="shared" si="35"/>
        <v/>
      </c>
      <c r="AN287" t="str">
        <f t="shared" si="37"/>
        <v>Offensive</v>
      </c>
      <c r="BD287" s="23"/>
      <c r="BF287" s="21"/>
    </row>
    <row r="288" spans="1:58" x14ac:dyDescent="0.2">
      <c r="A288">
        <v>146</v>
      </c>
      <c r="E288" s="5" t="s">
        <v>898</v>
      </c>
      <c r="F288" s="5" t="s">
        <v>886</v>
      </c>
      <c r="I288" t="s">
        <v>835</v>
      </c>
      <c r="J288">
        <v>55</v>
      </c>
      <c r="K288">
        <v>1</v>
      </c>
      <c r="L288" t="s">
        <v>845</v>
      </c>
      <c r="M288" t="s">
        <v>15</v>
      </c>
      <c r="N288" t="s">
        <v>680</v>
      </c>
      <c r="P288" t="s">
        <v>688</v>
      </c>
      <c r="Q288" t="s">
        <v>666</v>
      </c>
      <c r="S288" t="s">
        <v>688</v>
      </c>
      <c r="U288" s="8">
        <f t="shared" si="33"/>
        <v>1</v>
      </c>
      <c r="AD288" t="str">
        <f t="shared" si="32"/>
        <v>e</v>
      </c>
      <c r="AE288" t="str">
        <f t="shared" si="36"/>
        <v>Possession</v>
      </c>
      <c r="AF288" t="str">
        <f t="shared" si="34"/>
        <v>PuckRetrieval</v>
      </c>
      <c r="AG288" t="str">
        <f t="shared" si="35"/>
        <v/>
      </c>
      <c r="AN288" t="str">
        <f t="shared" si="37"/>
        <v>Offensive</v>
      </c>
      <c r="BD288" s="23"/>
      <c r="BF288" s="21"/>
    </row>
    <row r="289" spans="1:58" x14ac:dyDescent="0.2">
      <c r="A289">
        <v>147</v>
      </c>
      <c r="B289">
        <v>27</v>
      </c>
      <c r="E289" s="5" t="s">
        <v>898</v>
      </c>
      <c r="F289" s="5" t="s">
        <v>886</v>
      </c>
      <c r="I289" t="s">
        <v>835</v>
      </c>
      <c r="J289">
        <v>55</v>
      </c>
      <c r="K289">
        <v>1</v>
      </c>
      <c r="L289" t="s">
        <v>845</v>
      </c>
      <c r="M289" t="s">
        <v>257</v>
      </c>
      <c r="N289" t="s">
        <v>201</v>
      </c>
      <c r="O289" t="s">
        <v>92</v>
      </c>
      <c r="P289" t="s">
        <v>688</v>
      </c>
      <c r="Q289" t="s">
        <v>662</v>
      </c>
      <c r="S289" t="s">
        <v>688</v>
      </c>
      <c r="U289" s="8">
        <f t="shared" si="33"/>
        <v>1</v>
      </c>
      <c r="AD289" t="str">
        <f t="shared" si="32"/>
        <v>e</v>
      </c>
      <c r="AE289" t="str">
        <f t="shared" si="36"/>
        <v>Zone_Entry_Exit</v>
      </c>
      <c r="AF289" t="str">
        <f t="shared" si="34"/>
        <v>Zone_Exit</v>
      </c>
      <c r="AG289" t="str">
        <f t="shared" si="35"/>
        <v>ZoneExit-Clear</v>
      </c>
      <c r="AN289" t="str">
        <f t="shared" si="37"/>
        <v>Offensive</v>
      </c>
      <c r="BD289" s="23"/>
      <c r="BF289" s="21"/>
    </row>
    <row r="290" spans="1:58" x14ac:dyDescent="0.2">
      <c r="A290">
        <v>148</v>
      </c>
      <c r="B290">
        <v>27</v>
      </c>
      <c r="E290" s="5" t="s">
        <v>898</v>
      </c>
      <c r="F290" s="5" t="s">
        <v>886</v>
      </c>
      <c r="I290" t="s">
        <v>835</v>
      </c>
      <c r="J290">
        <v>55</v>
      </c>
      <c r="K290">
        <v>1</v>
      </c>
      <c r="L290" t="s">
        <v>845</v>
      </c>
      <c r="M290" t="s">
        <v>257</v>
      </c>
      <c r="N290" t="s">
        <v>191</v>
      </c>
      <c r="O290" t="s">
        <v>408</v>
      </c>
      <c r="P290" t="s">
        <v>688</v>
      </c>
      <c r="U290" s="8">
        <f t="shared" si="33"/>
        <v>1</v>
      </c>
      <c r="AD290" t="str">
        <f t="shared" si="32"/>
        <v>e</v>
      </c>
      <c r="AE290" t="str">
        <f t="shared" si="36"/>
        <v>Zone_Entry_Exit</v>
      </c>
      <c r="AF290" t="str">
        <f t="shared" si="34"/>
        <v>Zone_Entry</v>
      </c>
      <c r="AG290" t="str">
        <f t="shared" si="35"/>
        <v>ZoneEntry-FromExitClear</v>
      </c>
      <c r="AN290" t="str">
        <f t="shared" si="37"/>
        <v>Offensive</v>
      </c>
      <c r="BD290" s="23"/>
      <c r="BF290" s="21"/>
    </row>
    <row r="291" spans="1:58" x14ac:dyDescent="0.2">
      <c r="A291">
        <v>149</v>
      </c>
      <c r="B291">
        <v>27</v>
      </c>
      <c r="E291" s="5" t="s">
        <v>898</v>
      </c>
      <c r="F291" s="5" t="s">
        <v>886</v>
      </c>
      <c r="I291" t="s">
        <v>835</v>
      </c>
      <c r="J291">
        <v>55</v>
      </c>
      <c r="K291">
        <v>1</v>
      </c>
      <c r="L291" t="s">
        <v>845</v>
      </c>
      <c r="M291" t="s">
        <v>10</v>
      </c>
      <c r="N291" t="s">
        <v>190</v>
      </c>
      <c r="O291" t="s">
        <v>387</v>
      </c>
      <c r="P291" t="s">
        <v>688</v>
      </c>
      <c r="U291" s="8">
        <f t="shared" si="33"/>
        <v>1</v>
      </c>
      <c r="AD291" t="str">
        <f t="shared" si="32"/>
        <v>e</v>
      </c>
      <c r="AE291" t="str">
        <f t="shared" si="36"/>
        <v>Turnover</v>
      </c>
      <c r="AF291" t="str">
        <f t="shared" si="34"/>
        <v>Turnover_Giveaway</v>
      </c>
      <c r="AG291" t="str">
        <f t="shared" si="35"/>
        <v>Giveaway-ZoneClear/Dump</v>
      </c>
      <c r="AN291" t="str">
        <f t="shared" si="37"/>
        <v>Offensive</v>
      </c>
      <c r="BD291" s="23"/>
      <c r="BF291" s="21"/>
    </row>
    <row r="292" spans="1:58" x14ac:dyDescent="0.2">
      <c r="A292">
        <v>150</v>
      </c>
      <c r="E292" s="5" t="s">
        <v>898</v>
      </c>
      <c r="F292" s="5" t="s">
        <v>844</v>
      </c>
      <c r="G292" s="5" t="s">
        <v>898</v>
      </c>
      <c r="H292" s="7" t="s">
        <v>889</v>
      </c>
      <c r="I292" t="s">
        <v>840</v>
      </c>
      <c r="J292">
        <v>83</v>
      </c>
      <c r="K292">
        <v>1</v>
      </c>
      <c r="L292" t="s">
        <v>845</v>
      </c>
      <c r="M292" t="s">
        <v>15</v>
      </c>
      <c r="N292" t="s">
        <v>680</v>
      </c>
      <c r="P292" t="s">
        <v>688</v>
      </c>
      <c r="Q292" t="s">
        <v>698</v>
      </c>
      <c r="S292" t="s">
        <v>688</v>
      </c>
      <c r="U292" s="8">
        <f t="shared" si="33"/>
        <v>1</v>
      </c>
      <c r="AD292" t="str">
        <f t="shared" si="32"/>
        <v>e</v>
      </c>
      <c r="AE292" t="str">
        <f t="shared" si="36"/>
        <v>Possession</v>
      </c>
      <c r="AF292" t="str">
        <f t="shared" si="34"/>
        <v>PuckRetrieval</v>
      </c>
      <c r="AG292" t="str">
        <f t="shared" si="35"/>
        <v/>
      </c>
      <c r="AN292" t="str">
        <f t="shared" si="37"/>
        <v>Offensive</v>
      </c>
      <c r="BD292" s="23"/>
      <c r="BF292" s="21"/>
    </row>
    <row r="293" spans="1:58" x14ac:dyDescent="0.2">
      <c r="A293">
        <v>151</v>
      </c>
      <c r="E293" s="5" t="s">
        <v>898</v>
      </c>
      <c r="F293" s="5" t="s">
        <v>889</v>
      </c>
      <c r="G293" s="5" t="s">
        <v>898</v>
      </c>
      <c r="H293" s="7" t="s">
        <v>878</v>
      </c>
      <c r="I293" t="s">
        <v>840</v>
      </c>
      <c r="J293">
        <v>83</v>
      </c>
      <c r="K293">
        <v>1</v>
      </c>
      <c r="L293" t="s">
        <v>845</v>
      </c>
      <c r="M293" t="s">
        <v>15</v>
      </c>
      <c r="U293" s="8">
        <f t="shared" si="33"/>
        <v>1</v>
      </c>
      <c r="AD293" t="str">
        <f t="shared" si="32"/>
        <v>e</v>
      </c>
      <c r="AE293" t="str">
        <f t="shared" si="36"/>
        <v>Possession</v>
      </c>
      <c r="AF293" t="str">
        <f t="shared" si="34"/>
        <v/>
      </c>
      <c r="AG293" t="str">
        <f t="shared" si="35"/>
        <v/>
      </c>
      <c r="AN293" t="str">
        <f t="shared" si="37"/>
        <v>Offensive</v>
      </c>
      <c r="BD293" s="23"/>
      <c r="BF293" s="21"/>
    </row>
    <row r="294" spans="1:58" x14ac:dyDescent="0.2">
      <c r="A294">
        <v>152</v>
      </c>
      <c r="B294">
        <v>28</v>
      </c>
      <c r="E294" s="5" t="s">
        <v>898</v>
      </c>
      <c r="F294" s="5" t="s">
        <v>878</v>
      </c>
      <c r="I294" t="s">
        <v>840</v>
      </c>
      <c r="J294">
        <v>83</v>
      </c>
      <c r="K294">
        <v>1</v>
      </c>
      <c r="L294" t="s">
        <v>845</v>
      </c>
      <c r="M294" t="s">
        <v>8</v>
      </c>
      <c r="N294" t="s">
        <v>199</v>
      </c>
      <c r="O294" t="s">
        <v>70</v>
      </c>
      <c r="P294" t="s">
        <v>688</v>
      </c>
      <c r="Q294" t="s">
        <v>706</v>
      </c>
      <c r="S294" t="s">
        <v>688</v>
      </c>
      <c r="T294">
        <v>1</v>
      </c>
      <c r="U294" s="8">
        <f t="shared" si="33"/>
        <v>1</v>
      </c>
      <c r="AD294" t="str">
        <f t="shared" si="32"/>
        <v>e</v>
      </c>
      <c r="AE294" t="str">
        <f t="shared" si="36"/>
        <v>Pass</v>
      </c>
      <c r="AF294" t="str">
        <f t="shared" si="34"/>
        <v>Pass_Missed</v>
      </c>
      <c r="AG294" t="str">
        <f t="shared" si="35"/>
        <v>Pass-Forehand</v>
      </c>
      <c r="AN294" t="str">
        <f t="shared" si="37"/>
        <v>Offensive</v>
      </c>
      <c r="BD294" s="23"/>
      <c r="BF294" s="21"/>
    </row>
    <row r="295" spans="1:58" x14ac:dyDescent="0.2">
      <c r="A295">
        <v>152</v>
      </c>
      <c r="B295">
        <v>28</v>
      </c>
      <c r="J295">
        <v>8</v>
      </c>
      <c r="K295">
        <v>1</v>
      </c>
      <c r="U295" s="8">
        <f t="shared" si="33"/>
        <v>1</v>
      </c>
      <c r="AD295" t="str">
        <f t="shared" si="32"/>
        <v>e</v>
      </c>
      <c r="AE295" t="str">
        <f t="shared" si="36"/>
        <v>Pass</v>
      </c>
      <c r="AF295" t="str">
        <f t="shared" si="34"/>
        <v>Pass_Missed</v>
      </c>
      <c r="AG295" t="str">
        <f t="shared" si="35"/>
        <v>Pass-Forehand</v>
      </c>
      <c r="AN295" t="str">
        <f t="shared" si="37"/>
        <v>Offensive</v>
      </c>
      <c r="BD295" s="23"/>
      <c r="BF295" s="21"/>
    </row>
    <row r="296" spans="1:58" x14ac:dyDescent="0.2">
      <c r="A296">
        <v>152</v>
      </c>
      <c r="B296">
        <v>28</v>
      </c>
      <c r="J296">
        <v>70</v>
      </c>
      <c r="T296">
        <v>1</v>
      </c>
      <c r="U296" s="8">
        <f t="shared" si="33"/>
        <v>1</v>
      </c>
      <c r="AD296" t="str">
        <f t="shared" si="32"/>
        <v>o</v>
      </c>
      <c r="AE296" t="str">
        <f t="shared" si="36"/>
        <v>Pass</v>
      </c>
      <c r="AF296" t="str">
        <f t="shared" si="34"/>
        <v>Pass_Missed</v>
      </c>
      <c r="AG296" t="str">
        <f t="shared" si="35"/>
        <v>Pass-Forehand</v>
      </c>
      <c r="AN296" t="str">
        <f t="shared" si="37"/>
        <v>Defensive</v>
      </c>
      <c r="BD296" s="23"/>
      <c r="BF296" s="21"/>
    </row>
    <row r="297" spans="1:58" x14ac:dyDescent="0.2">
      <c r="A297">
        <v>153</v>
      </c>
      <c r="B297">
        <v>28</v>
      </c>
      <c r="E297" s="5" t="s">
        <v>898</v>
      </c>
      <c r="F297" s="5" t="s">
        <v>878</v>
      </c>
      <c r="I297" t="s">
        <v>840</v>
      </c>
      <c r="J297">
        <v>83</v>
      </c>
      <c r="K297">
        <v>1</v>
      </c>
      <c r="L297" t="s">
        <v>845</v>
      </c>
      <c r="M297" t="s">
        <v>257</v>
      </c>
      <c r="N297" t="s">
        <v>201</v>
      </c>
      <c r="O297" t="s">
        <v>409</v>
      </c>
      <c r="P297" t="s">
        <v>688</v>
      </c>
      <c r="Q297" t="s">
        <v>706</v>
      </c>
      <c r="S297" t="s">
        <v>688</v>
      </c>
      <c r="T297">
        <v>1</v>
      </c>
      <c r="U297" s="8">
        <f t="shared" si="33"/>
        <v>1</v>
      </c>
      <c r="AD297" t="str">
        <f t="shared" si="32"/>
        <v>e</v>
      </c>
      <c r="AE297" t="str">
        <f t="shared" si="36"/>
        <v>Zone_Entry_Exit</v>
      </c>
      <c r="AF297" t="str">
        <f t="shared" si="34"/>
        <v>Zone_Exit</v>
      </c>
      <c r="AG297" t="str">
        <f t="shared" si="35"/>
        <v>ZoneExit-PassMiss/Misplay</v>
      </c>
      <c r="AN297" t="str">
        <f t="shared" si="37"/>
        <v>Offensive</v>
      </c>
      <c r="BD297" s="23"/>
      <c r="BF297" s="21"/>
    </row>
    <row r="298" spans="1:58" x14ac:dyDescent="0.2">
      <c r="A298">
        <v>153</v>
      </c>
      <c r="B298">
        <v>28</v>
      </c>
      <c r="J298">
        <v>8</v>
      </c>
      <c r="K298">
        <v>1</v>
      </c>
      <c r="U298" s="8">
        <f t="shared" si="33"/>
        <v>1</v>
      </c>
      <c r="AD298" t="str">
        <f t="shared" si="32"/>
        <v>e</v>
      </c>
      <c r="AE298" t="str">
        <f t="shared" si="36"/>
        <v>Zone_Entry_Exit</v>
      </c>
      <c r="AF298" t="str">
        <f t="shared" si="34"/>
        <v>Zone_Exit</v>
      </c>
      <c r="AG298" t="str">
        <f t="shared" si="35"/>
        <v>ZoneExit-PassMiss/Misplay</v>
      </c>
      <c r="AN298" t="str">
        <f t="shared" si="37"/>
        <v>Offensive</v>
      </c>
      <c r="BD298" s="23"/>
      <c r="BF298" s="21"/>
    </row>
    <row r="299" spans="1:58" x14ac:dyDescent="0.2">
      <c r="A299">
        <v>153</v>
      </c>
      <c r="B299">
        <v>28</v>
      </c>
      <c r="J299">
        <v>70</v>
      </c>
      <c r="T299">
        <v>1</v>
      </c>
      <c r="U299" s="8">
        <f t="shared" si="33"/>
        <v>1</v>
      </c>
      <c r="AD299" t="str">
        <f t="shared" si="32"/>
        <v>o</v>
      </c>
      <c r="AE299" t="str">
        <f t="shared" si="36"/>
        <v>Zone_Entry_Exit</v>
      </c>
      <c r="AF299" t="str">
        <f t="shared" si="34"/>
        <v>Zone_Exit</v>
      </c>
      <c r="AG299" t="str">
        <f t="shared" si="35"/>
        <v>ZoneExit-PassMiss/Misplay</v>
      </c>
      <c r="AN299" t="str">
        <f t="shared" si="37"/>
        <v>Defensive</v>
      </c>
      <c r="BD299" s="23"/>
      <c r="BF299" s="21"/>
    </row>
    <row r="300" spans="1:58" x14ac:dyDescent="0.2">
      <c r="A300">
        <v>154</v>
      </c>
      <c r="B300">
        <v>28</v>
      </c>
      <c r="E300" s="5" t="s">
        <v>898</v>
      </c>
      <c r="F300" s="5" t="s">
        <v>878</v>
      </c>
      <c r="I300" t="s">
        <v>840</v>
      </c>
      <c r="J300">
        <v>83</v>
      </c>
      <c r="K300">
        <v>1</v>
      </c>
      <c r="L300" t="s">
        <v>845</v>
      </c>
      <c r="M300" t="s">
        <v>10</v>
      </c>
      <c r="N300" t="s">
        <v>190</v>
      </c>
      <c r="O300" t="s">
        <v>76</v>
      </c>
      <c r="P300" t="s">
        <v>688</v>
      </c>
      <c r="Q300" t="s">
        <v>706</v>
      </c>
      <c r="S300" t="s">
        <v>688</v>
      </c>
      <c r="T300">
        <v>1</v>
      </c>
      <c r="U300" s="8">
        <f t="shared" si="33"/>
        <v>1</v>
      </c>
      <c r="AD300" t="str">
        <f t="shared" si="32"/>
        <v>e</v>
      </c>
      <c r="AE300" t="str">
        <f t="shared" si="36"/>
        <v>Turnover</v>
      </c>
      <c r="AF300" t="str">
        <f t="shared" si="34"/>
        <v>Turnover_Giveaway</v>
      </c>
      <c r="AG300" t="str">
        <f t="shared" si="35"/>
        <v>Giveaway-PassMissed</v>
      </c>
      <c r="AN300" t="str">
        <f t="shared" si="37"/>
        <v>Offensive</v>
      </c>
      <c r="BD300" s="23"/>
      <c r="BF300" s="21"/>
    </row>
    <row r="301" spans="1:58" x14ac:dyDescent="0.2">
      <c r="A301">
        <v>154</v>
      </c>
      <c r="B301">
        <v>28</v>
      </c>
      <c r="J301">
        <v>8</v>
      </c>
      <c r="K301">
        <v>1</v>
      </c>
      <c r="U301" s="8">
        <f t="shared" si="33"/>
        <v>1</v>
      </c>
      <c r="AD301" t="str">
        <f t="shared" si="32"/>
        <v>e</v>
      </c>
      <c r="AE301" t="str">
        <f t="shared" si="36"/>
        <v>Turnover</v>
      </c>
      <c r="AF301" t="str">
        <f t="shared" si="34"/>
        <v>Turnover_Giveaway</v>
      </c>
      <c r="AG301" t="str">
        <f t="shared" si="35"/>
        <v>Giveaway-PassMissed</v>
      </c>
      <c r="AN301" t="str">
        <f t="shared" si="37"/>
        <v>Offensive</v>
      </c>
      <c r="BD301" s="23"/>
      <c r="BF301" s="21"/>
    </row>
    <row r="302" spans="1:58" x14ac:dyDescent="0.2">
      <c r="A302">
        <v>154</v>
      </c>
      <c r="B302">
        <v>28</v>
      </c>
      <c r="J302">
        <v>70</v>
      </c>
      <c r="T302">
        <v>1</v>
      </c>
      <c r="U302" s="8">
        <f t="shared" si="33"/>
        <v>1</v>
      </c>
      <c r="AD302" t="str">
        <f t="shared" si="32"/>
        <v>o</v>
      </c>
      <c r="AE302" t="str">
        <f t="shared" si="36"/>
        <v>Turnover</v>
      </c>
      <c r="AF302" t="str">
        <f t="shared" si="34"/>
        <v>Turnover_Giveaway</v>
      </c>
      <c r="AG302" t="str">
        <f t="shared" si="35"/>
        <v>Giveaway-PassMissed</v>
      </c>
      <c r="AN302" t="str">
        <f t="shared" si="37"/>
        <v>Defensive</v>
      </c>
      <c r="BD302" s="23"/>
      <c r="BF302" s="21"/>
    </row>
    <row r="303" spans="1:58" x14ac:dyDescent="0.2">
      <c r="A303">
        <v>155</v>
      </c>
      <c r="E303" s="5" t="s">
        <v>898</v>
      </c>
      <c r="F303" s="5" t="s">
        <v>881</v>
      </c>
      <c r="I303" t="s">
        <v>835</v>
      </c>
      <c r="J303">
        <v>75</v>
      </c>
      <c r="K303">
        <v>1</v>
      </c>
      <c r="L303" t="s">
        <v>839</v>
      </c>
      <c r="M303" t="s">
        <v>15</v>
      </c>
      <c r="N303" t="s">
        <v>680</v>
      </c>
      <c r="P303" t="s">
        <v>689</v>
      </c>
      <c r="Q303" t="s">
        <v>701</v>
      </c>
      <c r="S303" t="s">
        <v>689</v>
      </c>
      <c r="U303" s="8">
        <f t="shared" si="33"/>
        <v>1</v>
      </c>
      <c r="AD303" t="str">
        <f t="shared" si="32"/>
        <v>e</v>
      </c>
      <c r="AE303" t="str">
        <f t="shared" si="36"/>
        <v>Possession</v>
      </c>
      <c r="AF303" t="str">
        <f t="shared" si="34"/>
        <v>PuckRetrieval</v>
      </c>
      <c r="AG303" t="str">
        <f t="shared" si="35"/>
        <v/>
      </c>
      <c r="AN303" t="str">
        <f t="shared" si="37"/>
        <v>Offensive</v>
      </c>
      <c r="BD303" s="23"/>
      <c r="BF303" s="21"/>
    </row>
    <row r="304" spans="1:58" x14ac:dyDescent="0.2">
      <c r="A304">
        <v>156</v>
      </c>
      <c r="E304" s="5" t="s">
        <v>898</v>
      </c>
      <c r="F304" s="5" t="s">
        <v>881</v>
      </c>
      <c r="I304" t="s">
        <v>835</v>
      </c>
      <c r="J304">
        <v>75</v>
      </c>
      <c r="K304">
        <v>1</v>
      </c>
      <c r="L304" t="s">
        <v>839</v>
      </c>
      <c r="M304" t="s">
        <v>8</v>
      </c>
      <c r="N304" t="s">
        <v>189</v>
      </c>
      <c r="O304" t="s">
        <v>70</v>
      </c>
      <c r="P304" t="s">
        <v>689</v>
      </c>
      <c r="Q304" t="s">
        <v>749</v>
      </c>
      <c r="S304" t="s">
        <v>689</v>
      </c>
      <c r="U304" s="8">
        <f t="shared" si="33"/>
        <v>1</v>
      </c>
      <c r="AD304" t="str">
        <f t="shared" si="32"/>
        <v>e</v>
      </c>
      <c r="AE304" t="str">
        <f t="shared" si="36"/>
        <v>Pass</v>
      </c>
      <c r="AF304" t="str">
        <f t="shared" si="34"/>
        <v>Pass_Completed</v>
      </c>
      <c r="AG304" t="str">
        <f t="shared" si="35"/>
        <v>Pass-Forehand</v>
      </c>
      <c r="AN304" t="str">
        <f t="shared" si="37"/>
        <v>Offensive</v>
      </c>
      <c r="BD304" s="23"/>
      <c r="BF304" s="21"/>
    </row>
    <row r="305" spans="1:58" x14ac:dyDescent="0.2">
      <c r="A305">
        <v>156</v>
      </c>
      <c r="J305">
        <v>91</v>
      </c>
      <c r="K305">
        <v>1</v>
      </c>
      <c r="U305" s="8">
        <f t="shared" si="33"/>
        <v>1</v>
      </c>
      <c r="AD305" t="str">
        <f t="shared" si="32"/>
        <v>e</v>
      </c>
      <c r="AE305" t="str">
        <f t="shared" si="36"/>
        <v>Pass</v>
      </c>
      <c r="AF305" t="str">
        <f t="shared" si="34"/>
        <v>Pass_Completed</v>
      </c>
      <c r="AG305" t="str">
        <f t="shared" si="35"/>
        <v>Pass-Forehand</v>
      </c>
      <c r="AN305" t="str">
        <f t="shared" si="37"/>
        <v>Offensive</v>
      </c>
      <c r="BD305" s="23"/>
      <c r="BF305" s="21"/>
    </row>
    <row r="306" spans="1:58" x14ac:dyDescent="0.2">
      <c r="A306">
        <v>157</v>
      </c>
      <c r="E306" s="5" t="s">
        <v>898</v>
      </c>
      <c r="F306" s="5" t="s">
        <v>881</v>
      </c>
      <c r="G306" s="5" t="s">
        <v>898</v>
      </c>
      <c r="H306" s="7" t="s">
        <v>851</v>
      </c>
      <c r="I306" t="s">
        <v>835</v>
      </c>
      <c r="J306">
        <v>91</v>
      </c>
      <c r="K306">
        <v>1</v>
      </c>
      <c r="L306" t="s">
        <v>839</v>
      </c>
      <c r="M306" t="s">
        <v>15</v>
      </c>
      <c r="N306" t="s">
        <v>667</v>
      </c>
      <c r="U306" s="8">
        <f t="shared" si="33"/>
        <v>1</v>
      </c>
      <c r="AD306" t="str">
        <f t="shared" si="32"/>
        <v>e</v>
      </c>
      <c r="AE306" t="str">
        <f t="shared" si="36"/>
        <v>Possession</v>
      </c>
      <c r="AF306" t="str">
        <f t="shared" si="34"/>
        <v>Regroup</v>
      </c>
      <c r="AG306" t="str">
        <f t="shared" si="35"/>
        <v/>
      </c>
      <c r="AN306" t="str">
        <f t="shared" si="37"/>
        <v>Offensive</v>
      </c>
      <c r="BD306" s="23"/>
      <c r="BF306" s="21"/>
    </row>
    <row r="307" spans="1:58" x14ac:dyDescent="0.2">
      <c r="A307">
        <v>158</v>
      </c>
      <c r="E307" s="5" t="s">
        <v>898</v>
      </c>
      <c r="F307" s="5" t="s">
        <v>851</v>
      </c>
      <c r="I307" t="s">
        <v>835</v>
      </c>
      <c r="J307">
        <v>91</v>
      </c>
      <c r="K307">
        <v>1</v>
      </c>
      <c r="L307" t="s">
        <v>839</v>
      </c>
      <c r="M307" t="s">
        <v>8</v>
      </c>
      <c r="N307" t="s">
        <v>199</v>
      </c>
      <c r="O307" t="s">
        <v>70</v>
      </c>
      <c r="P307" t="s">
        <v>689</v>
      </c>
      <c r="U307" s="8">
        <f t="shared" si="33"/>
        <v>1</v>
      </c>
      <c r="AD307" t="str">
        <f t="shared" si="32"/>
        <v>e</v>
      </c>
      <c r="AE307" t="str">
        <f t="shared" si="36"/>
        <v>Pass</v>
      </c>
      <c r="AF307" t="str">
        <f t="shared" si="34"/>
        <v>Pass_Missed</v>
      </c>
      <c r="AG307" t="str">
        <f t="shared" si="35"/>
        <v>Pass-Forehand</v>
      </c>
      <c r="AN307" t="str">
        <f t="shared" si="37"/>
        <v>Offensive</v>
      </c>
      <c r="BD307" s="23"/>
      <c r="BF307" s="21"/>
    </row>
    <row r="308" spans="1:58" x14ac:dyDescent="0.2">
      <c r="A308">
        <v>158</v>
      </c>
      <c r="J308">
        <v>70</v>
      </c>
      <c r="K308">
        <v>1</v>
      </c>
      <c r="U308" s="8">
        <f t="shared" si="33"/>
        <v>1</v>
      </c>
      <c r="AD308" t="str">
        <f t="shared" si="32"/>
        <v>e</v>
      </c>
      <c r="AE308" t="str">
        <f t="shared" si="36"/>
        <v>Pass</v>
      </c>
      <c r="AF308" t="str">
        <f t="shared" si="34"/>
        <v>Pass_Missed</v>
      </c>
      <c r="AG308" t="str">
        <f t="shared" si="35"/>
        <v>Pass-Forehand</v>
      </c>
      <c r="AN308" t="str">
        <f t="shared" si="37"/>
        <v>Offensive</v>
      </c>
      <c r="BD308" s="23"/>
      <c r="BF308" s="21"/>
    </row>
    <row r="309" spans="1:58" x14ac:dyDescent="0.2">
      <c r="A309">
        <v>159</v>
      </c>
      <c r="E309" s="5" t="s">
        <v>898</v>
      </c>
      <c r="F309" s="5" t="s">
        <v>855</v>
      </c>
      <c r="I309" t="s">
        <v>835</v>
      </c>
      <c r="J309">
        <v>70</v>
      </c>
      <c r="K309">
        <v>1</v>
      </c>
      <c r="L309" t="s">
        <v>839</v>
      </c>
      <c r="M309" t="s">
        <v>15</v>
      </c>
      <c r="N309" t="s">
        <v>681</v>
      </c>
      <c r="P309" t="s">
        <v>689</v>
      </c>
      <c r="Q309" t="s">
        <v>714</v>
      </c>
      <c r="S309" t="s">
        <v>689</v>
      </c>
      <c r="U309" s="8">
        <f t="shared" si="33"/>
        <v>1</v>
      </c>
      <c r="AD309" t="str">
        <f t="shared" si="32"/>
        <v>e</v>
      </c>
      <c r="AE309" t="str">
        <f t="shared" si="36"/>
        <v>Possession</v>
      </c>
      <c r="AF309" t="str">
        <f t="shared" si="34"/>
        <v>PuckRecovery</v>
      </c>
      <c r="AG309" t="str">
        <f t="shared" si="35"/>
        <v/>
      </c>
      <c r="AN309" t="str">
        <f t="shared" si="37"/>
        <v>Offensive</v>
      </c>
      <c r="BD309" s="23"/>
      <c r="BF309" s="21"/>
    </row>
    <row r="310" spans="1:58" x14ac:dyDescent="0.2">
      <c r="A310">
        <v>159</v>
      </c>
      <c r="J310">
        <v>8</v>
      </c>
      <c r="U310" s="8">
        <f t="shared" si="33"/>
        <v>1</v>
      </c>
      <c r="AD310" t="str">
        <f t="shared" si="32"/>
        <v>o</v>
      </c>
      <c r="AE310" t="str">
        <f t="shared" si="36"/>
        <v>Possession</v>
      </c>
      <c r="AF310" t="str">
        <f t="shared" si="34"/>
        <v>PuckRecovery</v>
      </c>
      <c r="AG310" t="str">
        <f t="shared" si="35"/>
        <v/>
      </c>
      <c r="AN310" t="str">
        <f t="shared" si="37"/>
        <v>Defensive</v>
      </c>
      <c r="BD310" s="23"/>
      <c r="BF310" s="21"/>
    </row>
    <row r="311" spans="1:58" x14ac:dyDescent="0.2">
      <c r="A311">
        <v>160</v>
      </c>
      <c r="E311" s="5" t="s">
        <v>898</v>
      </c>
      <c r="F311" s="5" t="s">
        <v>855</v>
      </c>
      <c r="G311" s="5" t="s">
        <v>898</v>
      </c>
      <c r="H311" s="7" t="s">
        <v>856</v>
      </c>
      <c r="I311" t="s">
        <v>835</v>
      </c>
      <c r="J311">
        <v>70</v>
      </c>
      <c r="K311">
        <v>1</v>
      </c>
      <c r="L311" t="s">
        <v>839</v>
      </c>
      <c r="M311" t="s">
        <v>15</v>
      </c>
      <c r="U311" s="8">
        <f t="shared" si="33"/>
        <v>1</v>
      </c>
      <c r="AD311" t="str">
        <f t="shared" si="32"/>
        <v>e</v>
      </c>
      <c r="AE311" t="str">
        <f t="shared" si="36"/>
        <v>Possession</v>
      </c>
      <c r="AF311" t="str">
        <f t="shared" si="34"/>
        <v/>
      </c>
      <c r="AG311" t="str">
        <f t="shared" si="35"/>
        <v/>
      </c>
      <c r="AN311" t="str">
        <f t="shared" si="37"/>
        <v>Offensive</v>
      </c>
      <c r="BD311" s="23"/>
      <c r="BF311" s="21"/>
    </row>
    <row r="312" spans="1:58" x14ac:dyDescent="0.2">
      <c r="A312">
        <v>161</v>
      </c>
      <c r="E312" s="5" t="s">
        <v>898</v>
      </c>
      <c r="F312" s="5" t="s">
        <v>856</v>
      </c>
      <c r="G312" s="5" t="s">
        <v>898</v>
      </c>
      <c r="H312" s="7" t="s">
        <v>883</v>
      </c>
      <c r="I312" t="s">
        <v>835</v>
      </c>
      <c r="J312">
        <v>70</v>
      </c>
      <c r="K312">
        <v>1</v>
      </c>
      <c r="L312" t="s">
        <v>401</v>
      </c>
      <c r="M312" t="s">
        <v>257</v>
      </c>
      <c r="N312" t="s">
        <v>191</v>
      </c>
      <c r="O312" t="s">
        <v>87</v>
      </c>
      <c r="P312" t="s">
        <v>689</v>
      </c>
      <c r="Q312" t="s">
        <v>661</v>
      </c>
      <c r="S312" t="s">
        <v>689</v>
      </c>
      <c r="T312">
        <v>1</v>
      </c>
      <c r="U312" s="8">
        <f t="shared" si="33"/>
        <v>1</v>
      </c>
      <c r="AD312" t="str">
        <f t="shared" si="32"/>
        <v>e</v>
      </c>
      <c r="AE312" t="str">
        <f t="shared" si="36"/>
        <v>Zone_Entry_Exit</v>
      </c>
      <c r="AF312" t="str">
        <f t="shared" si="34"/>
        <v>Zone_Entry</v>
      </c>
      <c r="AG312" t="str">
        <f t="shared" si="35"/>
        <v>ZoneEntry-Rush</v>
      </c>
      <c r="AN312" t="str">
        <f t="shared" si="37"/>
        <v>Offensive</v>
      </c>
      <c r="BD312" s="23"/>
      <c r="BF312" s="21"/>
    </row>
    <row r="313" spans="1:58" x14ac:dyDescent="0.2">
      <c r="A313">
        <v>161</v>
      </c>
      <c r="J313">
        <v>14</v>
      </c>
      <c r="K313">
        <v>1</v>
      </c>
      <c r="U313" s="8">
        <f t="shared" si="33"/>
        <v>1</v>
      </c>
      <c r="AD313" t="str">
        <f t="shared" si="32"/>
        <v>e</v>
      </c>
      <c r="AE313" t="str">
        <f t="shared" si="36"/>
        <v>Zone_Entry_Exit</v>
      </c>
      <c r="AF313" t="str">
        <f t="shared" si="34"/>
        <v>Zone_Entry</v>
      </c>
      <c r="AG313" t="str">
        <f t="shared" si="35"/>
        <v>ZoneEntry-Rush</v>
      </c>
      <c r="AN313" t="str">
        <f t="shared" si="37"/>
        <v>Offensive</v>
      </c>
      <c r="BD313" s="23"/>
      <c r="BF313" s="21"/>
    </row>
    <row r="314" spans="1:58" x14ac:dyDescent="0.2">
      <c r="A314">
        <v>161</v>
      </c>
      <c r="J314">
        <v>94</v>
      </c>
      <c r="Q314" t="s">
        <v>728</v>
      </c>
      <c r="S314" t="s">
        <v>688</v>
      </c>
      <c r="T314">
        <v>1</v>
      </c>
      <c r="U314" s="8">
        <f t="shared" si="33"/>
        <v>1</v>
      </c>
      <c r="AD314" t="str">
        <f t="shared" si="32"/>
        <v>o</v>
      </c>
      <c r="AE314" t="str">
        <f t="shared" si="36"/>
        <v>Zone_Entry_Exit</v>
      </c>
      <c r="AF314" t="str">
        <f t="shared" si="34"/>
        <v>Zone_Entry</v>
      </c>
      <c r="AG314" t="str">
        <f t="shared" si="35"/>
        <v>ZoneEntry-Rush</v>
      </c>
      <c r="AN314" t="str">
        <f t="shared" si="37"/>
        <v>Defensive</v>
      </c>
      <c r="BD314" s="23"/>
      <c r="BF314" s="21"/>
    </row>
    <row r="315" spans="1:58" x14ac:dyDescent="0.2">
      <c r="A315">
        <v>161</v>
      </c>
      <c r="J315">
        <v>83</v>
      </c>
      <c r="U315" s="8">
        <f t="shared" si="33"/>
        <v>1</v>
      </c>
      <c r="AD315" t="str">
        <f t="shared" si="32"/>
        <v>o</v>
      </c>
      <c r="AE315" t="str">
        <f t="shared" si="36"/>
        <v>Zone_Entry_Exit</v>
      </c>
      <c r="AF315" t="str">
        <f t="shared" si="34"/>
        <v>Zone_Entry</v>
      </c>
      <c r="AG315" t="str">
        <f t="shared" si="35"/>
        <v>ZoneEntry-Rush</v>
      </c>
      <c r="AN315" t="str">
        <f t="shared" si="37"/>
        <v>Defensive</v>
      </c>
      <c r="BD315" s="23"/>
      <c r="BF315" s="21"/>
    </row>
    <row r="316" spans="1:58" x14ac:dyDescent="0.2">
      <c r="A316">
        <v>162</v>
      </c>
      <c r="B316">
        <v>29</v>
      </c>
      <c r="E316" s="5" t="s">
        <v>898</v>
      </c>
      <c r="F316" s="5" t="s">
        <v>883</v>
      </c>
      <c r="I316" t="s">
        <v>835</v>
      </c>
      <c r="J316">
        <v>70</v>
      </c>
      <c r="K316">
        <v>1</v>
      </c>
      <c r="L316" t="s">
        <v>401</v>
      </c>
      <c r="M316" t="s">
        <v>7</v>
      </c>
      <c r="N316" t="s">
        <v>222</v>
      </c>
      <c r="O316" t="s">
        <v>53</v>
      </c>
      <c r="P316" t="s">
        <v>689</v>
      </c>
      <c r="U316" s="8">
        <f t="shared" si="33"/>
        <v>1</v>
      </c>
      <c r="AD316" t="str">
        <f t="shared" si="32"/>
        <v>e</v>
      </c>
      <c r="AE316" t="str">
        <f t="shared" si="36"/>
        <v>Shot</v>
      </c>
      <c r="AF316" t="str">
        <f t="shared" si="34"/>
        <v>Shot_OnNetSaved</v>
      </c>
      <c r="AG316" t="str">
        <f t="shared" si="35"/>
        <v>Shot-Wrist</v>
      </c>
      <c r="AN316" t="str">
        <f t="shared" si="37"/>
        <v>Offensive</v>
      </c>
      <c r="BD316" s="23"/>
      <c r="BF316" s="21"/>
    </row>
    <row r="317" spans="1:58" x14ac:dyDescent="0.2">
      <c r="A317">
        <v>162</v>
      </c>
      <c r="B317">
        <v>29</v>
      </c>
      <c r="J317">
        <v>38</v>
      </c>
      <c r="U317" s="8">
        <f t="shared" si="33"/>
        <v>1</v>
      </c>
      <c r="AD317" t="str">
        <f t="shared" si="32"/>
        <v>o</v>
      </c>
      <c r="AE317" t="str">
        <f t="shared" si="36"/>
        <v>Shot</v>
      </c>
      <c r="AF317" t="str">
        <f t="shared" si="34"/>
        <v>Shot_OnNetSaved</v>
      </c>
      <c r="AG317" t="str">
        <f t="shared" si="35"/>
        <v>Shot-Wrist</v>
      </c>
      <c r="AN317" t="str">
        <f t="shared" si="37"/>
        <v>Defensive</v>
      </c>
      <c r="BD317" s="23"/>
      <c r="BF317" s="21"/>
    </row>
    <row r="318" spans="1:58" x14ac:dyDescent="0.2">
      <c r="A318">
        <v>163</v>
      </c>
      <c r="B318">
        <v>29</v>
      </c>
      <c r="E318" s="5" t="s">
        <v>898</v>
      </c>
      <c r="F318" s="5" t="s">
        <v>883</v>
      </c>
      <c r="I318" t="s">
        <v>840</v>
      </c>
      <c r="J318">
        <v>38</v>
      </c>
      <c r="K318">
        <v>1</v>
      </c>
      <c r="L318" t="s">
        <v>845</v>
      </c>
      <c r="M318" t="s">
        <v>17</v>
      </c>
      <c r="N318" t="s">
        <v>206</v>
      </c>
      <c r="O318" t="s">
        <v>103</v>
      </c>
      <c r="U318" s="8">
        <f t="shared" si="33"/>
        <v>1</v>
      </c>
      <c r="AD318" t="str">
        <f t="shared" si="32"/>
        <v>e</v>
      </c>
      <c r="AE318" t="str">
        <f t="shared" si="36"/>
        <v>Save</v>
      </c>
      <c r="AF318" t="str">
        <f t="shared" si="34"/>
        <v>Save_Freeze</v>
      </c>
      <c r="AG318" t="str">
        <f t="shared" si="35"/>
        <v>Save-Chest</v>
      </c>
      <c r="AN318" t="str">
        <f t="shared" si="37"/>
        <v>Defensive</v>
      </c>
      <c r="BD318" s="23"/>
      <c r="BF318" s="21"/>
    </row>
    <row r="319" spans="1:58" x14ac:dyDescent="0.2">
      <c r="A319">
        <v>163</v>
      </c>
      <c r="B319">
        <v>29</v>
      </c>
      <c r="J319">
        <v>70</v>
      </c>
      <c r="U319" s="8">
        <f t="shared" si="33"/>
        <v>1</v>
      </c>
      <c r="AD319" t="str">
        <f t="shared" si="32"/>
        <v>o</v>
      </c>
      <c r="AE319" t="str">
        <f t="shared" si="36"/>
        <v>Save</v>
      </c>
      <c r="AF319" t="str">
        <f t="shared" si="34"/>
        <v>Save_Freeze</v>
      </c>
      <c r="AG319" t="str">
        <f t="shared" si="35"/>
        <v>Save-Chest</v>
      </c>
      <c r="AN319" t="str">
        <f t="shared" si="37"/>
        <v>Offensive</v>
      </c>
      <c r="BD319" s="23"/>
      <c r="BF319" s="21"/>
    </row>
    <row r="320" spans="1:58" x14ac:dyDescent="0.2">
      <c r="A320">
        <v>164</v>
      </c>
      <c r="B320">
        <v>29</v>
      </c>
      <c r="E320" s="5" t="s">
        <v>898</v>
      </c>
      <c r="F320" s="5" t="s">
        <v>883</v>
      </c>
      <c r="I320" t="s">
        <v>840</v>
      </c>
      <c r="J320">
        <v>38</v>
      </c>
      <c r="K320">
        <v>1</v>
      </c>
      <c r="L320" t="s">
        <v>845</v>
      </c>
      <c r="M320" t="s">
        <v>13</v>
      </c>
      <c r="N320" t="s">
        <v>204</v>
      </c>
      <c r="O320" t="s">
        <v>110</v>
      </c>
      <c r="U320" s="8">
        <f t="shared" si="33"/>
        <v>1</v>
      </c>
      <c r="AD320" t="str">
        <f t="shared" si="32"/>
        <v>e</v>
      </c>
      <c r="AE320" t="str">
        <f t="shared" si="36"/>
        <v>Stoppage</v>
      </c>
      <c r="AF320" t="str">
        <f t="shared" si="34"/>
        <v>Stoppage_Play</v>
      </c>
      <c r="AG320" t="str">
        <f t="shared" si="35"/>
        <v>Stoppage-GoalieStoppage</v>
      </c>
      <c r="AN320" t="str">
        <f t="shared" si="37"/>
        <v/>
      </c>
      <c r="BD320" s="23"/>
      <c r="BF320" s="21"/>
    </row>
    <row r="321" spans="1:58" x14ac:dyDescent="0.2">
      <c r="A321">
        <v>165</v>
      </c>
      <c r="B321">
        <v>29</v>
      </c>
      <c r="E321" s="5" t="s">
        <v>898</v>
      </c>
      <c r="F321" s="5" t="s">
        <v>883</v>
      </c>
      <c r="G321" s="5" t="s">
        <v>898</v>
      </c>
      <c r="H321" s="7" t="s">
        <v>884</v>
      </c>
      <c r="I321" t="s">
        <v>840</v>
      </c>
      <c r="J321">
        <v>38</v>
      </c>
      <c r="K321">
        <v>1</v>
      </c>
      <c r="L321" t="s">
        <v>845</v>
      </c>
      <c r="M321" t="s">
        <v>262</v>
      </c>
      <c r="U321" s="8">
        <f t="shared" si="33"/>
        <v>1</v>
      </c>
      <c r="AD321" t="str">
        <f t="shared" si="32"/>
        <v>e</v>
      </c>
      <c r="AE321" t="str">
        <f t="shared" si="36"/>
        <v>DeadIce</v>
      </c>
      <c r="AF321" t="str">
        <f t="shared" si="34"/>
        <v/>
      </c>
      <c r="AG321" t="str">
        <f t="shared" si="35"/>
        <v/>
      </c>
      <c r="AN321" t="str">
        <f t="shared" si="37"/>
        <v/>
      </c>
      <c r="BD321" s="23"/>
      <c r="BF321" s="21"/>
    </row>
    <row r="322" spans="1:58" x14ac:dyDescent="0.2">
      <c r="A322">
        <v>166</v>
      </c>
      <c r="E322" s="5" t="s">
        <v>898</v>
      </c>
      <c r="F322" s="5" t="s">
        <v>884</v>
      </c>
      <c r="I322" t="s">
        <v>840</v>
      </c>
      <c r="J322">
        <v>46</v>
      </c>
      <c r="K322">
        <v>1</v>
      </c>
      <c r="L322" t="s">
        <v>845</v>
      </c>
      <c r="M322" t="s">
        <v>6</v>
      </c>
      <c r="N322" t="s">
        <v>255</v>
      </c>
      <c r="U322" s="8">
        <f t="shared" si="33"/>
        <v>1</v>
      </c>
      <c r="AD322" t="str">
        <f t="shared" ref="AD322:AD385" si="38">IF(K322="x","",IF(K322=1,"e","o"))</f>
        <v>e</v>
      </c>
      <c r="AE322" t="str">
        <f t="shared" si="36"/>
        <v>Faceoff</v>
      </c>
      <c r="AF322" t="str">
        <f t="shared" si="34"/>
        <v>Faceoff_AfterStoppage</v>
      </c>
      <c r="AG322" t="str">
        <f t="shared" si="35"/>
        <v/>
      </c>
      <c r="AN322" t="str">
        <f t="shared" si="37"/>
        <v>Offensive</v>
      </c>
      <c r="BD322" s="23"/>
      <c r="BF322" s="21"/>
    </row>
    <row r="323" spans="1:58" x14ac:dyDescent="0.2">
      <c r="A323">
        <v>166</v>
      </c>
      <c r="J323">
        <v>92</v>
      </c>
      <c r="K323">
        <v>1</v>
      </c>
      <c r="U323" s="8">
        <f t="shared" ref="U323:U386" si="39">IF(M323="Intermission",U322+1,U322)</f>
        <v>1</v>
      </c>
      <c r="AD323" t="str">
        <f t="shared" si="38"/>
        <v>e</v>
      </c>
      <c r="AE323" t="str">
        <f t="shared" si="36"/>
        <v>Faceoff</v>
      </c>
      <c r="AF323" t="str">
        <f t="shared" ref="AF323:AF386" si="40">IF(N323&lt;&gt;"",N323,IF($A323=$A322,AF322,""))</f>
        <v>Faceoff_AfterStoppage</v>
      </c>
      <c r="AG323" t="str">
        <f t="shared" ref="AG323:AG386" si="41">IF(O323&lt;&gt;"",O323,IF($A323=$A322,AG322,""))</f>
        <v/>
      </c>
      <c r="AN323" t="str">
        <f t="shared" si="37"/>
        <v>Offensive</v>
      </c>
      <c r="BD323" s="23"/>
      <c r="BF323" s="21"/>
    </row>
    <row r="324" spans="1:58" x14ac:dyDescent="0.2">
      <c r="A324">
        <v>166</v>
      </c>
      <c r="J324">
        <v>70</v>
      </c>
      <c r="U324" s="8">
        <f t="shared" si="39"/>
        <v>1</v>
      </c>
      <c r="AD324" t="str">
        <f t="shared" si="38"/>
        <v>o</v>
      </c>
      <c r="AE324" t="str">
        <f t="shared" ref="AE324:AE387" si="42">IF(M324&lt;&gt;"",M324,IF($A324=$A323,AE323,""))</f>
        <v>Faceoff</v>
      </c>
      <c r="AF324" t="str">
        <f t="shared" si="40"/>
        <v>Faceoff_AfterStoppage</v>
      </c>
      <c r="AG324" t="str">
        <f t="shared" si="41"/>
        <v/>
      </c>
      <c r="AN324" t="str">
        <f t="shared" si="37"/>
        <v>Defensive</v>
      </c>
      <c r="BD324" s="23"/>
      <c r="BF324" s="21"/>
    </row>
    <row r="325" spans="1:58" x14ac:dyDescent="0.2">
      <c r="A325">
        <v>167</v>
      </c>
      <c r="E325" s="5" t="s">
        <v>898</v>
      </c>
      <c r="F325" s="5" t="s">
        <v>894</v>
      </c>
      <c r="G325" s="5" t="s">
        <v>898</v>
      </c>
      <c r="H325" s="7" t="s">
        <v>446</v>
      </c>
      <c r="I325" t="s">
        <v>840</v>
      </c>
      <c r="J325">
        <v>92</v>
      </c>
      <c r="K325">
        <v>1</v>
      </c>
      <c r="L325" t="s">
        <v>845</v>
      </c>
      <c r="M325" t="s">
        <v>257</v>
      </c>
      <c r="N325" t="s">
        <v>201</v>
      </c>
      <c r="O325" t="s">
        <v>90</v>
      </c>
      <c r="P325" t="s">
        <v>689</v>
      </c>
      <c r="U325" s="8">
        <f t="shared" si="39"/>
        <v>1</v>
      </c>
      <c r="AD325" t="str">
        <f t="shared" si="38"/>
        <v>e</v>
      </c>
      <c r="AE325" t="str">
        <f t="shared" si="42"/>
        <v>Zone_Entry_Exit</v>
      </c>
      <c r="AF325" t="str">
        <f t="shared" si="40"/>
        <v>Zone_Exit</v>
      </c>
      <c r="AG325" t="str">
        <f t="shared" si="41"/>
        <v>ZoneExit-Rush</v>
      </c>
      <c r="AN325" t="str">
        <f t="shared" si="37"/>
        <v>Offensive</v>
      </c>
      <c r="BD325" s="23"/>
      <c r="BF325" s="21"/>
    </row>
    <row r="326" spans="1:58" x14ac:dyDescent="0.2">
      <c r="A326">
        <v>168</v>
      </c>
      <c r="E326" s="5" t="s">
        <v>898</v>
      </c>
      <c r="F326" s="5" t="s">
        <v>446</v>
      </c>
      <c r="G326" s="5" t="s">
        <v>866</v>
      </c>
      <c r="H326" s="7" t="s">
        <v>837</v>
      </c>
      <c r="I326" t="s">
        <v>840</v>
      </c>
      <c r="J326">
        <v>92</v>
      </c>
      <c r="K326">
        <v>1</v>
      </c>
      <c r="L326" t="s">
        <v>839</v>
      </c>
      <c r="M326" t="s">
        <v>15</v>
      </c>
      <c r="U326" s="8">
        <f t="shared" si="39"/>
        <v>1</v>
      </c>
      <c r="AD326" t="str">
        <f t="shared" si="38"/>
        <v>e</v>
      </c>
      <c r="AE326" t="str">
        <f t="shared" si="42"/>
        <v>Possession</v>
      </c>
      <c r="AF326" t="str">
        <f t="shared" si="40"/>
        <v/>
      </c>
      <c r="AG326" t="str">
        <f t="shared" si="41"/>
        <v/>
      </c>
      <c r="AN326" t="str">
        <f t="shared" si="37"/>
        <v>Offensive</v>
      </c>
      <c r="BD326" s="23"/>
      <c r="BF326" s="21"/>
    </row>
    <row r="327" spans="1:58" x14ac:dyDescent="0.2">
      <c r="A327">
        <v>169</v>
      </c>
      <c r="E327" s="5" t="s">
        <v>866</v>
      </c>
      <c r="F327" s="5" t="s">
        <v>837</v>
      </c>
      <c r="G327" s="5" t="s">
        <v>866</v>
      </c>
      <c r="H327" s="7" t="s">
        <v>838</v>
      </c>
      <c r="I327" t="s">
        <v>840</v>
      </c>
      <c r="J327">
        <v>92</v>
      </c>
      <c r="K327">
        <v>1</v>
      </c>
      <c r="L327" t="s">
        <v>401</v>
      </c>
      <c r="M327" t="s">
        <v>257</v>
      </c>
      <c r="N327" t="s">
        <v>191</v>
      </c>
      <c r="O327" t="s">
        <v>87</v>
      </c>
      <c r="P327" t="s">
        <v>689</v>
      </c>
      <c r="Q327" t="s">
        <v>702</v>
      </c>
      <c r="S327" t="s">
        <v>689</v>
      </c>
      <c r="T327">
        <v>1</v>
      </c>
      <c r="U327" s="8">
        <f t="shared" si="39"/>
        <v>1</v>
      </c>
      <c r="AD327" t="str">
        <f t="shared" si="38"/>
        <v>e</v>
      </c>
      <c r="AE327" t="str">
        <f t="shared" si="42"/>
        <v>Zone_Entry_Exit</v>
      </c>
      <c r="AF327" t="str">
        <f t="shared" si="40"/>
        <v>Zone_Entry</v>
      </c>
      <c r="AG327" t="str">
        <f t="shared" si="41"/>
        <v>ZoneEntry-Rush</v>
      </c>
      <c r="AN327" t="str">
        <f t="shared" si="37"/>
        <v>Offensive</v>
      </c>
      <c r="BD327" s="23"/>
      <c r="BF327" s="21"/>
    </row>
    <row r="328" spans="1:58" x14ac:dyDescent="0.2">
      <c r="A328">
        <v>169</v>
      </c>
      <c r="J328">
        <v>9</v>
      </c>
      <c r="Q328" t="s">
        <v>703</v>
      </c>
      <c r="S328" t="s">
        <v>688</v>
      </c>
      <c r="T328">
        <v>1</v>
      </c>
      <c r="U328" s="8">
        <f t="shared" si="39"/>
        <v>1</v>
      </c>
      <c r="AD328" t="str">
        <f t="shared" si="38"/>
        <v>o</v>
      </c>
      <c r="AE328" t="str">
        <f t="shared" si="42"/>
        <v>Zone_Entry_Exit</v>
      </c>
      <c r="AF328" t="str">
        <f t="shared" si="40"/>
        <v>Zone_Entry</v>
      </c>
      <c r="AG328" t="str">
        <f t="shared" si="41"/>
        <v>ZoneEntry-Rush</v>
      </c>
      <c r="AN328" t="str">
        <f t="shared" si="37"/>
        <v>Defensive</v>
      </c>
      <c r="BD328" s="23"/>
      <c r="BF328" s="21"/>
    </row>
    <row r="329" spans="1:58" x14ac:dyDescent="0.2">
      <c r="A329">
        <v>170</v>
      </c>
      <c r="E329" s="5" t="s">
        <v>866</v>
      </c>
      <c r="F329" s="5" t="s">
        <v>838</v>
      </c>
      <c r="I329" t="s">
        <v>840</v>
      </c>
      <c r="J329">
        <v>92</v>
      </c>
      <c r="K329">
        <v>1</v>
      </c>
      <c r="L329" t="s">
        <v>401</v>
      </c>
      <c r="M329" t="s">
        <v>8</v>
      </c>
      <c r="N329" t="s">
        <v>189</v>
      </c>
      <c r="O329" t="s">
        <v>69</v>
      </c>
      <c r="P329" t="s">
        <v>689</v>
      </c>
      <c r="U329" s="8">
        <f t="shared" si="39"/>
        <v>1</v>
      </c>
      <c r="AD329" t="str">
        <f t="shared" si="38"/>
        <v>e</v>
      </c>
      <c r="AE329" t="str">
        <f t="shared" si="42"/>
        <v>Pass</v>
      </c>
      <c r="AF329" t="str">
        <f t="shared" si="40"/>
        <v>Pass_Completed</v>
      </c>
      <c r="AG329" t="str">
        <f t="shared" si="41"/>
        <v>Pass-Backhand</v>
      </c>
      <c r="AN329" t="str">
        <f t="shared" ref="AN329:AN392" si="43">IF(AND(AD329="e",OR(AE329="Save",AF329="Turnover_Takeaway",AF329="Play_Defensive")),"Defensive",IF(AND(AD329="o",OR(AE329="Save",AF329="Turnover_Takeaway",AF329="Play_Defensive")),"Offensive",IF(OR(AE329="Deadice",AE329="Stoppage",AE329="Intermission"),"",IF(AD329="e","Offensive",IF(AD329="o","Defensive","")))))</f>
        <v>Offensive</v>
      </c>
      <c r="BD329" s="23"/>
      <c r="BF329" s="21"/>
    </row>
    <row r="330" spans="1:58" x14ac:dyDescent="0.2">
      <c r="A330">
        <v>170</v>
      </c>
      <c r="J330">
        <v>46</v>
      </c>
      <c r="K330">
        <v>1</v>
      </c>
      <c r="U330" s="8">
        <f t="shared" si="39"/>
        <v>1</v>
      </c>
      <c r="AD330" t="str">
        <f t="shared" si="38"/>
        <v>e</v>
      </c>
      <c r="AE330" t="str">
        <f t="shared" si="42"/>
        <v>Pass</v>
      </c>
      <c r="AF330" t="str">
        <f t="shared" si="40"/>
        <v>Pass_Completed</v>
      </c>
      <c r="AG330" t="str">
        <f t="shared" si="41"/>
        <v>Pass-Backhand</v>
      </c>
      <c r="AN330" t="str">
        <f t="shared" si="43"/>
        <v>Offensive</v>
      </c>
      <c r="BD330" s="23"/>
      <c r="BF330" s="21"/>
    </row>
    <row r="331" spans="1:58" x14ac:dyDescent="0.2">
      <c r="A331">
        <v>171</v>
      </c>
      <c r="B331">
        <v>30</v>
      </c>
      <c r="E331" s="5" t="s">
        <v>866</v>
      </c>
      <c r="F331" s="5" t="s">
        <v>895</v>
      </c>
      <c r="I331" t="s">
        <v>840</v>
      </c>
      <c r="J331">
        <v>46</v>
      </c>
      <c r="K331">
        <v>1</v>
      </c>
      <c r="L331" t="s">
        <v>401</v>
      </c>
      <c r="M331" t="s">
        <v>7</v>
      </c>
      <c r="N331" t="s">
        <v>222</v>
      </c>
      <c r="O331" t="s">
        <v>65</v>
      </c>
      <c r="P331" t="s">
        <v>689</v>
      </c>
      <c r="U331" s="8">
        <f t="shared" si="39"/>
        <v>1</v>
      </c>
      <c r="AD331" t="str">
        <f t="shared" si="38"/>
        <v>e</v>
      </c>
      <c r="AE331" t="str">
        <f t="shared" si="42"/>
        <v>Shot</v>
      </c>
      <c r="AF331" t="str">
        <f t="shared" si="40"/>
        <v>Shot_OnNetSaved</v>
      </c>
      <c r="AG331" t="str">
        <f t="shared" si="41"/>
        <v>Shot-OneTime</v>
      </c>
      <c r="AN331" t="str">
        <f t="shared" si="43"/>
        <v>Offensive</v>
      </c>
      <c r="BD331" s="23"/>
      <c r="BF331" s="21"/>
    </row>
    <row r="332" spans="1:58" x14ac:dyDescent="0.2">
      <c r="A332">
        <v>171</v>
      </c>
      <c r="B332">
        <v>30</v>
      </c>
      <c r="J332">
        <v>39</v>
      </c>
      <c r="U332" s="8">
        <f t="shared" si="39"/>
        <v>1</v>
      </c>
      <c r="AD332" t="str">
        <f t="shared" si="38"/>
        <v>o</v>
      </c>
      <c r="AE332" t="str">
        <f t="shared" si="42"/>
        <v>Shot</v>
      </c>
      <c r="AF332" t="str">
        <f t="shared" si="40"/>
        <v>Shot_OnNetSaved</v>
      </c>
      <c r="AG332" t="str">
        <f t="shared" si="41"/>
        <v>Shot-OneTime</v>
      </c>
      <c r="AN332" t="str">
        <f t="shared" si="43"/>
        <v>Defensive</v>
      </c>
      <c r="BD332" s="23"/>
      <c r="BF332" s="21"/>
    </row>
    <row r="333" spans="1:58" x14ac:dyDescent="0.2">
      <c r="A333">
        <v>172</v>
      </c>
      <c r="B333">
        <v>30</v>
      </c>
      <c r="E333" s="5" t="s">
        <v>866</v>
      </c>
      <c r="F333" s="5" t="s">
        <v>895</v>
      </c>
      <c r="I333" t="s">
        <v>835</v>
      </c>
      <c r="J333">
        <v>39</v>
      </c>
      <c r="K333">
        <v>1</v>
      </c>
      <c r="L333" t="s">
        <v>845</v>
      </c>
      <c r="M333" t="s">
        <v>17</v>
      </c>
      <c r="N333" t="s">
        <v>196</v>
      </c>
      <c r="O333" t="s">
        <v>99</v>
      </c>
      <c r="U333" s="8">
        <f t="shared" si="39"/>
        <v>1</v>
      </c>
      <c r="AD333" t="str">
        <f t="shared" si="38"/>
        <v>e</v>
      </c>
      <c r="AE333" t="str">
        <f t="shared" si="42"/>
        <v>Save</v>
      </c>
      <c r="AF333" t="str">
        <f t="shared" si="40"/>
        <v>Save_Rebound</v>
      </c>
      <c r="AG333" t="str">
        <f t="shared" si="41"/>
        <v>Save-RightPad</v>
      </c>
      <c r="AN333" t="str">
        <f t="shared" si="43"/>
        <v>Defensive</v>
      </c>
      <c r="BD333" s="23"/>
      <c r="BF333" s="21"/>
    </row>
    <row r="334" spans="1:58" x14ac:dyDescent="0.2">
      <c r="A334">
        <v>172</v>
      </c>
      <c r="B334">
        <v>30</v>
      </c>
      <c r="J334">
        <v>46</v>
      </c>
      <c r="U334" s="8">
        <f t="shared" si="39"/>
        <v>1</v>
      </c>
      <c r="AD334" t="str">
        <f t="shared" si="38"/>
        <v>o</v>
      </c>
      <c r="AE334" t="str">
        <f t="shared" si="42"/>
        <v>Save</v>
      </c>
      <c r="AF334" t="str">
        <f t="shared" si="40"/>
        <v>Save_Rebound</v>
      </c>
      <c r="AG334" t="str">
        <f t="shared" si="41"/>
        <v>Save-RightPad</v>
      </c>
      <c r="AN334" t="str">
        <f t="shared" si="43"/>
        <v>Offensive</v>
      </c>
      <c r="BD334" s="23"/>
      <c r="BF334" s="21"/>
    </row>
    <row r="335" spans="1:58" x14ac:dyDescent="0.2">
      <c r="A335">
        <v>173</v>
      </c>
      <c r="B335">
        <v>30</v>
      </c>
      <c r="E335" s="5" t="s">
        <v>866</v>
      </c>
      <c r="F335" s="5" t="s">
        <v>895</v>
      </c>
      <c r="I335" t="s">
        <v>835</v>
      </c>
      <c r="J335">
        <v>39</v>
      </c>
      <c r="K335">
        <v>1</v>
      </c>
      <c r="L335" t="s">
        <v>845</v>
      </c>
      <c r="M335" t="s">
        <v>250</v>
      </c>
      <c r="N335" t="s">
        <v>252</v>
      </c>
      <c r="U335" s="8">
        <f t="shared" si="39"/>
        <v>1</v>
      </c>
      <c r="AD335" t="str">
        <f t="shared" si="38"/>
        <v>e</v>
      </c>
      <c r="AE335" t="str">
        <f t="shared" si="42"/>
        <v>Rebound</v>
      </c>
      <c r="AF335" t="str">
        <f t="shared" si="40"/>
        <v>Rebound_OppTeamRecovered</v>
      </c>
      <c r="AG335" t="str">
        <f t="shared" si="41"/>
        <v/>
      </c>
      <c r="AN335" t="str">
        <f t="shared" si="43"/>
        <v>Offensive</v>
      </c>
      <c r="BD335" s="23"/>
      <c r="BF335" s="21"/>
    </row>
    <row r="336" spans="1:58" x14ac:dyDescent="0.2">
      <c r="A336">
        <v>174</v>
      </c>
      <c r="E336" s="5" t="s">
        <v>866</v>
      </c>
      <c r="F336" s="5" t="s">
        <v>874</v>
      </c>
      <c r="I336" t="s">
        <v>840</v>
      </c>
      <c r="J336">
        <v>92</v>
      </c>
      <c r="K336">
        <v>1</v>
      </c>
      <c r="L336" t="s">
        <v>401</v>
      </c>
      <c r="M336" t="s">
        <v>15</v>
      </c>
      <c r="N336" t="s">
        <v>681</v>
      </c>
      <c r="P336" t="s">
        <v>688</v>
      </c>
      <c r="Q336" t="s">
        <v>705</v>
      </c>
      <c r="S336" t="s">
        <v>688</v>
      </c>
      <c r="U336" s="8">
        <f t="shared" si="39"/>
        <v>1</v>
      </c>
      <c r="AD336" t="str">
        <f t="shared" si="38"/>
        <v>e</v>
      </c>
      <c r="AE336" t="str">
        <f t="shared" si="42"/>
        <v>Possession</v>
      </c>
      <c r="AF336" t="str">
        <f t="shared" si="40"/>
        <v>PuckRecovery</v>
      </c>
      <c r="AG336" t="str">
        <f t="shared" si="41"/>
        <v/>
      </c>
      <c r="AN336" t="str">
        <f t="shared" si="43"/>
        <v>Offensive</v>
      </c>
      <c r="BD336" s="23"/>
      <c r="BF336" s="21"/>
    </row>
    <row r="337" spans="1:58" x14ac:dyDescent="0.2">
      <c r="A337">
        <v>175</v>
      </c>
      <c r="E337" s="5" t="s">
        <v>866</v>
      </c>
      <c r="F337" s="5" t="s">
        <v>841</v>
      </c>
      <c r="I337" t="s">
        <v>840</v>
      </c>
      <c r="J337">
        <v>92</v>
      </c>
      <c r="K337">
        <v>1</v>
      </c>
      <c r="L337" t="s">
        <v>401</v>
      </c>
      <c r="M337" t="s">
        <v>8</v>
      </c>
      <c r="N337" t="s">
        <v>189</v>
      </c>
      <c r="O337" t="s">
        <v>70</v>
      </c>
      <c r="P337" t="s">
        <v>688</v>
      </c>
      <c r="Q337" t="s">
        <v>749</v>
      </c>
      <c r="S337" t="s">
        <v>688</v>
      </c>
      <c r="T337">
        <v>1</v>
      </c>
      <c r="U337" s="8">
        <f t="shared" si="39"/>
        <v>1</v>
      </c>
      <c r="AD337" t="str">
        <f t="shared" si="38"/>
        <v>e</v>
      </c>
      <c r="AE337" t="str">
        <f t="shared" si="42"/>
        <v>Pass</v>
      </c>
      <c r="AF337" t="str">
        <f t="shared" si="40"/>
        <v>Pass_Completed</v>
      </c>
      <c r="AG337" t="str">
        <f t="shared" si="41"/>
        <v>Pass-Forehand</v>
      </c>
      <c r="AN337" t="str">
        <f t="shared" si="43"/>
        <v>Offensive</v>
      </c>
      <c r="BD337" s="23"/>
      <c r="BF337" s="21"/>
    </row>
    <row r="338" spans="1:58" x14ac:dyDescent="0.2">
      <c r="A338">
        <v>175</v>
      </c>
      <c r="J338">
        <v>9</v>
      </c>
      <c r="K338">
        <v>1</v>
      </c>
      <c r="U338" s="8">
        <f t="shared" si="39"/>
        <v>1</v>
      </c>
      <c r="AD338" t="str">
        <f t="shared" si="38"/>
        <v>e</v>
      </c>
      <c r="AE338" t="str">
        <f t="shared" si="42"/>
        <v>Pass</v>
      </c>
      <c r="AF338" t="str">
        <f t="shared" si="40"/>
        <v>Pass_Completed</v>
      </c>
      <c r="AG338" t="str">
        <f t="shared" si="41"/>
        <v>Pass-Forehand</v>
      </c>
      <c r="AN338" t="str">
        <f t="shared" si="43"/>
        <v>Offensive</v>
      </c>
      <c r="BD338" s="23"/>
      <c r="BF338" s="21"/>
    </row>
    <row r="339" spans="1:58" x14ac:dyDescent="0.2">
      <c r="A339">
        <v>175</v>
      </c>
      <c r="J339">
        <v>70</v>
      </c>
      <c r="T339">
        <v>1</v>
      </c>
      <c r="U339" s="8">
        <f t="shared" si="39"/>
        <v>1</v>
      </c>
      <c r="AD339" t="str">
        <f t="shared" si="38"/>
        <v>o</v>
      </c>
      <c r="AE339" t="str">
        <f t="shared" si="42"/>
        <v>Pass</v>
      </c>
      <c r="AF339" t="str">
        <f t="shared" si="40"/>
        <v>Pass_Completed</v>
      </c>
      <c r="AG339" t="str">
        <f t="shared" si="41"/>
        <v>Pass-Forehand</v>
      </c>
      <c r="AN339" t="str">
        <f t="shared" si="43"/>
        <v>Defensive</v>
      </c>
      <c r="BD339" s="23"/>
      <c r="BF339" s="21"/>
    </row>
    <row r="340" spans="1:58" x14ac:dyDescent="0.2">
      <c r="A340">
        <v>176</v>
      </c>
      <c r="E340" s="5" t="s">
        <v>866</v>
      </c>
      <c r="F340" s="5" t="s">
        <v>886</v>
      </c>
      <c r="I340" t="s">
        <v>840</v>
      </c>
      <c r="J340">
        <v>94</v>
      </c>
      <c r="K340">
        <v>1</v>
      </c>
      <c r="L340" t="s">
        <v>401</v>
      </c>
      <c r="M340" t="s">
        <v>15</v>
      </c>
      <c r="N340" t="s">
        <v>681</v>
      </c>
      <c r="P340" t="s">
        <v>689</v>
      </c>
      <c r="Q340" t="s">
        <v>714</v>
      </c>
      <c r="S340" t="s">
        <v>689</v>
      </c>
      <c r="U340" s="8">
        <f t="shared" si="39"/>
        <v>1</v>
      </c>
      <c r="AD340" t="str">
        <f t="shared" si="38"/>
        <v>e</v>
      </c>
      <c r="AE340" t="str">
        <f t="shared" si="42"/>
        <v>Possession</v>
      </c>
      <c r="AF340" t="str">
        <f t="shared" si="40"/>
        <v>PuckRecovery</v>
      </c>
      <c r="AG340" t="str">
        <f t="shared" si="41"/>
        <v/>
      </c>
      <c r="AN340" t="str">
        <f t="shared" si="43"/>
        <v>Offensive</v>
      </c>
      <c r="BD340" s="23"/>
      <c r="BF340" s="21"/>
    </row>
    <row r="341" spans="1:58" x14ac:dyDescent="0.2">
      <c r="A341">
        <v>177</v>
      </c>
      <c r="E341" s="5" t="s">
        <v>866</v>
      </c>
      <c r="F341" s="5" t="s">
        <v>843</v>
      </c>
      <c r="I341" t="s">
        <v>840</v>
      </c>
      <c r="J341">
        <v>94</v>
      </c>
      <c r="K341">
        <v>1</v>
      </c>
      <c r="L341" t="s">
        <v>401</v>
      </c>
      <c r="M341" t="s">
        <v>247</v>
      </c>
      <c r="N341" t="s">
        <v>421</v>
      </c>
      <c r="O341" t="s">
        <v>464</v>
      </c>
      <c r="P341" t="s">
        <v>689</v>
      </c>
      <c r="Q341" t="s">
        <v>697</v>
      </c>
      <c r="S341" t="s">
        <v>689</v>
      </c>
      <c r="U341" s="8">
        <f t="shared" si="39"/>
        <v>1</v>
      </c>
      <c r="AD341" t="str">
        <f t="shared" si="38"/>
        <v>e</v>
      </c>
      <c r="AE341" t="str">
        <f t="shared" si="42"/>
        <v>Play</v>
      </c>
      <c r="AF341" t="str">
        <f t="shared" si="40"/>
        <v>Play_Offensive</v>
      </c>
      <c r="AG341" t="str">
        <f t="shared" si="41"/>
        <v>Play-Dump/RimInZone</v>
      </c>
      <c r="AN341" t="str">
        <f t="shared" si="43"/>
        <v>Offensive</v>
      </c>
      <c r="BD341" s="23"/>
      <c r="BF341" s="21"/>
    </row>
    <row r="342" spans="1:58" x14ac:dyDescent="0.2">
      <c r="A342">
        <v>178</v>
      </c>
      <c r="E342" s="5" t="s">
        <v>866</v>
      </c>
      <c r="F342" s="5" t="s">
        <v>876</v>
      </c>
      <c r="I342" t="s">
        <v>840</v>
      </c>
      <c r="J342">
        <v>46</v>
      </c>
      <c r="K342">
        <v>1</v>
      </c>
      <c r="L342" t="s">
        <v>401</v>
      </c>
      <c r="M342" t="s">
        <v>15</v>
      </c>
      <c r="N342" t="s">
        <v>681</v>
      </c>
      <c r="P342" t="s">
        <v>689</v>
      </c>
      <c r="Q342" t="s">
        <v>791</v>
      </c>
      <c r="S342" t="s">
        <v>689</v>
      </c>
      <c r="U342" s="8">
        <f t="shared" si="39"/>
        <v>1</v>
      </c>
      <c r="AD342" t="str">
        <f t="shared" si="38"/>
        <v>e</v>
      </c>
      <c r="AE342" t="str">
        <f t="shared" si="42"/>
        <v>Possession</v>
      </c>
      <c r="AF342" t="str">
        <f t="shared" si="40"/>
        <v>PuckRecovery</v>
      </c>
      <c r="AG342" t="str">
        <f t="shared" si="41"/>
        <v/>
      </c>
      <c r="AN342" t="str">
        <f t="shared" si="43"/>
        <v>Offensive</v>
      </c>
      <c r="BD342" s="23"/>
      <c r="BF342" s="21"/>
    </row>
    <row r="343" spans="1:58" x14ac:dyDescent="0.2">
      <c r="A343">
        <v>179</v>
      </c>
      <c r="E343" s="5" t="s">
        <v>866</v>
      </c>
      <c r="F343" s="5" t="s">
        <v>846</v>
      </c>
      <c r="I343" t="s">
        <v>840</v>
      </c>
      <c r="J343">
        <v>46</v>
      </c>
      <c r="K343">
        <v>1</v>
      </c>
      <c r="L343" t="s">
        <v>401</v>
      </c>
      <c r="M343" t="s">
        <v>8</v>
      </c>
      <c r="N343" t="s">
        <v>189</v>
      </c>
      <c r="O343" t="s">
        <v>70</v>
      </c>
      <c r="P343" t="s">
        <v>689</v>
      </c>
      <c r="U343" s="8">
        <f t="shared" si="39"/>
        <v>1</v>
      </c>
      <c r="AD343" t="str">
        <f t="shared" si="38"/>
        <v>e</v>
      </c>
      <c r="AE343" t="str">
        <f t="shared" si="42"/>
        <v>Pass</v>
      </c>
      <c r="AF343" t="str">
        <f t="shared" si="40"/>
        <v>Pass_Completed</v>
      </c>
      <c r="AG343" t="str">
        <f t="shared" si="41"/>
        <v>Pass-Forehand</v>
      </c>
      <c r="AN343" t="str">
        <f t="shared" si="43"/>
        <v>Offensive</v>
      </c>
      <c r="BD343" s="23"/>
      <c r="BF343" s="21"/>
    </row>
    <row r="344" spans="1:58" x14ac:dyDescent="0.2">
      <c r="A344">
        <v>179</v>
      </c>
      <c r="J344">
        <v>92</v>
      </c>
      <c r="K344">
        <v>1</v>
      </c>
      <c r="U344" s="8">
        <f t="shared" si="39"/>
        <v>1</v>
      </c>
      <c r="AD344" t="str">
        <f t="shared" si="38"/>
        <v>e</v>
      </c>
      <c r="AE344" t="str">
        <f t="shared" si="42"/>
        <v>Pass</v>
      </c>
      <c r="AF344" t="str">
        <f t="shared" si="40"/>
        <v>Pass_Completed</v>
      </c>
      <c r="AG344" t="str">
        <f t="shared" si="41"/>
        <v>Pass-Forehand</v>
      </c>
      <c r="AN344" t="str">
        <f t="shared" si="43"/>
        <v>Offensive</v>
      </c>
      <c r="BD344" s="23"/>
      <c r="BF344" s="21"/>
    </row>
    <row r="345" spans="1:58" x14ac:dyDescent="0.2">
      <c r="A345">
        <v>180</v>
      </c>
      <c r="E345" s="5" t="s">
        <v>866</v>
      </c>
      <c r="F345" s="5" t="s">
        <v>844</v>
      </c>
      <c r="G345" s="5" t="s">
        <v>866</v>
      </c>
      <c r="H345" s="7" t="s">
        <v>847</v>
      </c>
      <c r="I345" t="s">
        <v>840</v>
      </c>
      <c r="J345">
        <v>92</v>
      </c>
      <c r="K345">
        <v>1</v>
      </c>
      <c r="L345" t="s">
        <v>401</v>
      </c>
      <c r="M345" t="s">
        <v>15</v>
      </c>
      <c r="Q345" t="s">
        <v>661</v>
      </c>
      <c r="T345">
        <v>1</v>
      </c>
      <c r="U345" s="8">
        <f t="shared" si="39"/>
        <v>1</v>
      </c>
      <c r="AD345" t="str">
        <f t="shared" si="38"/>
        <v>e</v>
      </c>
      <c r="AE345" t="str">
        <f t="shared" si="42"/>
        <v>Possession</v>
      </c>
      <c r="AF345" t="str">
        <f t="shared" si="40"/>
        <v/>
      </c>
      <c r="AG345" t="str">
        <f t="shared" si="41"/>
        <v/>
      </c>
      <c r="AN345" t="str">
        <f t="shared" si="43"/>
        <v>Offensive</v>
      </c>
      <c r="BD345" s="23"/>
      <c r="BF345" s="21"/>
    </row>
    <row r="346" spans="1:58" x14ac:dyDescent="0.2">
      <c r="A346">
        <v>180</v>
      </c>
      <c r="J346">
        <v>70</v>
      </c>
      <c r="T346">
        <v>1</v>
      </c>
      <c r="U346" s="8">
        <f t="shared" si="39"/>
        <v>1</v>
      </c>
      <c r="AD346" t="str">
        <f t="shared" si="38"/>
        <v>o</v>
      </c>
      <c r="AE346" t="str">
        <f t="shared" si="42"/>
        <v>Possession</v>
      </c>
      <c r="AF346" t="str">
        <f t="shared" si="40"/>
        <v/>
      </c>
      <c r="AG346" t="str">
        <f t="shared" si="41"/>
        <v/>
      </c>
      <c r="AN346" t="str">
        <f t="shared" si="43"/>
        <v>Defensive</v>
      </c>
      <c r="BD346" s="23"/>
      <c r="BF346" s="21"/>
    </row>
    <row r="347" spans="1:58" x14ac:dyDescent="0.2">
      <c r="A347">
        <v>181</v>
      </c>
      <c r="B347">
        <v>31</v>
      </c>
      <c r="E347" s="5" t="s">
        <v>866</v>
      </c>
      <c r="F347" s="5" t="s">
        <v>888</v>
      </c>
      <c r="I347" t="s">
        <v>840</v>
      </c>
      <c r="J347">
        <v>92</v>
      </c>
      <c r="K347">
        <v>1</v>
      </c>
      <c r="L347" t="s">
        <v>401</v>
      </c>
      <c r="M347" t="s">
        <v>7</v>
      </c>
      <c r="N347" t="s">
        <v>222</v>
      </c>
      <c r="O347" t="s">
        <v>53</v>
      </c>
      <c r="P347" t="s">
        <v>689</v>
      </c>
      <c r="T347">
        <v>1</v>
      </c>
      <c r="U347" s="8">
        <f t="shared" si="39"/>
        <v>1</v>
      </c>
      <c r="AD347" t="str">
        <f t="shared" si="38"/>
        <v>e</v>
      </c>
      <c r="AE347" t="str">
        <f t="shared" si="42"/>
        <v>Shot</v>
      </c>
      <c r="AF347" t="str">
        <f t="shared" si="40"/>
        <v>Shot_OnNetSaved</v>
      </c>
      <c r="AG347" t="str">
        <f t="shared" si="41"/>
        <v>Shot-Wrist</v>
      </c>
      <c r="AN347" t="str">
        <f t="shared" si="43"/>
        <v>Offensive</v>
      </c>
      <c r="BD347" s="23"/>
      <c r="BF347" s="21"/>
    </row>
    <row r="348" spans="1:58" x14ac:dyDescent="0.2">
      <c r="A348">
        <v>181</v>
      </c>
      <c r="B348">
        <v>31</v>
      </c>
      <c r="J348">
        <v>9</v>
      </c>
      <c r="K348">
        <v>1</v>
      </c>
      <c r="Q348" t="s">
        <v>779</v>
      </c>
      <c r="T348">
        <v>1</v>
      </c>
      <c r="U348" s="8">
        <f t="shared" si="39"/>
        <v>1</v>
      </c>
      <c r="AD348" t="str">
        <f t="shared" si="38"/>
        <v>e</v>
      </c>
      <c r="AE348" t="str">
        <f t="shared" si="42"/>
        <v>Shot</v>
      </c>
      <c r="AF348" t="str">
        <f t="shared" si="40"/>
        <v>Shot_OnNetSaved</v>
      </c>
      <c r="AG348" t="str">
        <f t="shared" si="41"/>
        <v>Shot-Wrist</v>
      </c>
      <c r="AN348" t="str">
        <f t="shared" si="43"/>
        <v>Offensive</v>
      </c>
      <c r="BD348" s="23"/>
      <c r="BF348" s="21"/>
    </row>
    <row r="349" spans="1:58" x14ac:dyDescent="0.2">
      <c r="A349">
        <v>181</v>
      </c>
      <c r="B349">
        <v>31</v>
      </c>
      <c r="J349">
        <v>39</v>
      </c>
      <c r="U349" s="8">
        <f t="shared" si="39"/>
        <v>1</v>
      </c>
      <c r="AD349" t="str">
        <f t="shared" si="38"/>
        <v>o</v>
      </c>
      <c r="AE349" t="str">
        <f t="shared" si="42"/>
        <v>Shot</v>
      </c>
      <c r="AF349" t="str">
        <f t="shared" si="40"/>
        <v>Shot_OnNetSaved</v>
      </c>
      <c r="AG349" t="str">
        <f t="shared" si="41"/>
        <v>Shot-Wrist</v>
      </c>
      <c r="AN349" t="str">
        <f t="shared" si="43"/>
        <v>Defensive</v>
      </c>
      <c r="BD349" s="23"/>
      <c r="BF349" s="21"/>
    </row>
    <row r="350" spans="1:58" x14ac:dyDescent="0.2">
      <c r="A350">
        <v>181</v>
      </c>
      <c r="B350">
        <v>31</v>
      </c>
      <c r="J350">
        <v>70</v>
      </c>
      <c r="Q350" t="s">
        <v>696</v>
      </c>
      <c r="T350">
        <v>1</v>
      </c>
      <c r="U350" s="8">
        <f t="shared" si="39"/>
        <v>1</v>
      </c>
      <c r="AD350" t="str">
        <f t="shared" si="38"/>
        <v>o</v>
      </c>
      <c r="AE350" t="str">
        <f t="shared" si="42"/>
        <v>Shot</v>
      </c>
      <c r="AF350" t="str">
        <f t="shared" si="40"/>
        <v>Shot_OnNetSaved</v>
      </c>
      <c r="AG350" t="str">
        <f t="shared" si="41"/>
        <v>Shot-Wrist</v>
      </c>
      <c r="AN350" t="str">
        <f t="shared" si="43"/>
        <v>Defensive</v>
      </c>
      <c r="BD350" s="23"/>
      <c r="BF350" s="21"/>
    </row>
    <row r="351" spans="1:58" x14ac:dyDescent="0.2">
      <c r="A351">
        <v>181</v>
      </c>
      <c r="B351">
        <v>31</v>
      </c>
      <c r="J351">
        <v>84</v>
      </c>
      <c r="Q351" t="s">
        <v>745</v>
      </c>
      <c r="T351">
        <v>1</v>
      </c>
      <c r="U351" s="8">
        <f t="shared" si="39"/>
        <v>1</v>
      </c>
      <c r="AD351" t="str">
        <f t="shared" si="38"/>
        <v>o</v>
      </c>
      <c r="AE351" t="str">
        <f t="shared" si="42"/>
        <v>Shot</v>
      </c>
      <c r="AF351" t="str">
        <f t="shared" si="40"/>
        <v>Shot_OnNetSaved</v>
      </c>
      <c r="AG351" t="str">
        <f t="shared" si="41"/>
        <v>Shot-Wrist</v>
      </c>
      <c r="AN351" t="str">
        <f t="shared" si="43"/>
        <v>Defensive</v>
      </c>
      <c r="BD351" s="23"/>
      <c r="BF351" s="21"/>
    </row>
    <row r="352" spans="1:58" x14ac:dyDescent="0.2">
      <c r="A352">
        <v>182</v>
      </c>
      <c r="B352">
        <v>31</v>
      </c>
      <c r="E352" s="5" t="s">
        <v>866</v>
      </c>
      <c r="F352" s="5" t="s">
        <v>888</v>
      </c>
      <c r="I352" t="s">
        <v>835</v>
      </c>
      <c r="J352">
        <v>39</v>
      </c>
      <c r="K352">
        <v>1</v>
      </c>
      <c r="L352" t="s">
        <v>845</v>
      </c>
      <c r="U352" s="8">
        <f t="shared" si="39"/>
        <v>1</v>
      </c>
      <c r="AD352" t="str">
        <f t="shared" si="38"/>
        <v>e</v>
      </c>
      <c r="AE352" t="str">
        <f t="shared" si="42"/>
        <v/>
      </c>
      <c r="AF352" t="str">
        <f t="shared" si="40"/>
        <v/>
      </c>
      <c r="AG352" t="str">
        <f t="shared" si="41"/>
        <v/>
      </c>
      <c r="AN352" t="str">
        <f t="shared" si="43"/>
        <v>Offensive</v>
      </c>
      <c r="BD352" s="23"/>
      <c r="BF352" s="21"/>
    </row>
    <row r="353" spans="1:58" x14ac:dyDescent="0.2">
      <c r="A353">
        <v>182</v>
      </c>
      <c r="B353">
        <v>31</v>
      </c>
      <c r="J353">
        <v>70</v>
      </c>
      <c r="K353">
        <v>1</v>
      </c>
      <c r="Q353" t="s">
        <v>696</v>
      </c>
      <c r="T353">
        <v>1</v>
      </c>
      <c r="U353" s="8">
        <f t="shared" si="39"/>
        <v>1</v>
      </c>
      <c r="AD353" t="str">
        <f t="shared" si="38"/>
        <v>e</v>
      </c>
      <c r="AE353" t="str">
        <f t="shared" si="42"/>
        <v/>
      </c>
      <c r="AF353" t="str">
        <f t="shared" si="40"/>
        <v/>
      </c>
      <c r="AG353" t="str">
        <f t="shared" si="41"/>
        <v/>
      </c>
      <c r="AN353" t="str">
        <f t="shared" si="43"/>
        <v>Offensive</v>
      </c>
      <c r="BD353" s="23"/>
      <c r="BF353" s="21"/>
    </row>
    <row r="354" spans="1:58" x14ac:dyDescent="0.2">
      <c r="A354">
        <v>182</v>
      </c>
      <c r="B354">
        <v>31</v>
      </c>
      <c r="J354">
        <v>84</v>
      </c>
      <c r="K354">
        <v>1</v>
      </c>
      <c r="Q354" t="s">
        <v>745</v>
      </c>
      <c r="T354">
        <v>1</v>
      </c>
      <c r="U354" s="8">
        <f t="shared" si="39"/>
        <v>1</v>
      </c>
      <c r="AD354" t="str">
        <f t="shared" si="38"/>
        <v>e</v>
      </c>
      <c r="AE354" t="str">
        <f t="shared" si="42"/>
        <v/>
      </c>
      <c r="AF354" t="str">
        <f t="shared" si="40"/>
        <v/>
      </c>
      <c r="AG354" t="str">
        <f t="shared" si="41"/>
        <v/>
      </c>
      <c r="AN354" t="str">
        <f t="shared" si="43"/>
        <v>Offensive</v>
      </c>
      <c r="BD354" s="23"/>
      <c r="BF354" s="21"/>
    </row>
    <row r="355" spans="1:58" x14ac:dyDescent="0.2">
      <c r="A355">
        <v>182</v>
      </c>
      <c r="B355">
        <v>31</v>
      </c>
      <c r="J355">
        <v>92</v>
      </c>
      <c r="M355" t="s">
        <v>7</v>
      </c>
      <c r="N355" t="s">
        <v>222</v>
      </c>
      <c r="O355" t="s">
        <v>53</v>
      </c>
      <c r="P355" t="s">
        <v>689</v>
      </c>
      <c r="T355">
        <v>1</v>
      </c>
      <c r="U355" s="8">
        <f t="shared" si="39"/>
        <v>1</v>
      </c>
      <c r="AD355" t="str">
        <f t="shared" si="38"/>
        <v>o</v>
      </c>
      <c r="AE355" t="str">
        <f t="shared" si="42"/>
        <v>Shot</v>
      </c>
      <c r="AF355" t="str">
        <f t="shared" si="40"/>
        <v>Shot_OnNetSaved</v>
      </c>
      <c r="AG355" t="str">
        <f t="shared" si="41"/>
        <v>Shot-Wrist</v>
      </c>
      <c r="AN355" t="str">
        <f t="shared" si="43"/>
        <v>Defensive</v>
      </c>
      <c r="BD355" s="23"/>
      <c r="BF355" s="21"/>
    </row>
    <row r="356" spans="1:58" x14ac:dyDescent="0.2">
      <c r="A356">
        <v>182</v>
      </c>
      <c r="B356">
        <v>31</v>
      </c>
      <c r="J356">
        <v>9</v>
      </c>
      <c r="Q356" t="s">
        <v>779</v>
      </c>
      <c r="T356">
        <v>1</v>
      </c>
      <c r="U356" s="8">
        <f t="shared" si="39"/>
        <v>1</v>
      </c>
      <c r="AD356" t="str">
        <f t="shared" si="38"/>
        <v>o</v>
      </c>
      <c r="AE356" t="str">
        <f t="shared" si="42"/>
        <v>Shot</v>
      </c>
      <c r="AF356" t="str">
        <f t="shared" si="40"/>
        <v>Shot_OnNetSaved</v>
      </c>
      <c r="AG356" t="str">
        <f t="shared" si="41"/>
        <v>Shot-Wrist</v>
      </c>
      <c r="AN356" t="str">
        <f t="shared" si="43"/>
        <v>Defensive</v>
      </c>
      <c r="BD356" s="23"/>
      <c r="BF356" s="21"/>
    </row>
    <row r="357" spans="1:58" x14ac:dyDescent="0.2">
      <c r="A357">
        <v>183</v>
      </c>
      <c r="B357">
        <v>31</v>
      </c>
      <c r="E357" s="5" t="s">
        <v>866</v>
      </c>
      <c r="F357" s="5" t="s">
        <v>888</v>
      </c>
      <c r="I357" t="s">
        <v>835</v>
      </c>
      <c r="J357">
        <v>39</v>
      </c>
      <c r="K357">
        <v>1</v>
      </c>
      <c r="M357" t="s">
        <v>250</v>
      </c>
      <c r="N357" t="s">
        <v>252</v>
      </c>
      <c r="U357" s="8">
        <f t="shared" si="39"/>
        <v>1</v>
      </c>
      <c r="AD357" t="str">
        <f t="shared" si="38"/>
        <v>e</v>
      </c>
      <c r="AE357" t="str">
        <f t="shared" si="42"/>
        <v>Rebound</v>
      </c>
      <c r="AF357" t="str">
        <f t="shared" si="40"/>
        <v>Rebound_OppTeamRecovered</v>
      </c>
      <c r="AG357" t="str">
        <f t="shared" si="41"/>
        <v/>
      </c>
      <c r="AN357" t="str">
        <f t="shared" si="43"/>
        <v>Offensive</v>
      </c>
      <c r="BD357" s="23"/>
      <c r="BF357" s="21"/>
    </row>
    <row r="358" spans="1:58" x14ac:dyDescent="0.2">
      <c r="A358">
        <v>184</v>
      </c>
      <c r="E358" s="5" t="s">
        <v>866</v>
      </c>
      <c r="F358" s="5" t="s">
        <v>878</v>
      </c>
      <c r="I358" t="s">
        <v>840</v>
      </c>
      <c r="J358">
        <v>92</v>
      </c>
      <c r="K358">
        <v>1</v>
      </c>
      <c r="L358" t="s">
        <v>401</v>
      </c>
      <c r="M358" t="s">
        <v>15</v>
      </c>
      <c r="N358" t="s">
        <v>681</v>
      </c>
      <c r="P358" t="s">
        <v>688</v>
      </c>
      <c r="Q358" t="s">
        <v>705</v>
      </c>
      <c r="S358" t="s">
        <v>688</v>
      </c>
      <c r="T358">
        <v>1</v>
      </c>
      <c r="U358" s="8">
        <f t="shared" si="39"/>
        <v>1</v>
      </c>
      <c r="AD358" t="str">
        <f t="shared" si="38"/>
        <v>e</v>
      </c>
      <c r="AE358" t="str">
        <f t="shared" si="42"/>
        <v>Possession</v>
      </c>
      <c r="AF358" t="str">
        <f t="shared" si="40"/>
        <v>PuckRecovery</v>
      </c>
      <c r="AG358" t="str">
        <f t="shared" si="41"/>
        <v/>
      </c>
      <c r="AN358" t="str">
        <f t="shared" si="43"/>
        <v>Offensive</v>
      </c>
      <c r="BD358" s="23"/>
      <c r="BF358" s="21"/>
    </row>
    <row r="359" spans="1:58" x14ac:dyDescent="0.2">
      <c r="A359">
        <v>184</v>
      </c>
      <c r="J359">
        <v>70</v>
      </c>
      <c r="T359">
        <v>1</v>
      </c>
      <c r="U359" s="8">
        <f t="shared" si="39"/>
        <v>1</v>
      </c>
      <c r="AD359" t="str">
        <f t="shared" si="38"/>
        <v>o</v>
      </c>
      <c r="AE359" t="str">
        <f t="shared" si="42"/>
        <v>Possession</v>
      </c>
      <c r="AF359" t="str">
        <f t="shared" si="40"/>
        <v>PuckRecovery</v>
      </c>
      <c r="AG359" t="str">
        <f t="shared" si="41"/>
        <v/>
      </c>
      <c r="AN359" t="str">
        <f t="shared" si="43"/>
        <v>Defensive</v>
      </c>
      <c r="BD359" s="23"/>
      <c r="BF359" s="21"/>
    </row>
    <row r="360" spans="1:58" x14ac:dyDescent="0.2">
      <c r="A360">
        <v>185</v>
      </c>
      <c r="E360" s="5" t="s">
        <v>866</v>
      </c>
      <c r="F360" s="5" t="s">
        <v>878</v>
      </c>
      <c r="I360" t="s">
        <v>840</v>
      </c>
      <c r="J360">
        <v>92</v>
      </c>
      <c r="K360">
        <v>1</v>
      </c>
      <c r="L360" t="s">
        <v>401</v>
      </c>
      <c r="M360" t="s">
        <v>10</v>
      </c>
      <c r="N360" t="s">
        <v>190</v>
      </c>
      <c r="O360" t="s">
        <v>424</v>
      </c>
      <c r="P360" t="s">
        <v>688</v>
      </c>
      <c r="Q360" t="s">
        <v>664</v>
      </c>
      <c r="S360" t="s">
        <v>688</v>
      </c>
      <c r="T360">
        <v>1</v>
      </c>
      <c r="U360" s="8">
        <f t="shared" si="39"/>
        <v>1</v>
      </c>
      <c r="AD360" t="str">
        <f t="shared" si="38"/>
        <v>e</v>
      </c>
      <c r="AE360" t="str">
        <f t="shared" si="42"/>
        <v>Turnover</v>
      </c>
      <c r="AF360" t="str">
        <f t="shared" si="40"/>
        <v>Turnover_Giveaway</v>
      </c>
      <c r="AG360" t="str">
        <f t="shared" si="41"/>
        <v>Giveaway-DumpInZone</v>
      </c>
      <c r="AN360" t="str">
        <f t="shared" si="43"/>
        <v>Offensive</v>
      </c>
      <c r="BD360" s="23"/>
      <c r="BF360" s="21"/>
    </row>
    <row r="361" spans="1:58" x14ac:dyDescent="0.2">
      <c r="A361">
        <v>185</v>
      </c>
      <c r="J361">
        <v>70</v>
      </c>
      <c r="T361">
        <v>1</v>
      </c>
      <c r="U361" s="8">
        <f t="shared" si="39"/>
        <v>1</v>
      </c>
      <c r="AD361" t="str">
        <f t="shared" si="38"/>
        <v>o</v>
      </c>
      <c r="AE361" t="str">
        <f t="shared" si="42"/>
        <v>Turnover</v>
      </c>
      <c r="AF361" t="str">
        <f t="shared" si="40"/>
        <v>Turnover_Giveaway</v>
      </c>
      <c r="AG361" t="str">
        <f t="shared" si="41"/>
        <v>Giveaway-DumpInZone</v>
      </c>
      <c r="AN361" t="str">
        <f t="shared" si="43"/>
        <v>Defensive</v>
      </c>
      <c r="BD361" s="23"/>
      <c r="BF361" s="21"/>
    </row>
    <row r="362" spans="1:58" x14ac:dyDescent="0.2">
      <c r="A362">
        <v>186</v>
      </c>
      <c r="E362" s="5" t="s">
        <v>866</v>
      </c>
      <c r="F362" s="5" t="s">
        <v>880</v>
      </c>
      <c r="I362" t="s">
        <v>835</v>
      </c>
      <c r="J362">
        <v>9</v>
      </c>
      <c r="K362">
        <v>1</v>
      </c>
      <c r="L362" t="s">
        <v>845</v>
      </c>
      <c r="M362" t="s">
        <v>15</v>
      </c>
      <c r="N362" t="s">
        <v>680</v>
      </c>
      <c r="P362" t="s">
        <v>688</v>
      </c>
      <c r="Q362" t="s">
        <v>698</v>
      </c>
      <c r="S362" t="s">
        <v>688</v>
      </c>
      <c r="U362" s="8">
        <f t="shared" si="39"/>
        <v>1</v>
      </c>
      <c r="AD362" t="str">
        <f t="shared" si="38"/>
        <v>e</v>
      </c>
      <c r="AE362" t="str">
        <f t="shared" si="42"/>
        <v>Possession</v>
      </c>
      <c r="AF362" t="str">
        <f t="shared" si="40"/>
        <v>PuckRetrieval</v>
      </c>
      <c r="AG362" t="str">
        <f t="shared" si="41"/>
        <v/>
      </c>
      <c r="AN362" t="str">
        <f t="shared" si="43"/>
        <v>Offensive</v>
      </c>
      <c r="BD362" s="23"/>
      <c r="BF362" s="21"/>
    </row>
    <row r="363" spans="1:58" x14ac:dyDescent="0.2">
      <c r="A363">
        <v>187</v>
      </c>
      <c r="B363">
        <v>32</v>
      </c>
      <c r="E363" s="5" t="s">
        <v>866</v>
      </c>
      <c r="F363" s="5" t="s">
        <v>880</v>
      </c>
      <c r="I363" t="s">
        <v>835</v>
      </c>
      <c r="J363">
        <v>9</v>
      </c>
      <c r="K363">
        <v>1</v>
      </c>
      <c r="L363" t="s">
        <v>845</v>
      </c>
      <c r="M363" t="s">
        <v>13</v>
      </c>
      <c r="N363" t="s">
        <v>204</v>
      </c>
      <c r="O363" t="s">
        <v>108</v>
      </c>
      <c r="U363" s="8">
        <f t="shared" si="39"/>
        <v>1</v>
      </c>
      <c r="AD363" t="str">
        <f t="shared" si="38"/>
        <v>e</v>
      </c>
      <c r="AE363" t="str">
        <f t="shared" si="42"/>
        <v>Stoppage</v>
      </c>
      <c r="AF363" t="str">
        <f t="shared" si="40"/>
        <v>Stoppage_Play</v>
      </c>
      <c r="AG363" t="str">
        <f t="shared" si="41"/>
        <v>Stoppage-Icing</v>
      </c>
      <c r="AN363" t="str">
        <f t="shared" si="43"/>
        <v/>
      </c>
      <c r="BD363" s="23"/>
      <c r="BF363" s="21"/>
    </row>
    <row r="364" spans="1:58" x14ac:dyDescent="0.2">
      <c r="A364">
        <v>188</v>
      </c>
      <c r="B364">
        <v>32</v>
      </c>
      <c r="E364" s="5" t="s">
        <v>866</v>
      </c>
      <c r="F364" s="5" t="s">
        <v>850</v>
      </c>
      <c r="G364" s="5" t="s">
        <v>866</v>
      </c>
      <c r="H364" s="7" t="s">
        <v>865</v>
      </c>
      <c r="I364" t="s">
        <v>835</v>
      </c>
      <c r="J364">
        <v>9</v>
      </c>
      <c r="K364">
        <v>1</v>
      </c>
      <c r="L364" t="s">
        <v>845</v>
      </c>
      <c r="M364" t="s">
        <v>262</v>
      </c>
      <c r="U364" s="8">
        <f t="shared" si="39"/>
        <v>1</v>
      </c>
      <c r="AD364" t="str">
        <f t="shared" si="38"/>
        <v>e</v>
      </c>
      <c r="AE364" t="str">
        <f t="shared" si="42"/>
        <v>DeadIce</v>
      </c>
      <c r="AF364" t="str">
        <f t="shared" si="40"/>
        <v/>
      </c>
      <c r="AG364" t="str">
        <f t="shared" si="41"/>
        <v/>
      </c>
      <c r="AN364" t="str">
        <f t="shared" si="43"/>
        <v/>
      </c>
      <c r="BD364" s="23"/>
      <c r="BF364" s="21"/>
    </row>
    <row r="365" spans="1:58" x14ac:dyDescent="0.2">
      <c r="A365">
        <v>189</v>
      </c>
      <c r="E365" s="5" t="s">
        <v>866</v>
      </c>
      <c r="F365" s="5" t="s">
        <v>865</v>
      </c>
      <c r="I365" t="s">
        <v>840</v>
      </c>
      <c r="J365">
        <v>46</v>
      </c>
      <c r="K365">
        <v>1</v>
      </c>
      <c r="L365" t="s">
        <v>401</v>
      </c>
      <c r="M365" t="s">
        <v>6</v>
      </c>
      <c r="N365" t="s">
        <v>255</v>
      </c>
      <c r="U365" s="8">
        <f t="shared" si="39"/>
        <v>1</v>
      </c>
      <c r="AD365" t="str">
        <f t="shared" si="38"/>
        <v>e</v>
      </c>
      <c r="AE365" t="str">
        <f t="shared" si="42"/>
        <v>Faceoff</v>
      </c>
      <c r="AF365" t="str">
        <f t="shared" si="40"/>
        <v>Faceoff_AfterStoppage</v>
      </c>
      <c r="AG365" t="str">
        <f t="shared" si="41"/>
        <v/>
      </c>
      <c r="AN365" t="str">
        <f t="shared" si="43"/>
        <v>Offensive</v>
      </c>
      <c r="BD365" s="23"/>
      <c r="BF365" s="21"/>
    </row>
    <row r="366" spans="1:58" x14ac:dyDescent="0.2">
      <c r="A366">
        <v>189</v>
      </c>
      <c r="J366">
        <v>9</v>
      </c>
      <c r="K366">
        <v>1</v>
      </c>
      <c r="U366" s="8">
        <f t="shared" si="39"/>
        <v>1</v>
      </c>
      <c r="AD366" t="str">
        <f t="shared" si="38"/>
        <v>e</v>
      </c>
      <c r="AE366" t="str">
        <f t="shared" si="42"/>
        <v>Faceoff</v>
      </c>
      <c r="AF366" t="str">
        <f t="shared" si="40"/>
        <v>Faceoff_AfterStoppage</v>
      </c>
      <c r="AG366" t="str">
        <f t="shared" si="41"/>
        <v/>
      </c>
      <c r="AN366" t="str">
        <f t="shared" si="43"/>
        <v>Offensive</v>
      </c>
      <c r="BD366" s="23"/>
      <c r="BF366" s="21"/>
    </row>
    <row r="367" spans="1:58" x14ac:dyDescent="0.2">
      <c r="A367">
        <v>189</v>
      </c>
      <c r="J367">
        <v>70</v>
      </c>
      <c r="U367" s="8">
        <f t="shared" si="39"/>
        <v>1</v>
      </c>
      <c r="AD367" t="str">
        <f t="shared" si="38"/>
        <v>o</v>
      </c>
      <c r="AE367" t="str">
        <f t="shared" si="42"/>
        <v>Faceoff</v>
      </c>
      <c r="AF367" t="str">
        <f t="shared" si="40"/>
        <v>Faceoff_AfterStoppage</v>
      </c>
      <c r="AG367" t="str">
        <f t="shared" si="41"/>
        <v/>
      </c>
      <c r="AN367" t="str">
        <f t="shared" si="43"/>
        <v>Defensive</v>
      </c>
      <c r="BD367" s="23"/>
      <c r="BF367" s="21"/>
    </row>
    <row r="368" spans="1:58" x14ac:dyDescent="0.2">
      <c r="A368">
        <v>190</v>
      </c>
      <c r="E368" s="5" t="s">
        <v>866</v>
      </c>
      <c r="F368" s="5" t="s">
        <v>898</v>
      </c>
      <c r="I368" t="s">
        <v>840</v>
      </c>
      <c r="J368">
        <v>9</v>
      </c>
      <c r="K368">
        <v>1</v>
      </c>
      <c r="L368" t="s">
        <v>401</v>
      </c>
      <c r="M368" t="s">
        <v>8</v>
      </c>
      <c r="N368" t="s">
        <v>189</v>
      </c>
      <c r="O368" t="s">
        <v>70</v>
      </c>
      <c r="P368" t="s">
        <v>689</v>
      </c>
      <c r="Q368" t="s">
        <v>749</v>
      </c>
      <c r="S368" t="s">
        <v>689</v>
      </c>
      <c r="U368" s="8">
        <f t="shared" si="39"/>
        <v>1</v>
      </c>
      <c r="AD368" t="str">
        <f t="shared" si="38"/>
        <v>e</v>
      </c>
      <c r="AE368" t="str">
        <f t="shared" si="42"/>
        <v>Pass</v>
      </c>
      <c r="AF368" t="str">
        <f t="shared" si="40"/>
        <v>Pass_Completed</v>
      </c>
      <c r="AG368" t="str">
        <f t="shared" si="41"/>
        <v>Pass-Forehand</v>
      </c>
      <c r="AN368" t="str">
        <f t="shared" si="43"/>
        <v>Offensive</v>
      </c>
      <c r="BD368" s="23"/>
      <c r="BF368" s="21"/>
    </row>
    <row r="369" spans="1:58" x14ac:dyDescent="0.2">
      <c r="A369">
        <v>190</v>
      </c>
      <c r="J369">
        <v>17</v>
      </c>
      <c r="K369">
        <v>1</v>
      </c>
      <c r="U369" s="8">
        <f t="shared" si="39"/>
        <v>1</v>
      </c>
      <c r="AD369" t="str">
        <f t="shared" si="38"/>
        <v>e</v>
      </c>
      <c r="AE369" t="str">
        <f t="shared" si="42"/>
        <v>Pass</v>
      </c>
      <c r="AF369" t="str">
        <f t="shared" si="40"/>
        <v>Pass_Completed</v>
      </c>
      <c r="AG369" t="str">
        <f t="shared" si="41"/>
        <v>Pass-Forehand</v>
      </c>
      <c r="AN369" t="str">
        <f t="shared" si="43"/>
        <v>Offensive</v>
      </c>
      <c r="BD369" s="23"/>
      <c r="BF369" s="21"/>
    </row>
    <row r="370" spans="1:58" x14ac:dyDescent="0.2">
      <c r="A370">
        <v>191</v>
      </c>
      <c r="E370" s="5" t="s">
        <v>866</v>
      </c>
      <c r="F370" s="5" t="s">
        <v>866</v>
      </c>
      <c r="G370" s="5" t="s">
        <v>866</v>
      </c>
      <c r="H370" s="7" t="s">
        <v>891</v>
      </c>
      <c r="I370" t="s">
        <v>840</v>
      </c>
      <c r="J370">
        <v>17</v>
      </c>
      <c r="K370">
        <v>1</v>
      </c>
      <c r="L370" t="s">
        <v>401</v>
      </c>
      <c r="M370" t="s">
        <v>15</v>
      </c>
      <c r="U370" s="8">
        <f t="shared" si="39"/>
        <v>1</v>
      </c>
      <c r="AD370" t="str">
        <f t="shared" si="38"/>
        <v>e</v>
      </c>
      <c r="AE370" t="str">
        <f t="shared" si="42"/>
        <v>Possession</v>
      </c>
      <c r="AF370" t="str">
        <f t="shared" si="40"/>
        <v/>
      </c>
      <c r="AG370" t="str">
        <f t="shared" si="41"/>
        <v/>
      </c>
      <c r="AN370" t="str">
        <f t="shared" si="43"/>
        <v>Offensive</v>
      </c>
      <c r="BD370" s="23"/>
      <c r="BF370" s="21"/>
    </row>
    <row r="371" spans="1:58" x14ac:dyDescent="0.2">
      <c r="A371">
        <v>192</v>
      </c>
      <c r="B371">
        <v>33</v>
      </c>
      <c r="E371" s="5" t="s">
        <v>866</v>
      </c>
      <c r="F371" s="5" t="s">
        <v>891</v>
      </c>
      <c r="I371" t="s">
        <v>840</v>
      </c>
      <c r="J371">
        <v>17</v>
      </c>
      <c r="K371">
        <v>1</v>
      </c>
      <c r="L371" t="s">
        <v>401</v>
      </c>
      <c r="M371" t="s">
        <v>7</v>
      </c>
      <c r="N371" t="s">
        <v>222</v>
      </c>
      <c r="O371" t="s">
        <v>53</v>
      </c>
      <c r="P371" t="s">
        <v>689</v>
      </c>
      <c r="T371">
        <v>1</v>
      </c>
      <c r="U371" s="8">
        <f t="shared" si="39"/>
        <v>1</v>
      </c>
      <c r="AD371" t="str">
        <f t="shared" si="38"/>
        <v>e</v>
      </c>
      <c r="AE371" t="str">
        <f t="shared" si="42"/>
        <v>Shot</v>
      </c>
      <c r="AF371" t="str">
        <f t="shared" si="40"/>
        <v>Shot_OnNetSaved</v>
      </c>
      <c r="AG371" t="str">
        <f t="shared" si="41"/>
        <v>Shot-Wrist</v>
      </c>
      <c r="AN371" t="str">
        <f t="shared" si="43"/>
        <v>Offensive</v>
      </c>
      <c r="BD371" s="23"/>
      <c r="BF371" s="21"/>
    </row>
    <row r="372" spans="1:58" x14ac:dyDescent="0.2">
      <c r="A372">
        <v>192</v>
      </c>
      <c r="B372">
        <v>33</v>
      </c>
      <c r="J372">
        <v>39</v>
      </c>
      <c r="U372" s="8">
        <f t="shared" si="39"/>
        <v>1</v>
      </c>
      <c r="AD372" t="str">
        <f t="shared" si="38"/>
        <v>o</v>
      </c>
      <c r="AE372" t="str">
        <f t="shared" si="42"/>
        <v>Shot</v>
      </c>
      <c r="AF372" t="str">
        <f t="shared" si="40"/>
        <v>Shot_OnNetSaved</v>
      </c>
      <c r="AG372" t="str">
        <f t="shared" si="41"/>
        <v>Shot-Wrist</v>
      </c>
      <c r="AN372" t="str">
        <f t="shared" si="43"/>
        <v>Defensive</v>
      </c>
      <c r="BD372" s="23"/>
      <c r="BF372" s="21"/>
    </row>
    <row r="373" spans="1:58" x14ac:dyDescent="0.2">
      <c r="A373">
        <v>192</v>
      </c>
      <c r="B373">
        <v>33</v>
      </c>
      <c r="J373">
        <v>70</v>
      </c>
      <c r="Q373" t="s">
        <v>696</v>
      </c>
      <c r="T373">
        <v>1</v>
      </c>
      <c r="U373" s="8">
        <f t="shared" si="39"/>
        <v>1</v>
      </c>
      <c r="AD373" t="str">
        <f t="shared" si="38"/>
        <v>o</v>
      </c>
      <c r="AE373" t="str">
        <f t="shared" si="42"/>
        <v>Shot</v>
      </c>
      <c r="AF373" t="str">
        <f t="shared" si="40"/>
        <v>Shot_OnNetSaved</v>
      </c>
      <c r="AG373" t="str">
        <f t="shared" si="41"/>
        <v>Shot-Wrist</v>
      </c>
      <c r="AN373" t="str">
        <f t="shared" si="43"/>
        <v>Defensive</v>
      </c>
      <c r="BD373" s="23"/>
      <c r="BF373" s="21"/>
    </row>
    <row r="374" spans="1:58" x14ac:dyDescent="0.2">
      <c r="A374">
        <v>193</v>
      </c>
      <c r="B374">
        <v>33</v>
      </c>
      <c r="E374" s="5" t="s">
        <v>866</v>
      </c>
      <c r="F374" s="5" t="s">
        <v>891</v>
      </c>
      <c r="I374" t="s">
        <v>835</v>
      </c>
      <c r="J374">
        <v>39</v>
      </c>
      <c r="K374">
        <v>1</v>
      </c>
      <c r="L374" t="s">
        <v>845</v>
      </c>
      <c r="M374" t="s">
        <v>17</v>
      </c>
      <c r="N374" t="s">
        <v>206</v>
      </c>
      <c r="O374" t="s">
        <v>96</v>
      </c>
      <c r="U374" s="8">
        <f t="shared" si="39"/>
        <v>1</v>
      </c>
      <c r="AD374" t="str">
        <f t="shared" si="38"/>
        <v>e</v>
      </c>
      <c r="AE374" t="str">
        <f t="shared" si="42"/>
        <v>Save</v>
      </c>
      <c r="AF374" t="str">
        <f t="shared" si="40"/>
        <v>Save_Freeze</v>
      </c>
      <c r="AG374" t="str">
        <f t="shared" si="41"/>
        <v>Save-Glove</v>
      </c>
      <c r="AN374" t="str">
        <f t="shared" si="43"/>
        <v>Defensive</v>
      </c>
      <c r="BD374" s="23"/>
      <c r="BF374" s="21"/>
    </row>
    <row r="375" spans="1:58" x14ac:dyDescent="0.2">
      <c r="A375">
        <v>193</v>
      </c>
      <c r="B375">
        <v>33</v>
      </c>
      <c r="J375">
        <v>70</v>
      </c>
      <c r="K375">
        <v>1</v>
      </c>
      <c r="Q375" t="s">
        <v>696</v>
      </c>
      <c r="T375">
        <v>1</v>
      </c>
      <c r="U375" s="8">
        <f t="shared" si="39"/>
        <v>1</v>
      </c>
      <c r="AD375" t="str">
        <f t="shared" si="38"/>
        <v>e</v>
      </c>
      <c r="AE375" t="str">
        <f t="shared" si="42"/>
        <v>Save</v>
      </c>
      <c r="AF375" t="str">
        <f t="shared" si="40"/>
        <v>Save_Freeze</v>
      </c>
      <c r="AG375" t="str">
        <f t="shared" si="41"/>
        <v>Save-Glove</v>
      </c>
      <c r="AN375" t="str">
        <f t="shared" si="43"/>
        <v>Defensive</v>
      </c>
      <c r="BD375" s="23"/>
      <c r="BF375" s="21"/>
    </row>
    <row r="376" spans="1:58" x14ac:dyDescent="0.2">
      <c r="A376">
        <v>193</v>
      </c>
      <c r="B376">
        <v>33</v>
      </c>
      <c r="J376">
        <v>17</v>
      </c>
      <c r="T376">
        <v>1</v>
      </c>
      <c r="U376" s="8">
        <f t="shared" si="39"/>
        <v>1</v>
      </c>
      <c r="AD376" t="str">
        <f t="shared" si="38"/>
        <v>o</v>
      </c>
      <c r="AE376" t="str">
        <f t="shared" si="42"/>
        <v>Save</v>
      </c>
      <c r="AF376" t="str">
        <f t="shared" si="40"/>
        <v>Save_Freeze</v>
      </c>
      <c r="AG376" t="str">
        <f t="shared" si="41"/>
        <v>Save-Glove</v>
      </c>
      <c r="AN376" t="str">
        <f t="shared" si="43"/>
        <v>Offensive</v>
      </c>
      <c r="BD376" s="23"/>
      <c r="BF376" s="21"/>
    </row>
    <row r="377" spans="1:58" x14ac:dyDescent="0.2">
      <c r="A377">
        <v>194</v>
      </c>
      <c r="B377">
        <v>33</v>
      </c>
      <c r="E377" s="5" t="s">
        <v>866</v>
      </c>
      <c r="F377" s="5" t="s">
        <v>891</v>
      </c>
      <c r="I377" t="s">
        <v>835</v>
      </c>
      <c r="J377">
        <v>39</v>
      </c>
      <c r="K377">
        <v>1</v>
      </c>
      <c r="L377" t="s">
        <v>845</v>
      </c>
      <c r="M377" t="s">
        <v>13</v>
      </c>
      <c r="N377" t="s">
        <v>204</v>
      </c>
      <c r="O377" t="s">
        <v>110</v>
      </c>
      <c r="U377" s="8">
        <f t="shared" si="39"/>
        <v>1</v>
      </c>
      <c r="AD377" t="str">
        <f t="shared" si="38"/>
        <v>e</v>
      </c>
      <c r="AE377" t="str">
        <f t="shared" si="42"/>
        <v>Stoppage</v>
      </c>
      <c r="AF377" t="str">
        <f t="shared" si="40"/>
        <v>Stoppage_Play</v>
      </c>
      <c r="AG377" t="str">
        <f t="shared" si="41"/>
        <v>Stoppage-GoalieStoppage</v>
      </c>
      <c r="AN377" t="str">
        <f t="shared" si="43"/>
        <v/>
      </c>
      <c r="BD377" s="23"/>
      <c r="BF377" s="21"/>
    </row>
    <row r="378" spans="1:58" x14ac:dyDescent="0.2">
      <c r="A378">
        <v>195</v>
      </c>
      <c r="B378">
        <v>33</v>
      </c>
      <c r="E378" s="5" t="s">
        <v>866</v>
      </c>
      <c r="F378" s="5" t="s">
        <v>891</v>
      </c>
      <c r="G378" s="5" t="s">
        <v>899</v>
      </c>
      <c r="H378" s="7" t="s">
        <v>873</v>
      </c>
      <c r="I378" t="s">
        <v>835</v>
      </c>
      <c r="J378">
        <v>39</v>
      </c>
      <c r="K378">
        <v>1</v>
      </c>
      <c r="L378" t="s">
        <v>845</v>
      </c>
      <c r="M378" t="s">
        <v>262</v>
      </c>
      <c r="U378" s="8">
        <f t="shared" si="39"/>
        <v>1</v>
      </c>
      <c r="AD378" t="str">
        <f t="shared" si="38"/>
        <v>e</v>
      </c>
      <c r="AE378" t="str">
        <f t="shared" si="42"/>
        <v>DeadIce</v>
      </c>
      <c r="AF378" t="str">
        <f t="shared" si="40"/>
        <v/>
      </c>
      <c r="AG378" t="str">
        <f t="shared" si="41"/>
        <v/>
      </c>
      <c r="AN378" t="str">
        <f t="shared" si="43"/>
        <v/>
      </c>
      <c r="BD378" s="23"/>
      <c r="BF378" s="21"/>
    </row>
    <row r="379" spans="1:58" x14ac:dyDescent="0.2">
      <c r="A379">
        <v>196</v>
      </c>
      <c r="E379" s="5" t="s">
        <v>899</v>
      </c>
      <c r="F379" s="5" t="s">
        <v>873</v>
      </c>
      <c r="I379" t="s">
        <v>835</v>
      </c>
      <c r="J379">
        <v>70</v>
      </c>
      <c r="K379">
        <v>1</v>
      </c>
      <c r="L379" t="s">
        <v>845</v>
      </c>
      <c r="M379" t="s">
        <v>6</v>
      </c>
      <c r="N379" t="s">
        <v>255</v>
      </c>
      <c r="U379" s="8">
        <f t="shared" si="39"/>
        <v>1</v>
      </c>
      <c r="AD379" t="str">
        <f t="shared" si="38"/>
        <v>e</v>
      </c>
      <c r="AE379" t="str">
        <f t="shared" si="42"/>
        <v>Faceoff</v>
      </c>
      <c r="AF379" t="str">
        <f t="shared" si="40"/>
        <v>Faceoff_AfterStoppage</v>
      </c>
      <c r="AG379" t="str">
        <f t="shared" si="41"/>
        <v/>
      </c>
      <c r="AN379" t="str">
        <f t="shared" si="43"/>
        <v>Offensive</v>
      </c>
      <c r="BD379" s="23"/>
      <c r="BF379" s="21"/>
    </row>
    <row r="380" spans="1:58" x14ac:dyDescent="0.2">
      <c r="A380">
        <v>196</v>
      </c>
      <c r="J380">
        <v>46</v>
      </c>
      <c r="U380" s="8">
        <f t="shared" si="39"/>
        <v>1</v>
      </c>
      <c r="AD380" t="str">
        <f t="shared" si="38"/>
        <v>o</v>
      </c>
      <c r="AE380" t="str">
        <f t="shared" si="42"/>
        <v>Faceoff</v>
      </c>
      <c r="AF380" t="str">
        <f t="shared" si="40"/>
        <v>Faceoff_AfterStoppage</v>
      </c>
      <c r="AG380" t="str">
        <f t="shared" si="41"/>
        <v/>
      </c>
      <c r="AN380" t="str">
        <f t="shared" si="43"/>
        <v>Defensive</v>
      </c>
      <c r="BD380" s="23"/>
      <c r="BF380" s="21"/>
    </row>
    <row r="381" spans="1:58" x14ac:dyDescent="0.2">
      <c r="A381">
        <v>197</v>
      </c>
      <c r="B381">
        <v>34</v>
      </c>
      <c r="E381" s="5" t="s">
        <v>899</v>
      </c>
      <c r="F381" s="5" t="s">
        <v>838</v>
      </c>
      <c r="I381" t="s">
        <v>835</v>
      </c>
      <c r="J381">
        <v>70</v>
      </c>
      <c r="K381">
        <v>1</v>
      </c>
      <c r="L381" t="s">
        <v>845</v>
      </c>
      <c r="M381" t="s">
        <v>8</v>
      </c>
      <c r="N381" t="s">
        <v>199</v>
      </c>
      <c r="O381" t="s">
        <v>71</v>
      </c>
      <c r="P381" t="s">
        <v>688</v>
      </c>
      <c r="Q381" t="s">
        <v>749</v>
      </c>
      <c r="S381" t="s">
        <v>688</v>
      </c>
      <c r="U381" s="8">
        <f t="shared" si="39"/>
        <v>1</v>
      </c>
      <c r="AD381" t="str">
        <f t="shared" si="38"/>
        <v>e</v>
      </c>
      <c r="AE381" t="str">
        <f t="shared" si="42"/>
        <v>Pass</v>
      </c>
      <c r="AF381" t="str">
        <f t="shared" si="40"/>
        <v>Pass_Missed</v>
      </c>
      <c r="AG381" t="str">
        <f t="shared" si="41"/>
        <v>Pass-Bank</v>
      </c>
      <c r="AN381" t="str">
        <f t="shared" si="43"/>
        <v>Offensive</v>
      </c>
      <c r="BD381" s="23"/>
      <c r="BF381" s="21"/>
    </row>
    <row r="382" spans="1:58" x14ac:dyDescent="0.2">
      <c r="A382">
        <v>197</v>
      </c>
      <c r="B382">
        <v>34</v>
      </c>
      <c r="J382">
        <v>14</v>
      </c>
      <c r="K382">
        <v>1</v>
      </c>
      <c r="U382" s="8">
        <f t="shared" si="39"/>
        <v>1</v>
      </c>
      <c r="AD382" t="str">
        <f t="shared" si="38"/>
        <v>e</v>
      </c>
      <c r="AE382" t="str">
        <f t="shared" si="42"/>
        <v>Pass</v>
      </c>
      <c r="AF382" t="str">
        <f t="shared" si="40"/>
        <v>Pass_Missed</v>
      </c>
      <c r="AG382" t="str">
        <f t="shared" si="41"/>
        <v>Pass-Bank</v>
      </c>
      <c r="AN382" t="str">
        <f t="shared" si="43"/>
        <v>Offensive</v>
      </c>
      <c r="BD382" s="23"/>
      <c r="BF382" s="21"/>
    </row>
    <row r="383" spans="1:58" x14ac:dyDescent="0.2">
      <c r="A383">
        <v>198</v>
      </c>
      <c r="B383">
        <v>34</v>
      </c>
      <c r="I383" t="s">
        <v>835</v>
      </c>
      <c r="J383">
        <v>70</v>
      </c>
      <c r="K383">
        <v>1</v>
      </c>
      <c r="L383" t="s">
        <v>845</v>
      </c>
      <c r="M383" t="s">
        <v>10</v>
      </c>
      <c r="N383" t="s">
        <v>190</v>
      </c>
      <c r="O383" t="s">
        <v>76</v>
      </c>
      <c r="P383" t="s">
        <v>688</v>
      </c>
      <c r="Q383" t="s">
        <v>749</v>
      </c>
      <c r="S383" t="s">
        <v>688</v>
      </c>
      <c r="U383" s="8">
        <f t="shared" si="39"/>
        <v>1</v>
      </c>
      <c r="AD383" t="str">
        <f t="shared" si="38"/>
        <v>e</v>
      </c>
      <c r="AE383" t="str">
        <f t="shared" si="42"/>
        <v>Turnover</v>
      </c>
      <c r="AF383" t="str">
        <f t="shared" si="40"/>
        <v>Turnover_Giveaway</v>
      </c>
      <c r="AG383" t="str">
        <f t="shared" si="41"/>
        <v>Giveaway-PassMissed</v>
      </c>
      <c r="AN383" t="str">
        <f t="shared" si="43"/>
        <v>Offensive</v>
      </c>
      <c r="BD383" s="23"/>
      <c r="BF383" s="21"/>
    </row>
    <row r="384" spans="1:58" x14ac:dyDescent="0.2">
      <c r="A384">
        <v>198</v>
      </c>
      <c r="B384">
        <v>34</v>
      </c>
      <c r="J384">
        <v>14</v>
      </c>
      <c r="K384">
        <v>1</v>
      </c>
      <c r="U384" s="8">
        <f t="shared" si="39"/>
        <v>1</v>
      </c>
      <c r="AD384" t="str">
        <f t="shared" si="38"/>
        <v>e</v>
      </c>
      <c r="AE384" t="str">
        <f t="shared" si="42"/>
        <v>Turnover</v>
      </c>
      <c r="AF384" t="str">
        <f t="shared" si="40"/>
        <v>Turnover_Giveaway</v>
      </c>
      <c r="AG384" t="str">
        <f t="shared" si="41"/>
        <v>Giveaway-PassMissed</v>
      </c>
      <c r="AN384" t="str">
        <f t="shared" si="43"/>
        <v>Offensive</v>
      </c>
      <c r="BD384" s="23"/>
      <c r="BF384" s="21"/>
    </row>
    <row r="385" spans="1:58" x14ac:dyDescent="0.2">
      <c r="A385">
        <v>199</v>
      </c>
      <c r="B385">
        <v>35</v>
      </c>
      <c r="E385" s="5" t="s">
        <v>899</v>
      </c>
      <c r="F385" s="5" t="s">
        <v>886</v>
      </c>
      <c r="I385" t="s">
        <v>840</v>
      </c>
      <c r="J385">
        <v>17</v>
      </c>
      <c r="K385">
        <v>1</v>
      </c>
      <c r="L385" t="s">
        <v>401</v>
      </c>
      <c r="M385" t="s">
        <v>257</v>
      </c>
      <c r="N385" t="s">
        <v>210</v>
      </c>
      <c r="O385" t="s">
        <v>93</v>
      </c>
      <c r="P385" t="s">
        <v>689</v>
      </c>
      <c r="U385" s="8">
        <f t="shared" si="39"/>
        <v>1</v>
      </c>
      <c r="AD385" t="str">
        <f t="shared" si="38"/>
        <v>e</v>
      </c>
      <c r="AE385" t="str">
        <f t="shared" si="42"/>
        <v>Zone_Entry_Exit</v>
      </c>
      <c r="AF385" t="str">
        <f t="shared" si="40"/>
        <v>Zone_Keepin</v>
      </c>
      <c r="AG385" t="str">
        <f t="shared" si="41"/>
        <v>Zone-KeepIn</v>
      </c>
      <c r="AN385" t="str">
        <f t="shared" si="43"/>
        <v>Offensive</v>
      </c>
      <c r="BD385" s="23"/>
      <c r="BF385" s="21"/>
    </row>
    <row r="386" spans="1:58" x14ac:dyDescent="0.2">
      <c r="A386">
        <v>200</v>
      </c>
      <c r="B386">
        <v>35</v>
      </c>
      <c r="E386" s="5" t="s">
        <v>899</v>
      </c>
      <c r="F386" s="5" t="s">
        <v>886</v>
      </c>
      <c r="I386" t="s">
        <v>840</v>
      </c>
      <c r="J386">
        <v>17</v>
      </c>
      <c r="K386">
        <v>1</v>
      </c>
      <c r="L386" t="s">
        <v>401</v>
      </c>
      <c r="M386" t="s">
        <v>15</v>
      </c>
      <c r="N386" t="s">
        <v>680</v>
      </c>
      <c r="P386" t="s">
        <v>688</v>
      </c>
      <c r="Q386" t="s">
        <v>694</v>
      </c>
      <c r="S386" t="s">
        <v>688</v>
      </c>
      <c r="U386" s="8">
        <f t="shared" si="39"/>
        <v>1</v>
      </c>
      <c r="AD386" t="str">
        <f t="shared" ref="AD386:AD449" si="44">IF(K386="x","",IF(K386=1,"e","o"))</f>
        <v>e</v>
      </c>
      <c r="AE386" t="str">
        <f t="shared" si="42"/>
        <v>Possession</v>
      </c>
      <c r="AF386" t="str">
        <f t="shared" si="40"/>
        <v>PuckRetrieval</v>
      </c>
      <c r="AG386" t="str">
        <f t="shared" si="41"/>
        <v/>
      </c>
      <c r="AN386" t="str">
        <f t="shared" si="43"/>
        <v>Offensive</v>
      </c>
      <c r="BD386" s="23"/>
      <c r="BF386" s="21"/>
    </row>
    <row r="387" spans="1:58" x14ac:dyDescent="0.2">
      <c r="A387">
        <v>201</v>
      </c>
      <c r="E387" s="5" t="s">
        <v>899</v>
      </c>
      <c r="F387" s="5" t="s">
        <v>886</v>
      </c>
      <c r="I387" t="s">
        <v>840</v>
      </c>
      <c r="J387">
        <v>17</v>
      </c>
      <c r="K387">
        <v>1</v>
      </c>
      <c r="L387" t="s">
        <v>401</v>
      </c>
      <c r="M387" t="s">
        <v>7</v>
      </c>
      <c r="N387" t="s">
        <v>208</v>
      </c>
      <c r="O387" t="s">
        <v>53</v>
      </c>
      <c r="P387" t="s">
        <v>688</v>
      </c>
      <c r="T387">
        <v>1</v>
      </c>
      <c r="U387" s="8">
        <f t="shared" ref="U387:U450" si="45">IF(M387="Intermission",U386+1,U386)</f>
        <v>1</v>
      </c>
      <c r="AD387" t="str">
        <f t="shared" si="44"/>
        <v>e</v>
      </c>
      <c r="AE387" t="str">
        <f t="shared" si="42"/>
        <v>Shot</v>
      </c>
      <c r="AF387" t="str">
        <f t="shared" ref="AF387:AF450" si="46">IF(N387&lt;&gt;"",N387,IF($A387=$A386,AF386,""))</f>
        <v>Shot_Blocked</v>
      </c>
      <c r="AG387" t="str">
        <f t="shared" ref="AG387:AG450" si="47">IF(O387&lt;&gt;"",O387,IF($A387=$A386,AG386,""))</f>
        <v>Shot-Wrist</v>
      </c>
      <c r="AN387" t="str">
        <f t="shared" si="43"/>
        <v>Offensive</v>
      </c>
      <c r="BD387" s="23"/>
      <c r="BF387" s="21"/>
    </row>
    <row r="388" spans="1:58" x14ac:dyDescent="0.2">
      <c r="A388">
        <v>201</v>
      </c>
      <c r="J388">
        <v>70</v>
      </c>
      <c r="Q388" t="s">
        <v>665</v>
      </c>
      <c r="S388" t="s">
        <v>689</v>
      </c>
      <c r="T388">
        <v>1</v>
      </c>
      <c r="U388" s="8">
        <f t="shared" si="45"/>
        <v>1</v>
      </c>
      <c r="AD388" t="str">
        <f t="shared" si="44"/>
        <v>o</v>
      </c>
      <c r="AE388" t="str">
        <f t="shared" ref="AE388:AE451" si="48">IF(M388&lt;&gt;"",M388,IF($A388=$A387,AE387,""))</f>
        <v>Shot</v>
      </c>
      <c r="AF388" t="str">
        <f t="shared" si="46"/>
        <v>Shot_Blocked</v>
      </c>
      <c r="AG388" t="str">
        <f t="shared" si="47"/>
        <v>Shot-Wrist</v>
      </c>
      <c r="AN388" t="str">
        <f t="shared" si="43"/>
        <v>Defensive</v>
      </c>
      <c r="BD388" s="23"/>
      <c r="BF388" s="21"/>
    </row>
    <row r="389" spans="1:58" x14ac:dyDescent="0.2">
      <c r="A389">
        <v>202</v>
      </c>
      <c r="E389" s="5" t="s">
        <v>899</v>
      </c>
      <c r="F389" s="5" t="s">
        <v>844</v>
      </c>
      <c r="I389" t="s">
        <v>840</v>
      </c>
      <c r="J389">
        <v>9</v>
      </c>
      <c r="K389">
        <v>1</v>
      </c>
      <c r="L389" t="s">
        <v>401</v>
      </c>
      <c r="M389" t="s">
        <v>15</v>
      </c>
      <c r="N389" t="s">
        <v>681</v>
      </c>
      <c r="P389" t="s">
        <v>689</v>
      </c>
      <c r="Q389" t="s">
        <v>705</v>
      </c>
      <c r="S389" t="s">
        <v>689</v>
      </c>
      <c r="T389">
        <v>1</v>
      </c>
      <c r="U389" s="8">
        <f t="shared" si="45"/>
        <v>1</v>
      </c>
      <c r="AD389" t="str">
        <f t="shared" si="44"/>
        <v>e</v>
      </c>
      <c r="AE389" t="str">
        <f t="shared" si="48"/>
        <v>Possession</v>
      </c>
      <c r="AF389" t="str">
        <f t="shared" si="46"/>
        <v>PuckRecovery</v>
      </c>
      <c r="AG389" t="str">
        <f t="shared" si="47"/>
        <v/>
      </c>
      <c r="AN389" t="str">
        <f t="shared" si="43"/>
        <v>Offensive</v>
      </c>
      <c r="BD389" s="23"/>
      <c r="BF389" s="21"/>
    </row>
    <row r="390" spans="1:58" x14ac:dyDescent="0.2">
      <c r="A390">
        <v>202</v>
      </c>
      <c r="J390">
        <v>84</v>
      </c>
      <c r="T390">
        <v>1</v>
      </c>
      <c r="U390" s="8">
        <f t="shared" si="45"/>
        <v>1</v>
      </c>
      <c r="AD390" t="str">
        <f t="shared" si="44"/>
        <v>o</v>
      </c>
      <c r="AE390" t="str">
        <f t="shared" si="48"/>
        <v>Possession</v>
      </c>
      <c r="AF390" t="str">
        <f t="shared" si="46"/>
        <v>PuckRecovery</v>
      </c>
      <c r="AG390" t="str">
        <f t="shared" si="47"/>
        <v/>
      </c>
      <c r="AN390" t="str">
        <f t="shared" si="43"/>
        <v>Defensive</v>
      </c>
      <c r="BD390" s="23"/>
      <c r="BF390" s="21"/>
    </row>
    <row r="391" spans="1:58" x14ac:dyDescent="0.2">
      <c r="A391">
        <v>203</v>
      </c>
      <c r="B391">
        <v>36</v>
      </c>
      <c r="E391" s="5" t="s">
        <v>899</v>
      </c>
      <c r="F391" s="5" t="s">
        <v>847</v>
      </c>
      <c r="I391" t="s">
        <v>840</v>
      </c>
      <c r="J391">
        <v>9</v>
      </c>
      <c r="K391">
        <v>1</v>
      </c>
      <c r="L391" t="s">
        <v>401</v>
      </c>
      <c r="M391" t="s">
        <v>7</v>
      </c>
      <c r="N391" t="s">
        <v>222</v>
      </c>
      <c r="O391" t="s">
        <v>53</v>
      </c>
      <c r="P391" t="s">
        <v>689</v>
      </c>
      <c r="T391">
        <v>1</v>
      </c>
      <c r="U391" s="8">
        <f t="shared" si="45"/>
        <v>1</v>
      </c>
      <c r="AD391" t="str">
        <f t="shared" si="44"/>
        <v>e</v>
      </c>
      <c r="AE391" t="str">
        <f t="shared" si="48"/>
        <v>Shot</v>
      </c>
      <c r="AF391" t="str">
        <f t="shared" si="46"/>
        <v>Shot_OnNetSaved</v>
      </c>
      <c r="AG391" t="str">
        <f t="shared" si="47"/>
        <v>Shot-Wrist</v>
      </c>
      <c r="AN391" t="str">
        <f t="shared" si="43"/>
        <v>Offensive</v>
      </c>
      <c r="BD391" s="23"/>
      <c r="BF391" s="21"/>
    </row>
    <row r="392" spans="1:58" x14ac:dyDescent="0.2">
      <c r="A392">
        <v>203</v>
      </c>
      <c r="B392">
        <v>36</v>
      </c>
      <c r="J392">
        <v>39</v>
      </c>
      <c r="U392" s="8">
        <f t="shared" si="45"/>
        <v>1</v>
      </c>
      <c r="AD392" t="str">
        <f t="shared" si="44"/>
        <v>o</v>
      </c>
      <c r="AE392" t="str">
        <f t="shared" si="48"/>
        <v>Shot</v>
      </c>
      <c r="AF392" t="str">
        <f t="shared" si="46"/>
        <v>Shot_OnNetSaved</v>
      </c>
      <c r="AG392" t="str">
        <f t="shared" si="47"/>
        <v>Shot-Wrist</v>
      </c>
      <c r="AN392" t="str">
        <f t="shared" si="43"/>
        <v>Defensive</v>
      </c>
      <c r="BD392" s="23"/>
      <c r="BF392" s="21"/>
    </row>
    <row r="393" spans="1:58" x14ac:dyDescent="0.2">
      <c r="A393">
        <v>203</v>
      </c>
      <c r="B393">
        <v>36</v>
      </c>
      <c r="J393">
        <v>84</v>
      </c>
      <c r="T393">
        <v>1</v>
      </c>
      <c r="U393" s="8">
        <f t="shared" si="45"/>
        <v>1</v>
      </c>
      <c r="AD393" t="str">
        <f t="shared" si="44"/>
        <v>o</v>
      </c>
      <c r="AE393" t="str">
        <f t="shared" si="48"/>
        <v>Shot</v>
      </c>
      <c r="AF393" t="str">
        <f t="shared" si="46"/>
        <v>Shot_OnNetSaved</v>
      </c>
      <c r="AG393" t="str">
        <f t="shared" si="47"/>
        <v>Shot-Wrist</v>
      </c>
      <c r="AN393" t="str">
        <f t="shared" ref="AN393:AN456" si="49">IF(AND(AD393="e",OR(AE393="Save",AF393="Turnover_Takeaway",AF393="Play_Defensive")),"Defensive",IF(AND(AD393="o",OR(AE393="Save",AF393="Turnover_Takeaway",AF393="Play_Defensive")),"Offensive",IF(OR(AE393="Deadice",AE393="Stoppage",AE393="Intermission"),"",IF(AD393="e","Offensive",IF(AD393="o","Defensive","")))))</f>
        <v>Defensive</v>
      </c>
      <c r="BD393" s="23"/>
      <c r="BF393" s="21"/>
    </row>
    <row r="394" spans="1:58" x14ac:dyDescent="0.2">
      <c r="A394">
        <v>204</v>
      </c>
      <c r="B394">
        <v>36</v>
      </c>
      <c r="E394" s="5" t="s">
        <v>899</v>
      </c>
      <c r="F394" s="5" t="s">
        <v>847</v>
      </c>
      <c r="I394" t="s">
        <v>835</v>
      </c>
      <c r="J394">
        <v>39</v>
      </c>
      <c r="K394">
        <v>1</v>
      </c>
      <c r="L394" t="s">
        <v>845</v>
      </c>
      <c r="M394" t="s">
        <v>17</v>
      </c>
      <c r="N394" t="s">
        <v>206</v>
      </c>
      <c r="O394" t="s">
        <v>100</v>
      </c>
      <c r="U394" s="8">
        <f t="shared" si="45"/>
        <v>1</v>
      </c>
      <c r="AD394" t="str">
        <f t="shared" si="44"/>
        <v>e</v>
      </c>
      <c r="AE394" t="str">
        <f t="shared" si="48"/>
        <v>Save</v>
      </c>
      <c r="AF394" t="str">
        <f t="shared" si="46"/>
        <v>Save_Freeze</v>
      </c>
      <c r="AG394" t="str">
        <f t="shared" si="47"/>
        <v>Save-Stick</v>
      </c>
      <c r="AN394" t="str">
        <f t="shared" si="49"/>
        <v>Defensive</v>
      </c>
      <c r="BD394" s="23"/>
      <c r="BF394" s="21"/>
    </row>
    <row r="395" spans="1:58" x14ac:dyDescent="0.2">
      <c r="A395">
        <v>204</v>
      </c>
      <c r="B395">
        <v>36</v>
      </c>
      <c r="J395">
        <v>84</v>
      </c>
      <c r="K395">
        <v>1</v>
      </c>
      <c r="T395">
        <v>1</v>
      </c>
      <c r="U395" s="8">
        <f t="shared" si="45"/>
        <v>1</v>
      </c>
      <c r="AD395" t="str">
        <f t="shared" si="44"/>
        <v>e</v>
      </c>
      <c r="AE395" t="str">
        <f t="shared" si="48"/>
        <v>Save</v>
      </c>
      <c r="AF395" t="str">
        <f t="shared" si="46"/>
        <v>Save_Freeze</v>
      </c>
      <c r="AG395" t="str">
        <f t="shared" si="47"/>
        <v>Save-Stick</v>
      </c>
      <c r="AN395" t="str">
        <f t="shared" si="49"/>
        <v>Defensive</v>
      </c>
      <c r="BD395" s="23"/>
      <c r="BF395" s="21"/>
    </row>
    <row r="396" spans="1:58" x14ac:dyDescent="0.2">
      <c r="A396">
        <v>204</v>
      </c>
      <c r="B396">
        <v>36</v>
      </c>
      <c r="J396">
        <v>9</v>
      </c>
      <c r="T396">
        <v>1</v>
      </c>
      <c r="U396" s="8">
        <f t="shared" si="45"/>
        <v>1</v>
      </c>
      <c r="AD396" t="str">
        <f t="shared" si="44"/>
        <v>o</v>
      </c>
      <c r="AE396" t="str">
        <f t="shared" si="48"/>
        <v>Save</v>
      </c>
      <c r="AF396" t="str">
        <f t="shared" si="46"/>
        <v>Save_Freeze</v>
      </c>
      <c r="AG396" t="str">
        <f t="shared" si="47"/>
        <v>Save-Stick</v>
      </c>
      <c r="AN396" t="str">
        <f t="shared" si="49"/>
        <v>Offensive</v>
      </c>
      <c r="BD396" s="23"/>
      <c r="BF396" s="21"/>
    </row>
    <row r="397" spans="1:58" x14ac:dyDescent="0.2">
      <c r="A397">
        <v>205</v>
      </c>
      <c r="B397">
        <v>36</v>
      </c>
      <c r="E397" s="5" t="s">
        <v>899</v>
      </c>
      <c r="F397" s="5" t="s">
        <v>847</v>
      </c>
      <c r="I397" t="s">
        <v>835</v>
      </c>
      <c r="J397">
        <v>39</v>
      </c>
      <c r="K397">
        <v>1</v>
      </c>
      <c r="L397" t="s">
        <v>845</v>
      </c>
      <c r="M397" t="s">
        <v>13</v>
      </c>
      <c r="N397" t="s">
        <v>204</v>
      </c>
      <c r="O397" t="s">
        <v>110</v>
      </c>
      <c r="U397" s="8">
        <f t="shared" si="45"/>
        <v>1</v>
      </c>
      <c r="AD397" t="str">
        <f t="shared" si="44"/>
        <v>e</v>
      </c>
      <c r="AE397" t="str">
        <f t="shared" si="48"/>
        <v>Stoppage</v>
      </c>
      <c r="AF397" t="str">
        <f t="shared" si="46"/>
        <v>Stoppage_Play</v>
      </c>
      <c r="AG397" t="str">
        <f t="shared" si="47"/>
        <v>Stoppage-GoalieStoppage</v>
      </c>
      <c r="AN397" t="str">
        <f t="shared" si="49"/>
        <v/>
      </c>
      <c r="BD397" s="23"/>
      <c r="BF397" s="21"/>
    </row>
    <row r="398" spans="1:58" x14ac:dyDescent="0.2">
      <c r="A398">
        <v>206</v>
      </c>
      <c r="B398">
        <v>36</v>
      </c>
      <c r="E398" s="5" t="s">
        <v>899</v>
      </c>
      <c r="F398" s="5" t="s">
        <v>847</v>
      </c>
      <c r="G398" s="5" t="s">
        <v>899</v>
      </c>
      <c r="H398" s="7" t="s">
        <v>856</v>
      </c>
      <c r="I398" t="s">
        <v>835</v>
      </c>
      <c r="J398">
        <v>39</v>
      </c>
      <c r="K398">
        <v>1</v>
      </c>
      <c r="L398" t="s">
        <v>845</v>
      </c>
      <c r="M398" t="s">
        <v>262</v>
      </c>
      <c r="U398" s="8">
        <f t="shared" si="45"/>
        <v>1</v>
      </c>
      <c r="AD398" t="str">
        <f t="shared" si="44"/>
        <v>e</v>
      </c>
      <c r="AE398" t="str">
        <f t="shared" si="48"/>
        <v>DeadIce</v>
      </c>
      <c r="AF398" t="str">
        <f t="shared" si="46"/>
        <v/>
      </c>
      <c r="AG398" t="str">
        <f t="shared" si="47"/>
        <v/>
      </c>
      <c r="AN398" t="str">
        <f t="shared" si="49"/>
        <v/>
      </c>
      <c r="BD398" s="23"/>
      <c r="BF398" s="21"/>
    </row>
    <row r="399" spans="1:58" x14ac:dyDescent="0.2">
      <c r="A399">
        <v>207</v>
      </c>
      <c r="E399" s="5" t="s">
        <v>899</v>
      </c>
      <c r="F399" s="5" t="s">
        <v>856</v>
      </c>
      <c r="I399" t="s">
        <v>840</v>
      </c>
      <c r="J399">
        <v>46</v>
      </c>
      <c r="K399">
        <v>1</v>
      </c>
      <c r="L399" t="s">
        <v>401</v>
      </c>
      <c r="M399" t="s">
        <v>6</v>
      </c>
      <c r="N399" t="s">
        <v>255</v>
      </c>
      <c r="U399" s="8">
        <f t="shared" si="45"/>
        <v>1</v>
      </c>
      <c r="AD399" t="str">
        <f t="shared" si="44"/>
        <v>e</v>
      </c>
      <c r="AE399" t="str">
        <f t="shared" si="48"/>
        <v>Faceoff</v>
      </c>
      <c r="AF399" t="str">
        <f t="shared" si="46"/>
        <v>Faceoff_AfterStoppage</v>
      </c>
      <c r="AG399" t="str">
        <f t="shared" si="47"/>
        <v/>
      </c>
      <c r="AN399" t="str">
        <f t="shared" si="49"/>
        <v>Offensive</v>
      </c>
      <c r="BD399" s="23"/>
      <c r="BF399" s="21"/>
    </row>
    <row r="400" spans="1:58" x14ac:dyDescent="0.2">
      <c r="A400">
        <v>207</v>
      </c>
      <c r="J400">
        <v>7</v>
      </c>
      <c r="K400">
        <v>1</v>
      </c>
      <c r="U400" s="8">
        <f t="shared" si="45"/>
        <v>1</v>
      </c>
      <c r="AD400" t="str">
        <f t="shared" si="44"/>
        <v>e</v>
      </c>
      <c r="AE400" t="str">
        <f t="shared" si="48"/>
        <v>Faceoff</v>
      </c>
      <c r="AF400" t="str">
        <f t="shared" si="46"/>
        <v>Faceoff_AfterStoppage</v>
      </c>
      <c r="AG400" t="str">
        <f t="shared" si="47"/>
        <v/>
      </c>
      <c r="AN400" t="str">
        <f t="shared" si="49"/>
        <v>Offensive</v>
      </c>
      <c r="BD400" s="23"/>
      <c r="BF400" s="21"/>
    </row>
    <row r="401" spans="1:58" x14ac:dyDescent="0.2">
      <c r="A401">
        <v>207</v>
      </c>
      <c r="J401">
        <v>70</v>
      </c>
      <c r="U401" s="8">
        <f t="shared" si="45"/>
        <v>1</v>
      </c>
      <c r="AD401" t="str">
        <f t="shared" si="44"/>
        <v>o</v>
      </c>
      <c r="AE401" t="str">
        <f t="shared" si="48"/>
        <v>Faceoff</v>
      </c>
      <c r="AF401" t="str">
        <f t="shared" si="46"/>
        <v>Faceoff_AfterStoppage</v>
      </c>
      <c r="AG401" t="str">
        <f t="shared" si="47"/>
        <v/>
      </c>
      <c r="AN401" t="str">
        <f t="shared" si="49"/>
        <v>Defensive</v>
      </c>
      <c r="BD401" s="23"/>
      <c r="BF401" s="21"/>
    </row>
    <row r="402" spans="1:58" x14ac:dyDescent="0.2">
      <c r="A402">
        <v>208</v>
      </c>
      <c r="E402" s="5" t="s">
        <v>899</v>
      </c>
      <c r="F402" s="5" t="s">
        <v>883</v>
      </c>
      <c r="I402" t="s">
        <v>840</v>
      </c>
      <c r="J402">
        <v>7</v>
      </c>
      <c r="K402">
        <v>1</v>
      </c>
      <c r="L402" t="s">
        <v>401</v>
      </c>
      <c r="M402" t="s">
        <v>247</v>
      </c>
      <c r="N402" t="s">
        <v>421</v>
      </c>
      <c r="O402" t="s">
        <v>461</v>
      </c>
      <c r="P402" t="s">
        <v>689</v>
      </c>
      <c r="Q402" t="s">
        <v>664</v>
      </c>
      <c r="S402" t="s">
        <v>689</v>
      </c>
      <c r="U402" s="8">
        <f t="shared" si="45"/>
        <v>1</v>
      </c>
      <c r="AD402" t="str">
        <f t="shared" si="44"/>
        <v>e</v>
      </c>
      <c r="AE402" t="str">
        <f t="shared" si="48"/>
        <v>Play</v>
      </c>
      <c r="AF402" t="str">
        <f t="shared" si="46"/>
        <v>Play_Offensive</v>
      </c>
      <c r="AG402" t="str">
        <f t="shared" si="47"/>
        <v>Play-DumpChase</v>
      </c>
      <c r="AN402" t="str">
        <f t="shared" si="49"/>
        <v>Offensive</v>
      </c>
      <c r="BD402" s="23"/>
      <c r="BF402" s="21"/>
    </row>
    <row r="403" spans="1:58" x14ac:dyDescent="0.2">
      <c r="A403">
        <v>209</v>
      </c>
      <c r="E403" s="5" t="s">
        <v>899</v>
      </c>
      <c r="F403" s="5" t="s">
        <v>860</v>
      </c>
      <c r="G403" s="5" t="s">
        <v>899</v>
      </c>
      <c r="H403" s="7" t="s">
        <v>836</v>
      </c>
      <c r="I403" t="s">
        <v>840</v>
      </c>
      <c r="J403">
        <v>92</v>
      </c>
      <c r="K403">
        <v>1</v>
      </c>
      <c r="L403" t="s">
        <v>401</v>
      </c>
      <c r="M403" t="s">
        <v>15</v>
      </c>
      <c r="N403" t="s">
        <v>681</v>
      </c>
      <c r="P403" t="s">
        <v>688</v>
      </c>
      <c r="Q403" t="s">
        <v>712</v>
      </c>
      <c r="R403" t="s">
        <v>697</v>
      </c>
      <c r="S403" t="s">
        <v>688</v>
      </c>
      <c r="U403" s="8">
        <f t="shared" si="45"/>
        <v>1</v>
      </c>
      <c r="AD403" t="str">
        <f t="shared" si="44"/>
        <v>e</v>
      </c>
      <c r="AE403" t="str">
        <f t="shared" si="48"/>
        <v>Possession</v>
      </c>
      <c r="AF403" t="str">
        <f t="shared" si="46"/>
        <v>PuckRecovery</v>
      </c>
      <c r="AG403" t="str">
        <f t="shared" si="47"/>
        <v/>
      </c>
      <c r="AN403" t="str">
        <f t="shared" si="49"/>
        <v>Offensive</v>
      </c>
      <c r="BD403" s="23"/>
      <c r="BF403" s="21"/>
    </row>
    <row r="404" spans="1:58" x14ac:dyDescent="0.2">
      <c r="A404">
        <v>210</v>
      </c>
      <c r="E404" s="5" t="s">
        <v>899</v>
      </c>
      <c r="F404" s="5" t="s">
        <v>836</v>
      </c>
      <c r="I404" t="s">
        <v>835</v>
      </c>
      <c r="J404">
        <v>22</v>
      </c>
      <c r="K404">
        <v>1</v>
      </c>
      <c r="L404" t="s">
        <v>845</v>
      </c>
      <c r="M404" t="s">
        <v>10</v>
      </c>
      <c r="N404" t="s">
        <v>200</v>
      </c>
      <c r="O404" t="s">
        <v>82</v>
      </c>
      <c r="P404" t="s">
        <v>689</v>
      </c>
      <c r="Q404" t="s">
        <v>695</v>
      </c>
      <c r="S404" t="s">
        <v>689</v>
      </c>
      <c r="T404">
        <v>1</v>
      </c>
      <c r="U404" s="8">
        <f t="shared" si="45"/>
        <v>1</v>
      </c>
      <c r="AD404" t="str">
        <f t="shared" si="44"/>
        <v>e</v>
      </c>
      <c r="AE404" t="str">
        <f t="shared" si="48"/>
        <v>Turnover</v>
      </c>
      <c r="AF404" t="str">
        <f t="shared" si="46"/>
        <v>Turnover_Takeaway</v>
      </c>
      <c r="AG404" t="str">
        <f t="shared" si="47"/>
        <v>Takeaway-PokeCheck</v>
      </c>
      <c r="AN404" t="str">
        <f t="shared" si="49"/>
        <v>Defensive</v>
      </c>
      <c r="BD404" s="23"/>
      <c r="BF404" s="21"/>
    </row>
    <row r="405" spans="1:58" x14ac:dyDescent="0.2">
      <c r="A405">
        <v>210</v>
      </c>
      <c r="J405">
        <v>14</v>
      </c>
      <c r="K405">
        <v>1</v>
      </c>
      <c r="Q405" t="s">
        <v>696</v>
      </c>
      <c r="T405">
        <v>1</v>
      </c>
      <c r="U405" s="8">
        <f t="shared" si="45"/>
        <v>1</v>
      </c>
      <c r="AD405" t="str">
        <f t="shared" si="44"/>
        <v>e</v>
      </c>
      <c r="AE405" t="str">
        <f t="shared" si="48"/>
        <v>Turnover</v>
      </c>
      <c r="AF405" t="str">
        <f t="shared" si="46"/>
        <v>Turnover_Takeaway</v>
      </c>
      <c r="AG405" t="str">
        <f t="shared" si="47"/>
        <v>Takeaway-PokeCheck</v>
      </c>
      <c r="AN405" t="str">
        <f t="shared" si="49"/>
        <v>Defensive</v>
      </c>
      <c r="BD405" s="23"/>
      <c r="BF405" s="21"/>
    </row>
    <row r="406" spans="1:58" x14ac:dyDescent="0.2">
      <c r="A406">
        <v>210</v>
      </c>
      <c r="J406">
        <v>92</v>
      </c>
      <c r="Q406" t="s">
        <v>721</v>
      </c>
      <c r="S406" t="s">
        <v>688</v>
      </c>
      <c r="T406">
        <v>1</v>
      </c>
      <c r="U406" s="8">
        <f t="shared" si="45"/>
        <v>1</v>
      </c>
      <c r="AD406" t="str">
        <f t="shared" si="44"/>
        <v>o</v>
      </c>
      <c r="AE406" t="str">
        <f t="shared" si="48"/>
        <v>Turnover</v>
      </c>
      <c r="AF406" t="str">
        <f t="shared" si="46"/>
        <v>Turnover_Takeaway</v>
      </c>
      <c r="AG406" t="str">
        <f t="shared" si="47"/>
        <v>Takeaway-PokeCheck</v>
      </c>
      <c r="AN406" t="str">
        <f t="shared" si="49"/>
        <v>Offensive</v>
      </c>
      <c r="BD406" s="23"/>
      <c r="BF406" s="21"/>
    </row>
    <row r="407" spans="1:58" x14ac:dyDescent="0.2">
      <c r="A407">
        <v>211</v>
      </c>
      <c r="E407" s="5" t="s">
        <v>899</v>
      </c>
      <c r="F407" s="5" t="s">
        <v>871</v>
      </c>
      <c r="G407" s="5" t="s">
        <v>899</v>
      </c>
      <c r="H407" s="7" t="s">
        <v>864</v>
      </c>
      <c r="I407" t="s">
        <v>835</v>
      </c>
      <c r="J407">
        <v>14</v>
      </c>
      <c r="K407">
        <v>1</v>
      </c>
      <c r="L407" t="s">
        <v>845</v>
      </c>
      <c r="M407" t="s">
        <v>15</v>
      </c>
      <c r="N407" t="s">
        <v>680</v>
      </c>
      <c r="P407" t="s">
        <v>689</v>
      </c>
      <c r="Q407" t="s">
        <v>694</v>
      </c>
      <c r="S407" t="s">
        <v>689</v>
      </c>
      <c r="U407" s="8">
        <f t="shared" si="45"/>
        <v>1</v>
      </c>
      <c r="AD407" t="str">
        <f t="shared" si="44"/>
        <v>e</v>
      </c>
      <c r="AE407" t="str">
        <f t="shared" si="48"/>
        <v>Possession</v>
      </c>
      <c r="AF407" t="str">
        <f t="shared" si="46"/>
        <v>PuckRetrieval</v>
      </c>
      <c r="AG407" t="str">
        <f t="shared" si="47"/>
        <v/>
      </c>
      <c r="AN407" t="str">
        <f t="shared" si="49"/>
        <v>Offensive</v>
      </c>
      <c r="BD407" s="23"/>
      <c r="BF407" s="21"/>
    </row>
    <row r="408" spans="1:58" x14ac:dyDescent="0.2">
      <c r="A408">
        <v>212</v>
      </c>
      <c r="B408">
        <v>37</v>
      </c>
      <c r="E408" s="5" t="s">
        <v>899</v>
      </c>
      <c r="F408" s="5" t="s">
        <v>864</v>
      </c>
      <c r="I408" t="s">
        <v>835</v>
      </c>
      <c r="J408">
        <v>14</v>
      </c>
      <c r="K408">
        <v>1</v>
      </c>
      <c r="L408" t="s">
        <v>845</v>
      </c>
      <c r="M408" t="s">
        <v>8</v>
      </c>
      <c r="N408" t="s">
        <v>189</v>
      </c>
      <c r="O408" t="s">
        <v>71</v>
      </c>
      <c r="P408" t="s">
        <v>689</v>
      </c>
      <c r="Q408" t="s">
        <v>662</v>
      </c>
      <c r="S408" t="s">
        <v>689</v>
      </c>
      <c r="U408" s="8">
        <f t="shared" si="45"/>
        <v>1</v>
      </c>
      <c r="AD408" t="str">
        <f t="shared" si="44"/>
        <v>e</v>
      </c>
      <c r="AE408" t="str">
        <f t="shared" si="48"/>
        <v>Pass</v>
      </c>
      <c r="AF408" t="str">
        <f t="shared" si="46"/>
        <v>Pass_Completed</v>
      </c>
      <c r="AG408" t="str">
        <f t="shared" si="47"/>
        <v>Pass-Bank</v>
      </c>
      <c r="AN408" t="str">
        <f t="shared" si="49"/>
        <v>Offensive</v>
      </c>
      <c r="BD408" s="23"/>
      <c r="BF408" s="21"/>
    </row>
    <row r="409" spans="1:58" x14ac:dyDescent="0.2">
      <c r="A409">
        <v>212</v>
      </c>
      <c r="B409">
        <v>37</v>
      </c>
      <c r="J409">
        <v>70</v>
      </c>
      <c r="U409" s="8">
        <f t="shared" si="45"/>
        <v>1</v>
      </c>
      <c r="AD409" t="str">
        <f t="shared" si="44"/>
        <v>o</v>
      </c>
      <c r="AE409" t="str">
        <f t="shared" si="48"/>
        <v>Pass</v>
      </c>
      <c r="AF409" t="str">
        <f t="shared" si="46"/>
        <v>Pass_Completed</v>
      </c>
      <c r="AG409" t="str">
        <f t="shared" si="47"/>
        <v>Pass-Bank</v>
      </c>
      <c r="AN409" t="str">
        <f t="shared" si="49"/>
        <v>Defensive</v>
      </c>
      <c r="BD409" s="23"/>
      <c r="BF409" s="21"/>
    </row>
    <row r="410" spans="1:58" x14ac:dyDescent="0.2">
      <c r="A410">
        <v>213</v>
      </c>
      <c r="B410">
        <v>37</v>
      </c>
      <c r="E410" s="5" t="s">
        <v>899</v>
      </c>
      <c r="F410" s="5" t="s">
        <v>864</v>
      </c>
      <c r="I410" t="s">
        <v>835</v>
      </c>
      <c r="J410">
        <v>14</v>
      </c>
      <c r="K410">
        <v>1</v>
      </c>
      <c r="L410" t="s">
        <v>845</v>
      </c>
      <c r="M410" t="s">
        <v>257</v>
      </c>
      <c r="N410" t="s">
        <v>201</v>
      </c>
      <c r="O410" t="s">
        <v>91</v>
      </c>
      <c r="P410" t="s">
        <v>689</v>
      </c>
      <c r="U410" s="8">
        <f t="shared" si="45"/>
        <v>1</v>
      </c>
      <c r="AD410" t="str">
        <f t="shared" si="44"/>
        <v>e</v>
      </c>
      <c r="AE410" t="str">
        <f t="shared" si="48"/>
        <v>Zone_Entry_Exit</v>
      </c>
      <c r="AF410" t="str">
        <f t="shared" si="46"/>
        <v>Zone_Exit</v>
      </c>
      <c r="AG410" t="str">
        <f t="shared" si="47"/>
        <v>ZoneExit-Pass</v>
      </c>
      <c r="AN410" t="str">
        <f t="shared" si="49"/>
        <v>Offensive</v>
      </c>
      <c r="BD410" s="23"/>
      <c r="BF410" s="21"/>
    </row>
    <row r="411" spans="1:58" x14ac:dyDescent="0.2">
      <c r="A411">
        <v>213</v>
      </c>
      <c r="B411">
        <v>37</v>
      </c>
      <c r="J411">
        <v>70</v>
      </c>
      <c r="U411" s="8">
        <f t="shared" si="45"/>
        <v>1</v>
      </c>
      <c r="AD411" t="str">
        <f t="shared" si="44"/>
        <v>o</v>
      </c>
      <c r="AE411" t="str">
        <f t="shared" si="48"/>
        <v>Zone_Entry_Exit</v>
      </c>
      <c r="AF411" t="str">
        <f t="shared" si="46"/>
        <v>Zone_Exit</v>
      </c>
      <c r="AG411" t="str">
        <f t="shared" si="47"/>
        <v>ZoneExit-Pass</v>
      </c>
      <c r="AN411" t="str">
        <f t="shared" si="49"/>
        <v>Defensive</v>
      </c>
      <c r="BD411" s="23"/>
      <c r="BF411" s="21"/>
    </row>
    <row r="412" spans="1:58" x14ac:dyDescent="0.2">
      <c r="A412">
        <v>214</v>
      </c>
      <c r="E412" s="5" t="s">
        <v>899</v>
      </c>
      <c r="F412" s="5" t="s">
        <v>865</v>
      </c>
      <c r="G412" s="5" t="s">
        <v>899</v>
      </c>
      <c r="H412" s="7" t="s">
        <v>866</v>
      </c>
      <c r="I412" t="s">
        <v>835</v>
      </c>
      <c r="J412">
        <v>70</v>
      </c>
      <c r="K412">
        <v>1</v>
      </c>
      <c r="L412" t="s">
        <v>839</v>
      </c>
      <c r="M412" t="s">
        <v>15</v>
      </c>
      <c r="U412" s="8">
        <f t="shared" si="45"/>
        <v>1</v>
      </c>
      <c r="AD412" t="str">
        <f t="shared" si="44"/>
        <v>e</v>
      </c>
      <c r="AE412" t="str">
        <f t="shared" si="48"/>
        <v>Possession</v>
      </c>
      <c r="AF412" t="str">
        <f t="shared" si="46"/>
        <v/>
      </c>
      <c r="AG412" t="str">
        <f t="shared" si="47"/>
        <v/>
      </c>
      <c r="AN412" t="str">
        <f t="shared" si="49"/>
        <v>Offensive</v>
      </c>
      <c r="BD412" s="23"/>
      <c r="BF412" s="21"/>
    </row>
    <row r="413" spans="1:58" x14ac:dyDescent="0.2">
      <c r="A413">
        <v>215</v>
      </c>
      <c r="E413" s="5" t="s">
        <v>899</v>
      </c>
      <c r="F413" s="5" t="s">
        <v>866</v>
      </c>
      <c r="G413" s="5" t="s">
        <v>899</v>
      </c>
      <c r="H413" s="7" t="s">
        <v>891</v>
      </c>
      <c r="I413" t="s">
        <v>835</v>
      </c>
      <c r="J413">
        <v>70</v>
      </c>
      <c r="K413">
        <v>1</v>
      </c>
      <c r="L413" t="s">
        <v>401</v>
      </c>
      <c r="M413" t="s">
        <v>257</v>
      </c>
      <c r="N413" t="s">
        <v>191</v>
      </c>
      <c r="O413" t="s">
        <v>87</v>
      </c>
      <c r="P413" t="s">
        <v>688</v>
      </c>
      <c r="Q413" t="s">
        <v>661</v>
      </c>
      <c r="S413" t="s">
        <v>689</v>
      </c>
      <c r="T413">
        <v>1</v>
      </c>
      <c r="U413" s="8">
        <f t="shared" si="45"/>
        <v>1</v>
      </c>
      <c r="AD413" t="str">
        <f t="shared" si="44"/>
        <v>e</v>
      </c>
      <c r="AE413" t="str">
        <f t="shared" si="48"/>
        <v>Zone_Entry_Exit</v>
      </c>
      <c r="AF413" t="str">
        <f t="shared" si="46"/>
        <v>Zone_Entry</v>
      </c>
      <c r="AG413" t="str">
        <f t="shared" si="47"/>
        <v>ZoneEntry-Rush</v>
      </c>
      <c r="AN413" t="str">
        <f t="shared" si="49"/>
        <v>Offensive</v>
      </c>
      <c r="BD413" s="23"/>
      <c r="BF413" s="21"/>
    </row>
    <row r="414" spans="1:58" x14ac:dyDescent="0.2">
      <c r="A414">
        <v>215</v>
      </c>
      <c r="J414">
        <v>17</v>
      </c>
      <c r="Q414" t="s">
        <v>728</v>
      </c>
      <c r="S414" t="s">
        <v>688</v>
      </c>
      <c r="T414">
        <v>1</v>
      </c>
      <c r="U414" s="8">
        <f t="shared" si="45"/>
        <v>1</v>
      </c>
      <c r="AD414" t="str">
        <f t="shared" si="44"/>
        <v>o</v>
      </c>
      <c r="AE414" t="str">
        <f t="shared" si="48"/>
        <v>Zone_Entry_Exit</v>
      </c>
      <c r="AF414" t="str">
        <f t="shared" si="46"/>
        <v>Zone_Entry</v>
      </c>
      <c r="AG414" t="str">
        <f t="shared" si="47"/>
        <v>ZoneEntry-Rush</v>
      </c>
      <c r="AN414" t="str">
        <f t="shared" si="49"/>
        <v>Defensive</v>
      </c>
      <c r="BD414" s="23"/>
      <c r="BF414" s="21"/>
    </row>
    <row r="415" spans="1:58" x14ac:dyDescent="0.2">
      <c r="A415">
        <v>216</v>
      </c>
      <c r="E415" s="5" t="s">
        <v>899</v>
      </c>
      <c r="F415" s="5" t="s">
        <v>891</v>
      </c>
      <c r="G415" s="5" t="s">
        <v>899</v>
      </c>
      <c r="H415" s="7" t="s">
        <v>868</v>
      </c>
      <c r="I415" t="s">
        <v>835</v>
      </c>
      <c r="J415">
        <v>70</v>
      </c>
      <c r="K415">
        <v>1</v>
      </c>
      <c r="L415" t="s">
        <v>401</v>
      </c>
      <c r="M415" t="s">
        <v>15</v>
      </c>
      <c r="Q415" t="s">
        <v>663</v>
      </c>
      <c r="R415" t="s">
        <v>727</v>
      </c>
      <c r="S415" t="s">
        <v>689</v>
      </c>
      <c r="U415" s="8">
        <f t="shared" si="45"/>
        <v>1</v>
      </c>
      <c r="AD415" t="str">
        <f t="shared" si="44"/>
        <v>e</v>
      </c>
      <c r="AE415" t="str">
        <f t="shared" si="48"/>
        <v>Possession</v>
      </c>
      <c r="AF415" t="str">
        <f t="shared" si="46"/>
        <v/>
      </c>
      <c r="AG415" t="str">
        <f t="shared" si="47"/>
        <v/>
      </c>
      <c r="AN415" t="str">
        <f t="shared" si="49"/>
        <v>Offensive</v>
      </c>
      <c r="BD415" s="23"/>
      <c r="BF415" s="21"/>
    </row>
    <row r="416" spans="1:58" x14ac:dyDescent="0.2">
      <c r="A416">
        <v>217</v>
      </c>
      <c r="E416" s="5" t="s">
        <v>899</v>
      </c>
      <c r="F416" s="5" t="s">
        <v>868</v>
      </c>
      <c r="G416" s="5" t="s">
        <v>899</v>
      </c>
      <c r="H416" s="7" t="s">
        <v>893</v>
      </c>
      <c r="I416" t="s">
        <v>835</v>
      </c>
      <c r="J416">
        <v>70</v>
      </c>
      <c r="K416">
        <v>1</v>
      </c>
      <c r="L416" t="s">
        <v>401</v>
      </c>
      <c r="M416" t="s">
        <v>15</v>
      </c>
      <c r="U416" s="8">
        <f t="shared" si="45"/>
        <v>1</v>
      </c>
      <c r="AD416" t="str">
        <f t="shared" si="44"/>
        <v>e</v>
      </c>
      <c r="AE416" t="str">
        <f t="shared" si="48"/>
        <v>Possession</v>
      </c>
      <c r="AF416" t="str">
        <f t="shared" si="46"/>
        <v/>
      </c>
      <c r="AG416" t="str">
        <f t="shared" si="47"/>
        <v/>
      </c>
      <c r="AN416" t="str">
        <f t="shared" si="49"/>
        <v>Offensive</v>
      </c>
      <c r="BD416" s="23"/>
      <c r="BF416" s="21"/>
    </row>
    <row r="417" spans="1:58" x14ac:dyDescent="0.2">
      <c r="A417">
        <v>218</v>
      </c>
      <c r="B417">
        <v>38</v>
      </c>
      <c r="E417" s="5" t="s">
        <v>899</v>
      </c>
      <c r="F417" s="5" t="s">
        <v>893</v>
      </c>
      <c r="I417" t="s">
        <v>835</v>
      </c>
      <c r="J417">
        <v>70</v>
      </c>
      <c r="K417">
        <v>1</v>
      </c>
      <c r="L417" t="s">
        <v>401</v>
      </c>
      <c r="M417" t="s">
        <v>8</v>
      </c>
      <c r="N417" t="s">
        <v>199</v>
      </c>
      <c r="O417" t="s">
        <v>70</v>
      </c>
      <c r="P417" t="s">
        <v>688</v>
      </c>
      <c r="T417">
        <v>1</v>
      </c>
      <c r="U417" s="8">
        <f t="shared" si="45"/>
        <v>1</v>
      </c>
      <c r="AD417" t="str">
        <f t="shared" si="44"/>
        <v>e</v>
      </c>
      <c r="AE417" t="str">
        <f t="shared" si="48"/>
        <v>Pass</v>
      </c>
      <c r="AF417" t="str">
        <f t="shared" si="46"/>
        <v>Pass_Missed</v>
      </c>
      <c r="AG417" t="str">
        <f t="shared" si="47"/>
        <v>Pass-Forehand</v>
      </c>
      <c r="AN417" t="str">
        <f t="shared" si="49"/>
        <v>Offensive</v>
      </c>
      <c r="BD417" s="23"/>
      <c r="BF417" s="21"/>
    </row>
    <row r="418" spans="1:58" x14ac:dyDescent="0.2">
      <c r="A418">
        <v>218</v>
      </c>
      <c r="B418">
        <v>38</v>
      </c>
      <c r="J418">
        <v>91</v>
      </c>
      <c r="K418">
        <v>1</v>
      </c>
      <c r="U418" s="8">
        <f t="shared" si="45"/>
        <v>1</v>
      </c>
      <c r="AD418" t="str">
        <f t="shared" si="44"/>
        <v>e</v>
      </c>
      <c r="AE418" t="str">
        <f t="shared" si="48"/>
        <v>Pass</v>
      </c>
      <c r="AF418" t="str">
        <f t="shared" si="46"/>
        <v>Pass_Missed</v>
      </c>
      <c r="AG418" t="str">
        <f t="shared" si="47"/>
        <v>Pass-Forehand</v>
      </c>
      <c r="AN418" t="str">
        <f t="shared" si="49"/>
        <v>Offensive</v>
      </c>
      <c r="BD418" s="23"/>
      <c r="BF418" s="21"/>
    </row>
    <row r="419" spans="1:58" x14ac:dyDescent="0.2">
      <c r="A419">
        <v>218</v>
      </c>
      <c r="B419">
        <v>38</v>
      </c>
      <c r="J419">
        <v>46</v>
      </c>
      <c r="T419">
        <v>1</v>
      </c>
      <c r="U419" s="8">
        <f t="shared" si="45"/>
        <v>1</v>
      </c>
      <c r="AD419" t="str">
        <f t="shared" si="44"/>
        <v>o</v>
      </c>
      <c r="AE419" t="str">
        <f t="shared" si="48"/>
        <v>Pass</v>
      </c>
      <c r="AF419" t="str">
        <f t="shared" si="46"/>
        <v>Pass_Missed</v>
      </c>
      <c r="AG419" t="str">
        <f t="shared" si="47"/>
        <v>Pass-Forehand</v>
      </c>
      <c r="AN419" t="str">
        <f t="shared" si="49"/>
        <v>Defensive</v>
      </c>
      <c r="BD419" s="23"/>
      <c r="BF419" s="21"/>
    </row>
    <row r="420" spans="1:58" x14ac:dyDescent="0.2">
      <c r="A420">
        <v>219</v>
      </c>
      <c r="B420">
        <v>38</v>
      </c>
      <c r="E420" s="5" t="s">
        <v>899</v>
      </c>
      <c r="F420" s="5" t="s">
        <v>893</v>
      </c>
      <c r="I420" t="s">
        <v>835</v>
      </c>
      <c r="J420">
        <v>70</v>
      </c>
      <c r="K420">
        <v>1</v>
      </c>
      <c r="L420" t="s">
        <v>401</v>
      </c>
      <c r="M420" t="s">
        <v>10</v>
      </c>
      <c r="N420" t="s">
        <v>190</v>
      </c>
      <c r="O420" t="s">
        <v>76</v>
      </c>
      <c r="P420" t="s">
        <v>688</v>
      </c>
      <c r="T420">
        <v>1</v>
      </c>
      <c r="U420" s="8">
        <f t="shared" si="45"/>
        <v>1</v>
      </c>
      <c r="AD420" t="str">
        <f t="shared" si="44"/>
        <v>e</v>
      </c>
      <c r="AE420" t="str">
        <f t="shared" si="48"/>
        <v>Turnover</v>
      </c>
      <c r="AF420" t="str">
        <f t="shared" si="46"/>
        <v>Turnover_Giveaway</v>
      </c>
      <c r="AG420" t="str">
        <f t="shared" si="47"/>
        <v>Giveaway-PassMissed</v>
      </c>
      <c r="AN420" t="str">
        <f t="shared" si="49"/>
        <v>Offensive</v>
      </c>
      <c r="BD420" s="23"/>
      <c r="BF420" s="21"/>
    </row>
    <row r="421" spans="1:58" x14ac:dyDescent="0.2">
      <c r="A421">
        <v>219</v>
      </c>
      <c r="B421">
        <v>38</v>
      </c>
      <c r="J421">
        <v>91</v>
      </c>
      <c r="K421">
        <v>1</v>
      </c>
      <c r="U421" s="8">
        <f t="shared" si="45"/>
        <v>1</v>
      </c>
      <c r="AD421" t="str">
        <f t="shared" si="44"/>
        <v>e</v>
      </c>
      <c r="AE421" t="str">
        <f t="shared" si="48"/>
        <v>Turnover</v>
      </c>
      <c r="AF421" t="str">
        <f t="shared" si="46"/>
        <v>Turnover_Giveaway</v>
      </c>
      <c r="AG421" t="str">
        <f t="shared" si="47"/>
        <v>Giveaway-PassMissed</v>
      </c>
      <c r="AN421" t="str">
        <f t="shared" si="49"/>
        <v>Offensive</v>
      </c>
      <c r="BD421" s="23"/>
      <c r="BF421" s="21"/>
    </row>
    <row r="422" spans="1:58" x14ac:dyDescent="0.2">
      <c r="A422">
        <v>219</v>
      </c>
      <c r="B422">
        <v>38</v>
      </c>
      <c r="J422">
        <v>46</v>
      </c>
      <c r="T422">
        <v>1</v>
      </c>
      <c r="U422" s="8">
        <f t="shared" si="45"/>
        <v>1</v>
      </c>
      <c r="AD422" t="str">
        <f t="shared" si="44"/>
        <v>o</v>
      </c>
      <c r="AE422" t="str">
        <f t="shared" si="48"/>
        <v>Turnover</v>
      </c>
      <c r="AF422" t="str">
        <f t="shared" si="46"/>
        <v>Turnover_Giveaway</v>
      </c>
      <c r="AG422" t="str">
        <f t="shared" si="47"/>
        <v>Giveaway-PassMissed</v>
      </c>
      <c r="AN422" t="str">
        <f t="shared" si="49"/>
        <v>Defensive</v>
      </c>
      <c r="BD422" s="23"/>
      <c r="BF422" s="21"/>
    </row>
    <row r="423" spans="1:58" x14ac:dyDescent="0.2">
      <c r="A423">
        <v>220</v>
      </c>
      <c r="E423" s="5" t="s">
        <v>899</v>
      </c>
      <c r="F423" s="5" t="s">
        <v>894</v>
      </c>
      <c r="G423" s="5" t="s">
        <v>891</v>
      </c>
      <c r="H423" s="7" t="s">
        <v>872</v>
      </c>
      <c r="I423" t="s">
        <v>840</v>
      </c>
      <c r="J423">
        <v>17</v>
      </c>
      <c r="K423">
        <v>1</v>
      </c>
      <c r="L423" t="s">
        <v>845</v>
      </c>
      <c r="M423" t="s">
        <v>15</v>
      </c>
      <c r="N423" t="s">
        <v>680</v>
      </c>
      <c r="P423" t="s">
        <v>689</v>
      </c>
      <c r="Q423" t="s">
        <v>701</v>
      </c>
      <c r="S423" t="s">
        <v>689</v>
      </c>
      <c r="T423">
        <v>1</v>
      </c>
      <c r="U423" s="8">
        <f t="shared" si="45"/>
        <v>1</v>
      </c>
      <c r="AD423" t="str">
        <f t="shared" si="44"/>
        <v>e</v>
      </c>
      <c r="AE423" t="str">
        <f t="shared" si="48"/>
        <v>Possession</v>
      </c>
      <c r="AF423" t="str">
        <f t="shared" si="46"/>
        <v>PuckRetrieval</v>
      </c>
      <c r="AG423" t="str">
        <f t="shared" si="47"/>
        <v/>
      </c>
      <c r="AN423" t="str">
        <f t="shared" si="49"/>
        <v>Offensive</v>
      </c>
      <c r="BD423" s="23"/>
      <c r="BF423" s="21"/>
    </row>
    <row r="424" spans="1:58" x14ac:dyDescent="0.2">
      <c r="A424">
        <v>220</v>
      </c>
      <c r="J424">
        <v>14</v>
      </c>
      <c r="T424">
        <v>1</v>
      </c>
      <c r="U424" s="8">
        <f t="shared" si="45"/>
        <v>1</v>
      </c>
      <c r="AD424" t="str">
        <f t="shared" si="44"/>
        <v>o</v>
      </c>
      <c r="AE424" t="str">
        <f t="shared" si="48"/>
        <v>Possession</v>
      </c>
      <c r="AF424" t="str">
        <f t="shared" si="46"/>
        <v>PuckRetrieval</v>
      </c>
      <c r="AG424" t="str">
        <f t="shared" si="47"/>
        <v/>
      </c>
      <c r="AN424" t="str">
        <f t="shared" si="49"/>
        <v>Defensive</v>
      </c>
      <c r="BD424" s="23"/>
      <c r="BF424" s="21"/>
    </row>
    <row r="425" spans="1:58" x14ac:dyDescent="0.2">
      <c r="A425">
        <v>221</v>
      </c>
      <c r="B425">
        <v>39</v>
      </c>
      <c r="E425" s="5" t="s">
        <v>891</v>
      </c>
      <c r="F425" s="5" t="s">
        <v>872</v>
      </c>
      <c r="I425" t="s">
        <v>840</v>
      </c>
      <c r="J425">
        <v>14</v>
      </c>
      <c r="K425">
        <v>1</v>
      </c>
      <c r="L425" t="s">
        <v>845</v>
      </c>
      <c r="M425" t="s">
        <v>8</v>
      </c>
      <c r="N425" t="s">
        <v>189</v>
      </c>
      <c r="O425" t="s">
        <v>67</v>
      </c>
      <c r="P425" t="s">
        <v>689</v>
      </c>
      <c r="Q425" t="s">
        <v>662</v>
      </c>
      <c r="S425" t="s">
        <v>689</v>
      </c>
      <c r="U425" s="8">
        <f t="shared" si="45"/>
        <v>1</v>
      </c>
      <c r="AD425" t="str">
        <f t="shared" si="44"/>
        <v>e</v>
      </c>
      <c r="AE425" t="str">
        <f t="shared" si="48"/>
        <v>Pass</v>
      </c>
      <c r="AF425" t="str">
        <f t="shared" si="46"/>
        <v>Pass_Completed</v>
      </c>
      <c r="AG425" t="str">
        <f t="shared" si="47"/>
        <v>Pass-Stretch</v>
      </c>
      <c r="AN425" t="str">
        <f t="shared" si="49"/>
        <v>Offensive</v>
      </c>
      <c r="BD425" s="23"/>
      <c r="BF425" s="21"/>
    </row>
    <row r="426" spans="1:58" x14ac:dyDescent="0.2">
      <c r="A426">
        <v>221</v>
      </c>
      <c r="B426">
        <v>39</v>
      </c>
      <c r="J426">
        <v>92</v>
      </c>
      <c r="K426">
        <v>1</v>
      </c>
      <c r="U426" s="8">
        <f t="shared" si="45"/>
        <v>1</v>
      </c>
      <c r="AD426" t="str">
        <f t="shared" si="44"/>
        <v>e</v>
      </c>
      <c r="AE426" t="str">
        <f t="shared" si="48"/>
        <v>Pass</v>
      </c>
      <c r="AF426" t="str">
        <f t="shared" si="46"/>
        <v>Pass_Completed</v>
      </c>
      <c r="AG426" t="str">
        <f t="shared" si="47"/>
        <v>Pass-Stretch</v>
      </c>
      <c r="AN426" t="str">
        <f t="shared" si="49"/>
        <v>Offensive</v>
      </c>
      <c r="BD426" s="23"/>
      <c r="BF426" s="21"/>
    </row>
    <row r="427" spans="1:58" x14ac:dyDescent="0.2">
      <c r="A427">
        <v>222</v>
      </c>
      <c r="B427">
        <v>39</v>
      </c>
      <c r="E427" s="5" t="s">
        <v>891</v>
      </c>
      <c r="F427" s="5" t="s">
        <v>872</v>
      </c>
      <c r="I427" t="s">
        <v>840</v>
      </c>
      <c r="J427">
        <v>14</v>
      </c>
      <c r="K427">
        <v>1</v>
      </c>
      <c r="L427" t="s">
        <v>845</v>
      </c>
      <c r="M427" t="s">
        <v>257</v>
      </c>
      <c r="N427" t="s">
        <v>201</v>
      </c>
      <c r="O427" t="s">
        <v>91</v>
      </c>
      <c r="P427" t="s">
        <v>689</v>
      </c>
      <c r="Q427" t="s">
        <v>662</v>
      </c>
      <c r="S427" t="s">
        <v>689</v>
      </c>
      <c r="U427" s="8">
        <f t="shared" si="45"/>
        <v>1</v>
      </c>
      <c r="AD427" t="str">
        <f t="shared" si="44"/>
        <v>e</v>
      </c>
      <c r="AE427" t="str">
        <f t="shared" si="48"/>
        <v>Zone_Entry_Exit</v>
      </c>
      <c r="AF427" t="str">
        <f t="shared" si="46"/>
        <v>Zone_Exit</v>
      </c>
      <c r="AG427" t="str">
        <f t="shared" si="47"/>
        <v>ZoneExit-Pass</v>
      </c>
      <c r="AN427" t="str">
        <f t="shared" si="49"/>
        <v>Offensive</v>
      </c>
      <c r="BD427" s="23"/>
      <c r="BF427" s="21"/>
    </row>
    <row r="428" spans="1:58" x14ac:dyDescent="0.2">
      <c r="A428">
        <v>222</v>
      </c>
      <c r="B428">
        <v>39</v>
      </c>
      <c r="J428">
        <v>92</v>
      </c>
      <c r="K428">
        <v>1</v>
      </c>
      <c r="U428" s="8">
        <f t="shared" si="45"/>
        <v>1</v>
      </c>
      <c r="AD428" t="str">
        <f t="shared" si="44"/>
        <v>e</v>
      </c>
      <c r="AE428" t="str">
        <f t="shared" si="48"/>
        <v>Zone_Entry_Exit</v>
      </c>
      <c r="AF428" t="str">
        <f t="shared" si="46"/>
        <v>Zone_Exit</v>
      </c>
      <c r="AG428" t="str">
        <f t="shared" si="47"/>
        <v>ZoneExit-Pass</v>
      </c>
      <c r="AN428" t="str">
        <f t="shared" si="49"/>
        <v>Offensive</v>
      </c>
      <c r="BD428" s="23"/>
      <c r="BF428" s="21"/>
    </row>
    <row r="429" spans="1:58" x14ac:dyDescent="0.2">
      <c r="A429">
        <v>223</v>
      </c>
      <c r="E429" s="5" t="s">
        <v>891</v>
      </c>
      <c r="F429" s="5" t="s">
        <v>873</v>
      </c>
      <c r="I429" t="s">
        <v>840</v>
      </c>
      <c r="J429">
        <v>92</v>
      </c>
      <c r="K429">
        <v>1</v>
      </c>
      <c r="L429" t="s">
        <v>839</v>
      </c>
      <c r="M429" t="s">
        <v>8</v>
      </c>
      <c r="N429" t="s">
        <v>189</v>
      </c>
      <c r="O429" t="s">
        <v>70</v>
      </c>
      <c r="P429" t="s">
        <v>689</v>
      </c>
      <c r="Q429" t="s">
        <v>749</v>
      </c>
      <c r="R429" t="s">
        <v>773</v>
      </c>
      <c r="S429" t="s">
        <v>689</v>
      </c>
      <c r="U429" s="8">
        <f t="shared" si="45"/>
        <v>1</v>
      </c>
      <c r="AD429" t="str">
        <f t="shared" si="44"/>
        <v>e</v>
      </c>
      <c r="AE429" t="str">
        <f t="shared" si="48"/>
        <v>Pass</v>
      </c>
      <c r="AF429" t="str">
        <f t="shared" si="46"/>
        <v>Pass_Completed</v>
      </c>
      <c r="AG429" t="str">
        <f t="shared" si="47"/>
        <v>Pass-Forehand</v>
      </c>
      <c r="AN429" t="str">
        <f t="shared" si="49"/>
        <v>Offensive</v>
      </c>
      <c r="BD429" s="23"/>
      <c r="BF429" s="21"/>
    </row>
    <row r="430" spans="1:58" x14ac:dyDescent="0.2">
      <c r="A430">
        <v>223</v>
      </c>
      <c r="J430">
        <v>46</v>
      </c>
      <c r="K430">
        <v>1</v>
      </c>
      <c r="U430" s="8">
        <f t="shared" si="45"/>
        <v>1</v>
      </c>
      <c r="AD430" t="str">
        <f t="shared" si="44"/>
        <v>e</v>
      </c>
      <c r="AE430" t="str">
        <f t="shared" si="48"/>
        <v>Pass</v>
      </c>
      <c r="AF430" t="str">
        <f t="shared" si="46"/>
        <v>Pass_Completed</v>
      </c>
      <c r="AG430" t="str">
        <f t="shared" si="47"/>
        <v>Pass-Forehand</v>
      </c>
      <c r="AN430" t="str">
        <f t="shared" si="49"/>
        <v>Offensive</v>
      </c>
      <c r="BD430" s="23"/>
      <c r="BF430" s="21"/>
    </row>
    <row r="431" spans="1:58" x14ac:dyDescent="0.2">
      <c r="A431">
        <v>224</v>
      </c>
      <c r="E431" s="5" t="s">
        <v>891</v>
      </c>
      <c r="F431" s="5" t="s">
        <v>873</v>
      </c>
      <c r="G431" s="5" t="s">
        <v>891</v>
      </c>
      <c r="H431" s="7" t="s">
        <v>838</v>
      </c>
      <c r="I431" t="s">
        <v>840</v>
      </c>
      <c r="J431">
        <v>46</v>
      </c>
      <c r="K431">
        <v>1</v>
      </c>
      <c r="L431" t="s">
        <v>839</v>
      </c>
      <c r="M431" t="s">
        <v>15</v>
      </c>
      <c r="U431" s="8">
        <f t="shared" si="45"/>
        <v>1</v>
      </c>
      <c r="AD431" t="str">
        <f t="shared" si="44"/>
        <v>e</v>
      </c>
      <c r="AE431" t="str">
        <f t="shared" si="48"/>
        <v>Possession</v>
      </c>
      <c r="AF431" t="str">
        <f t="shared" si="46"/>
        <v/>
      </c>
      <c r="AG431" t="str">
        <f t="shared" si="47"/>
        <v/>
      </c>
      <c r="AN431" t="str">
        <f t="shared" si="49"/>
        <v>Offensive</v>
      </c>
      <c r="BD431" s="23"/>
      <c r="BF431" s="21"/>
    </row>
    <row r="432" spans="1:58" x14ac:dyDescent="0.2">
      <c r="A432">
        <v>225</v>
      </c>
      <c r="E432" s="5" t="s">
        <v>891</v>
      </c>
      <c r="F432" s="5" t="s">
        <v>838</v>
      </c>
      <c r="G432" s="5" t="s">
        <v>891</v>
      </c>
      <c r="H432" s="7" t="s">
        <v>895</v>
      </c>
      <c r="I432" t="s">
        <v>840</v>
      </c>
      <c r="J432">
        <v>46</v>
      </c>
      <c r="K432">
        <v>1</v>
      </c>
      <c r="L432" t="s">
        <v>401</v>
      </c>
      <c r="M432" t="s">
        <v>257</v>
      </c>
      <c r="N432" t="s">
        <v>191</v>
      </c>
      <c r="O432" t="s">
        <v>87</v>
      </c>
      <c r="P432" t="s">
        <v>689</v>
      </c>
      <c r="Q432" t="s">
        <v>661</v>
      </c>
      <c r="T432">
        <v>1</v>
      </c>
      <c r="U432" s="8">
        <f t="shared" si="45"/>
        <v>1</v>
      </c>
      <c r="AD432" t="str">
        <f t="shared" si="44"/>
        <v>e</v>
      </c>
      <c r="AE432" t="str">
        <f t="shared" si="48"/>
        <v>Zone_Entry_Exit</v>
      </c>
      <c r="AF432" t="str">
        <f t="shared" si="46"/>
        <v>Zone_Entry</v>
      </c>
      <c r="AG432" t="str">
        <f t="shared" si="47"/>
        <v>ZoneEntry-Rush</v>
      </c>
      <c r="AN432" t="str">
        <f t="shared" si="49"/>
        <v>Offensive</v>
      </c>
      <c r="BD432" s="23"/>
      <c r="BF432" s="21"/>
    </row>
    <row r="433" spans="1:58" x14ac:dyDescent="0.2">
      <c r="A433">
        <v>225</v>
      </c>
      <c r="J433">
        <v>91</v>
      </c>
      <c r="Q433" t="s">
        <v>696</v>
      </c>
      <c r="T433">
        <v>1</v>
      </c>
      <c r="U433" s="8">
        <f t="shared" si="45"/>
        <v>1</v>
      </c>
      <c r="AD433" t="str">
        <f t="shared" si="44"/>
        <v>o</v>
      </c>
      <c r="AE433" t="str">
        <f t="shared" si="48"/>
        <v>Zone_Entry_Exit</v>
      </c>
      <c r="AF433" t="str">
        <f t="shared" si="46"/>
        <v>Zone_Entry</v>
      </c>
      <c r="AG433" t="str">
        <f t="shared" si="47"/>
        <v>ZoneEntry-Rush</v>
      </c>
      <c r="AN433" t="str">
        <f t="shared" si="49"/>
        <v>Defensive</v>
      </c>
      <c r="BD433" s="23"/>
      <c r="BF433" s="21"/>
    </row>
    <row r="434" spans="1:58" x14ac:dyDescent="0.2">
      <c r="A434">
        <v>225</v>
      </c>
      <c r="J434">
        <v>22</v>
      </c>
      <c r="Q434" t="s">
        <v>696</v>
      </c>
      <c r="T434">
        <v>1</v>
      </c>
      <c r="U434" s="8">
        <f t="shared" si="45"/>
        <v>1</v>
      </c>
      <c r="AD434" t="str">
        <f t="shared" si="44"/>
        <v>o</v>
      </c>
      <c r="AE434" t="str">
        <f t="shared" si="48"/>
        <v>Zone_Entry_Exit</v>
      </c>
      <c r="AF434" t="str">
        <f t="shared" si="46"/>
        <v>Zone_Entry</v>
      </c>
      <c r="AG434" t="str">
        <f t="shared" si="47"/>
        <v>ZoneEntry-Rush</v>
      </c>
      <c r="AN434" t="str">
        <f t="shared" si="49"/>
        <v>Defensive</v>
      </c>
      <c r="BD434" s="23"/>
      <c r="BF434" s="21"/>
    </row>
    <row r="435" spans="1:58" x14ac:dyDescent="0.2">
      <c r="A435">
        <v>226</v>
      </c>
      <c r="E435" s="5" t="s">
        <v>891</v>
      </c>
      <c r="F435" s="5" t="s">
        <v>895</v>
      </c>
      <c r="I435" t="s">
        <v>835</v>
      </c>
      <c r="J435">
        <v>22</v>
      </c>
      <c r="K435">
        <v>1</v>
      </c>
      <c r="L435" t="s">
        <v>845</v>
      </c>
      <c r="M435" t="s">
        <v>247</v>
      </c>
      <c r="N435" t="s">
        <v>422</v>
      </c>
      <c r="O435" t="s">
        <v>465</v>
      </c>
      <c r="P435" t="s">
        <v>689</v>
      </c>
      <c r="Q435" t="s">
        <v>696</v>
      </c>
      <c r="T435">
        <v>1</v>
      </c>
      <c r="U435" s="8">
        <f t="shared" si="45"/>
        <v>1</v>
      </c>
      <c r="AD435" t="str">
        <f t="shared" si="44"/>
        <v>e</v>
      </c>
      <c r="AE435" t="str">
        <f t="shared" si="48"/>
        <v>Play</v>
      </c>
      <c r="AF435" t="str">
        <f t="shared" si="46"/>
        <v>Play_Defensive</v>
      </c>
      <c r="AG435" t="str">
        <f t="shared" si="47"/>
        <v>Play-PokeCheck</v>
      </c>
      <c r="AN435" t="str">
        <f t="shared" si="49"/>
        <v>Defensive</v>
      </c>
      <c r="BD435" s="23"/>
      <c r="BF435" s="21"/>
    </row>
    <row r="436" spans="1:58" x14ac:dyDescent="0.2">
      <c r="A436">
        <v>226</v>
      </c>
      <c r="J436">
        <v>91</v>
      </c>
      <c r="K436">
        <v>1</v>
      </c>
      <c r="Q436" t="s">
        <v>696</v>
      </c>
      <c r="T436">
        <v>1</v>
      </c>
      <c r="U436" s="8">
        <f t="shared" si="45"/>
        <v>1</v>
      </c>
      <c r="AD436" t="str">
        <f t="shared" si="44"/>
        <v>e</v>
      </c>
      <c r="AE436" t="str">
        <f t="shared" si="48"/>
        <v>Play</v>
      </c>
      <c r="AF436" t="str">
        <f t="shared" si="46"/>
        <v>Play_Defensive</v>
      </c>
      <c r="AG436" t="str">
        <f t="shared" si="47"/>
        <v>Play-PokeCheck</v>
      </c>
      <c r="AN436" t="str">
        <f t="shared" si="49"/>
        <v>Defensive</v>
      </c>
      <c r="BD436" s="23"/>
      <c r="BF436" s="21"/>
    </row>
    <row r="437" spans="1:58" x14ac:dyDescent="0.2">
      <c r="A437">
        <v>226</v>
      </c>
      <c r="J437">
        <v>46</v>
      </c>
      <c r="T437">
        <v>1</v>
      </c>
      <c r="U437" s="8">
        <f t="shared" si="45"/>
        <v>1</v>
      </c>
      <c r="AD437" t="str">
        <f t="shared" si="44"/>
        <v>o</v>
      </c>
      <c r="AE437" t="str">
        <f t="shared" si="48"/>
        <v>Play</v>
      </c>
      <c r="AF437" t="str">
        <f t="shared" si="46"/>
        <v>Play_Defensive</v>
      </c>
      <c r="AG437" t="str">
        <f t="shared" si="47"/>
        <v>Play-PokeCheck</v>
      </c>
      <c r="AN437" t="str">
        <f t="shared" si="49"/>
        <v>Offensive</v>
      </c>
      <c r="BD437" s="23"/>
      <c r="BF437" s="21"/>
    </row>
    <row r="438" spans="1:58" x14ac:dyDescent="0.2">
      <c r="A438">
        <v>227</v>
      </c>
      <c r="E438" s="5" t="s">
        <v>891</v>
      </c>
      <c r="F438" s="5" t="s">
        <v>874</v>
      </c>
      <c r="G438" s="5" t="s">
        <v>891</v>
      </c>
      <c r="H438" s="7" t="s">
        <v>843</v>
      </c>
      <c r="I438" t="s">
        <v>840</v>
      </c>
      <c r="J438">
        <v>46</v>
      </c>
      <c r="K438">
        <v>1</v>
      </c>
      <c r="L438" t="s">
        <v>401</v>
      </c>
      <c r="M438" t="s">
        <v>15</v>
      </c>
      <c r="Q438" t="s">
        <v>661</v>
      </c>
      <c r="T438">
        <v>1</v>
      </c>
      <c r="U438" s="8">
        <f t="shared" si="45"/>
        <v>1</v>
      </c>
      <c r="AD438" t="str">
        <f t="shared" si="44"/>
        <v>e</v>
      </c>
      <c r="AE438" t="str">
        <f t="shared" si="48"/>
        <v>Possession</v>
      </c>
      <c r="AF438" t="str">
        <f t="shared" si="46"/>
        <v/>
      </c>
      <c r="AG438" t="str">
        <f t="shared" si="47"/>
        <v/>
      </c>
      <c r="AN438" t="str">
        <f t="shared" si="49"/>
        <v>Offensive</v>
      </c>
      <c r="BD438" s="23"/>
      <c r="BF438" s="21"/>
    </row>
    <row r="439" spans="1:58" x14ac:dyDescent="0.2">
      <c r="A439">
        <v>227</v>
      </c>
      <c r="J439">
        <v>22</v>
      </c>
      <c r="T439">
        <v>1</v>
      </c>
      <c r="U439" s="8">
        <f t="shared" si="45"/>
        <v>1</v>
      </c>
      <c r="AD439" t="str">
        <f t="shared" si="44"/>
        <v>o</v>
      </c>
      <c r="AE439" t="str">
        <f t="shared" si="48"/>
        <v>Possession</v>
      </c>
      <c r="AF439" t="str">
        <f t="shared" si="46"/>
        <v/>
      </c>
      <c r="AG439" t="str">
        <f t="shared" si="47"/>
        <v/>
      </c>
      <c r="AN439" t="str">
        <f t="shared" si="49"/>
        <v>Defensive</v>
      </c>
      <c r="BD439" s="23"/>
      <c r="BF439" s="21"/>
    </row>
    <row r="440" spans="1:58" x14ac:dyDescent="0.2">
      <c r="A440">
        <v>228</v>
      </c>
      <c r="B440">
        <v>40</v>
      </c>
      <c r="E440" s="5" t="s">
        <v>891</v>
      </c>
      <c r="F440" s="5" t="s">
        <v>843</v>
      </c>
      <c r="I440" t="s">
        <v>840</v>
      </c>
      <c r="J440">
        <v>46</v>
      </c>
      <c r="K440">
        <v>1</v>
      </c>
      <c r="L440" t="s">
        <v>401</v>
      </c>
      <c r="M440" t="s">
        <v>7</v>
      </c>
      <c r="N440" t="s">
        <v>208</v>
      </c>
      <c r="O440" t="s">
        <v>53</v>
      </c>
      <c r="P440" t="s">
        <v>688</v>
      </c>
      <c r="T440">
        <v>1</v>
      </c>
      <c r="U440" s="8">
        <f t="shared" si="45"/>
        <v>1</v>
      </c>
      <c r="AD440" t="str">
        <f t="shared" si="44"/>
        <v>e</v>
      </c>
      <c r="AE440" t="str">
        <f t="shared" si="48"/>
        <v>Shot</v>
      </c>
      <c r="AF440" t="str">
        <f t="shared" si="46"/>
        <v>Shot_Blocked</v>
      </c>
      <c r="AG440" t="str">
        <f t="shared" si="47"/>
        <v>Shot-Wrist</v>
      </c>
      <c r="AN440" t="str">
        <f t="shared" si="49"/>
        <v>Offensive</v>
      </c>
      <c r="BD440" s="23"/>
      <c r="BF440" s="21"/>
    </row>
    <row r="441" spans="1:58" x14ac:dyDescent="0.2">
      <c r="A441">
        <v>228</v>
      </c>
      <c r="B441">
        <v>40</v>
      </c>
      <c r="J441">
        <v>91</v>
      </c>
      <c r="Q441" t="s">
        <v>696</v>
      </c>
      <c r="T441">
        <v>1</v>
      </c>
      <c r="U441" s="8">
        <f t="shared" si="45"/>
        <v>1</v>
      </c>
      <c r="AD441" t="str">
        <f t="shared" si="44"/>
        <v>o</v>
      </c>
      <c r="AE441" t="str">
        <f t="shared" si="48"/>
        <v>Shot</v>
      </c>
      <c r="AF441" t="str">
        <f t="shared" si="46"/>
        <v>Shot_Blocked</v>
      </c>
      <c r="AG441" t="str">
        <f t="shared" si="47"/>
        <v>Shot-Wrist</v>
      </c>
      <c r="AN441" t="str">
        <f t="shared" si="49"/>
        <v>Defensive</v>
      </c>
      <c r="BD441" s="23"/>
      <c r="BF441" s="21"/>
    </row>
    <row r="442" spans="1:58" x14ac:dyDescent="0.2">
      <c r="A442">
        <v>228</v>
      </c>
      <c r="B442">
        <v>40</v>
      </c>
      <c r="J442">
        <v>22</v>
      </c>
      <c r="Q442" t="s">
        <v>665</v>
      </c>
      <c r="S442" t="s">
        <v>689</v>
      </c>
      <c r="T442">
        <v>1</v>
      </c>
      <c r="U442" s="8">
        <f t="shared" si="45"/>
        <v>1</v>
      </c>
      <c r="AD442" t="str">
        <f t="shared" si="44"/>
        <v>o</v>
      </c>
      <c r="AE442" t="str">
        <f t="shared" si="48"/>
        <v>Shot</v>
      </c>
      <c r="AF442" t="str">
        <f t="shared" si="46"/>
        <v>Shot_Blocked</v>
      </c>
      <c r="AG442" t="str">
        <f t="shared" si="47"/>
        <v>Shot-Wrist</v>
      </c>
      <c r="AN442" t="str">
        <f t="shared" si="49"/>
        <v>Defensive</v>
      </c>
      <c r="BD442" s="23"/>
      <c r="BF442" s="21"/>
    </row>
    <row r="443" spans="1:58" x14ac:dyDescent="0.2">
      <c r="A443">
        <v>229</v>
      </c>
      <c r="B443">
        <v>40</v>
      </c>
      <c r="E443" s="5" t="s">
        <v>891</v>
      </c>
      <c r="F443" s="5" t="s">
        <v>843</v>
      </c>
      <c r="I443" t="s">
        <v>840</v>
      </c>
      <c r="J443">
        <v>46</v>
      </c>
      <c r="K443">
        <v>1</v>
      </c>
      <c r="L443" t="s">
        <v>401</v>
      </c>
      <c r="M443" t="s">
        <v>10</v>
      </c>
      <c r="N443" t="s">
        <v>190</v>
      </c>
      <c r="O443" t="s">
        <v>78</v>
      </c>
      <c r="P443" t="s">
        <v>688</v>
      </c>
      <c r="T443">
        <v>1</v>
      </c>
      <c r="U443" s="8">
        <f t="shared" si="45"/>
        <v>1</v>
      </c>
      <c r="AD443" t="str">
        <f t="shared" si="44"/>
        <v>e</v>
      </c>
      <c r="AE443" t="str">
        <f t="shared" si="48"/>
        <v>Turnover</v>
      </c>
      <c r="AF443" t="str">
        <f t="shared" si="46"/>
        <v>Turnover_Giveaway</v>
      </c>
      <c r="AG443" t="str">
        <f t="shared" si="47"/>
        <v>Giveaway-ShotBlocked</v>
      </c>
      <c r="AN443" t="str">
        <f t="shared" si="49"/>
        <v>Offensive</v>
      </c>
      <c r="BD443" s="23"/>
      <c r="BF443" s="21"/>
    </row>
    <row r="444" spans="1:58" x14ac:dyDescent="0.2">
      <c r="A444">
        <v>229</v>
      </c>
      <c r="B444">
        <v>40</v>
      </c>
      <c r="J444">
        <v>91</v>
      </c>
      <c r="Q444" t="s">
        <v>696</v>
      </c>
      <c r="T444">
        <v>1</v>
      </c>
      <c r="U444" s="8">
        <f t="shared" si="45"/>
        <v>1</v>
      </c>
      <c r="AD444" t="str">
        <f t="shared" si="44"/>
        <v>o</v>
      </c>
      <c r="AE444" t="str">
        <f t="shared" si="48"/>
        <v>Turnover</v>
      </c>
      <c r="AF444" t="str">
        <f t="shared" si="46"/>
        <v>Turnover_Giveaway</v>
      </c>
      <c r="AG444" t="str">
        <f t="shared" si="47"/>
        <v>Giveaway-ShotBlocked</v>
      </c>
      <c r="AN444" t="str">
        <f t="shared" si="49"/>
        <v>Defensive</v>
      </c>
      <c r="BD444" s="23"/>
      <c r="BF444" s="21"/>
    </row>
    <row r="445" spans="1:58" x14ac:dyDescent="0.2">
      <c r="A445">
        <v>229</v>
      </c>
      <c r="B445">
        <v>40</v>
      </c>
      <c r="J445">
        <v>22</v>
      </c>
      <c r="Q445" t="s">
        <v>665</v>
      </c>
      <c r="S445" t="s">
        <v>689</v>
      </c>
      <c r="T445">
        <v>1</v>
      </c>
      <c r="U445" s="8">
        <f t="shared" si="45"/>
        <v>1</v>
      </c>
      <c r="AD445" t="str">
        <f t="shared" si="44"/>
        <v>o</v>
      </c>
      <c r="AE445" t="str">
        <f t="shared" si="48"/>
        <v>Turnover</v>
      </c>
      <c r="AF445" t="str">
        <f t="shared" si="46"/>
        <v>Turnover_Giveaway</v>
      </c>
      <c r="AG445" t="str">
        <f t="shared" si="47"/>
        <v>Giveaway-ShotBlocked</v>
      </c>
      <c r="AN445" t="str">
        <f t="shared" si="49"/>
        <v>Defensive</v>
      </c>
      <c r="BD445" s="23"/>
      <c r="BF445" s="21"/>
    </row>
    <row r="446" spans="1:58" x14ac:dyDescent="0.2">
      <c r="A446">
        <v>230</v>
      </c>
      <c r="E446" s="5" t="s">
        <v>891</v>
      </c>
      <c r="F446" s="5" t="s">
        <v>843</v>
      </c>
      <c r="I446" t="s">
        <v>835</v>
      </c>
      <c r="J446">
        <v>22</v>
      </c>
      <c r="K446">
        <v>1</v>
      </c>
      <c r="L446" t="s">
        <v>845</v>
      </c>
      <c r="M446" t="s">
        <v>10</v>
      </c>
      <c r="N446" t="s">
        <v>190</v>
      </c>
      <c r="O446" t="s">
        <v>398</v>
      </c>
      <c r="P446" t="s">
        <v>688</v>
      </c>
      <c r="Q446" t="s">
        <v>708</v>
      </c>
      <c r="S446" t="s">
        <v>688</v>
      </c>
      <c r="U446" s="8">
        <f t="shared" si="45"/>
        <v>1</v>
      </c>
      <c r="AD446" t="str">
        <f t="shared" si="44"/>
        <v>e</v>
      </c>
      <c r="AE446" t="str">
        <f t="shared" si="48"/>
        <v>Turnover</v>
      </c>
      <c r="AF446" t="str">
        <f t="shared" si="46"/>
        <v>Turnover_Giveaway</v>
      </c>
      <c r="AG446" t="str">
        <f t="shared" si="47"/>
        <v>Giveaway-AttemptedZoneClear/Dump</v>
      </c>
      <c r="AN446" t="str">
        <f t="shared" si="49"/>
        <v>Offensive</v>
      </c>
      <c r="BD446" s="23"/>
      <c r="BF446" s="21"/>
    </row>
    <row r="447" spans="1:58" x14ac:dyDescent="0.2">
      <c r="A447">
        <v>231</v>
      </c>
      <c r="E447" s="5" t="s">
        <v>891</v>
      </c>
      <c r="F447" s="5" t="s">
        <v>876</v>
      </c>
      <c r="I447" t="s">
        <v>840</v>
      </c>
      <c r="J447">
        <v>7</v>
      </c>
      <c r="K447">
        <v>1</v>
      </c>
      <c r="L447" t="s">
        <v>401</v>
      </c>
      <c r="M447" t="s">
        <v>15</v>
      </c>
      <c r="N447" t="s">
        <v>680</v>
      </c>
      <c r="P447" t="s">
        <v>689</v>
      </c>
      <c r="Q447" t="s">
        <v>694</v>
      </c>
      <c r="S447" t="s">
        <v>689</v>
      </c>
      <c r="U447" s="8">
        <f t="shared" si="45"/>
        <v>1</v>
      </c>
      <c r="AD447" t="str">
        <f t="shared" si="44"/>
        <v>e</v>
      </c>
      <c r="AE447" t="str">
        <f t="shared" si="48"/>
        <v>Possession</v>
      </c>
      <c r="AF447" t="str">
        <f t="shared" si="46"/>
        <v>PuckRetrieval</v>
      </c>
      <c r="AG447" t="str">
        <f t="shared" si="47"/>
        <v/>
      </c>
      <c r="AN447" t="str">
        <f t="shared" si="49"/>
        <v>Offensive</v>
      </c>
      <c r="BD447" s="23"/>
      <c r="BF447" s="21"/>
    </row>
    <row r="448" spans="1:58" x14ac:dyDescent="0.2">
      <c r="A448">
        <v>232</v>
      </c>
      <c r="B448">
        <v>41</v>
      </c>
      <c r="E448" s="5" t="s">
        <v>891</v>
      </c>
      <c r="F448" s="5" t="s">
        <v>846</v>
      </c>
      <c r="I448" t="s">
        <v>840</v>
      </c>
      <c r="J448">
        <v>7</v>
      </c>
      <c r="K448">
        <v>1</v>
      </c>
      <c r="L448" t="s">
        <v>401</v>
      </c>
      <c r="M448" t="s">
        <v>7</v>
      </c>
      <c r="N448" t="s">
        <v>222</v>
      </c>
      <c r="O448" t="s">
        <v>53</v>
      </c>
      <c r="P448" t="s">
        <v>689</v>
      </c>
      <c r="U448" s="8">
        <f t="shared" si="45"/>
        <v>1</v>
      </c>
      <c r="AD448" t="str">
        <f t="shared" si="44"/>
        <v>e</v>
      </c>
      <c r="AE448" t="str">
        <f t="shared" si="48"/>
        <v>Shot</v>
      </c>
      <c r="AF448" t="str">
        <f t="shared" si="46"/>
        <v>Shot_OnNetSaved</v>
      </c>
      <c r="AG448" t="str">
        <f t="shared" si="47"/>
        <v>Shot-Wrist</v>
      </c>
      <c r="AN448" t="str">
        <f t="shared" si="49"/>
        <v>Offensive</v>
      </c>
      <c r="BD448" s="23"/>
      <c r="BF448" s="21"/>
    </row>
    <row r="449" spans="1:58" x14ac:dyDescent="0.2">
      <c r="A449">
        <v>232</v>
      </c>
      <c r="B449">
        <v>41</v>
      </c>
      <c r="J449">
        <v>71</v>
      </c>
      <c r="K449">
        <v>1</v>
      </c>
      <c r="Q449" t="s">
        <v>779</v>
      </c>
      <c r="T449">
        <v>1</v>
      </c>
      <c r="U449" s="8">
        <f t="shared" si="45"/>
        <v>1</v>
      </c>
      <c r="AD449" t="str">
        <f t="shared" si="44"/>
        <v>e</v>
      </c>
      <c r="AE449" t="str">
        <f t="shared" si="48"/>
        <v>Shot</v>
      </c>
      <c r="AF449" t="str">
        <f t="shared" si="46"/>
        <v>Shot_OnNetSaved</v>
      </c>
      <c r="AG449" t="str">
        <f t="shared" si="47"/>
        <v>Shot-Wrist</v>
      </c>
      <c r="AN449" t="str">
        <f t="shared" si="49"/>
        <v>Offensive</v>
      </c>
      <c r="BD449" s="23"/>
      <c r="BF449" s="21"/>
    </row>
    <row r="450" spans="1:58" x14ac:dyDescent="0.2">
      <c r="A450">
        <v>232</v>
      </c>
      <c r="B450">
        <v>41</v>
      </c>
      <c r="J450">
        <v>92</v>
      </c>
      <c r="K450">
        <v>1</v>
      </c>
      <c r="Q450" t="s">
        <v>779</v>
      </c>
      <c r="T450">
        <v>1</v>
      </c>
      <c r="U450" s="8">
        <f t="shared" si="45"/>
        <v>1</v>
      </c>
      <c r="AD450" t="str">
        <f t="shared" ref="AD450:AD513" si="50">IF(K450="x","",IF(K450=1,"e","o"))</f>
        <v>e</v>
      </c>
      <c r="AE450" t="str">
        <f t="shared" si="48"/>
        <v>Shot</v>
      </c>
      <c r="AF450" t="str">
        <f t="shared" si="46"/>
        <v>Shot_OnNetSaved</v>
      </c>
      <c r="AG450" t="str">
        <f t="shared" si="47"/>
        <v>Shot-Wrist</v>
      </c>
      <c r="AN450" t="str">
        <f t="shared" si="49"/>
        <v>Offensive</v>
      </c>
      <c r="BD450" s="23"/>
      <c r="BF450" s="21"/>
    </row>
    <row r="451" spans="1:58" x14ac:dyDescent="0.2">
      <c r="A451">
        <v>232</v>
      </c>
      <c r="B451">
        <v>41</v>
      </c>
      <c r="J451">
        <v>39</v>
      </c>
      <c r="U451" s="8">
        <f t="shared" ref="U451:U514" si="51">IF(M451="Intermission",U450+1,U450)</f>
        <v>1</v>
      </c>
      <c r="AD451" t="str">
        <f t="shared" si="50"/>
        <v>o</v>
      </c>
      <c r="AE451" t="str">
        <f t="shared" si="48"/>
        <v>Shot</v>
      </c>
      <c r="AF451" t="str">
        <f t="shared" ref="AF451:AF514" si="52">IF(N451&lt;&gt;"",N451,IF($A451=$A450,AF450,""))</f>
        <v>Shot_OnNetSaved</v>
      </c>
      <c r="AG451" t="str">
        <f t="shared" ref="AG451:AG514" si="53">IF(O451&lt;&gt;"",O451,IF($A451=$A450,AG450,""))</f>
        <v>Shot-Wrist</v>
      </c>
      <c r="AN451" t="str">
        <f t="shared" si="49"/>
        <v>Defensive</v>
      </c>
      <c r="BD451" s="23"/>
      <c r="BF451" s="21"/>
    </row>
    <row r="452" spans="1:58" x14ac:dyDescent="0.2">
      <c r="A452">
        <v>232</v>
      </c>
      <c r="B452">
        <v>41</v>
      </c>
      <c r="J452">
        <v>91</v>
      </c>
      <c r="Q452" t="s">
        <v>745</v>
      </c>
      <c r="T452">
        <v>1</v>
      </c>
      <c r="U452" s="8">
        <f t="shared" si="51"/>
        <v>1</v>
      </c>
      <c r="AD452" t="str">
        <f t="shared" si="50"/>
        <v>o</v>
      </c>
      <c r="AE452" t="str">
        <f t="shared" ref="AE452:AE515" si="54">IF(M452&lt;&gt;"",M452,IF($A452=$A451,AE451,""))</f>
        <v>Shot</v>
      </c>
      <c r="AF452" t="str">
        <f t="shared" si="52"/>
        <v>Shot_OnNetSaved</v>
      </c>
      <c r="AG452" t="str">
        <f t="shared" si="53"/>
        <v>Shot-Wrist</v>
      </c>
      <c r="AN452" t="str">
        <f t="shared" si="49"/>
        <v>Defensive</v>
      </c>
      <c r="BD452" s="23"/>
      <c r="BF452" s="21"/>
    </row>
    <row r="453" spans="1:58" x14ac:dyDescent="0.2">
      <c r="A453">
        <v>233</v>
      </c>
      <c r="B453">
        <v>41</v>
      </c>
      <c r="E453" s="5" t="s">
        <v>891</v>
      </c>
      <c r="F453" s="5" t="s">
        <v>846</v>
      </c>
      <c r="I453" t="s">
        <v>845</v>
      </c>
      <c r="J453">
        <v>39</v>
      </c>
      <c r="K453">
        <v>1</v>
      </c>
      <c r="L453" t="s">
        <v>845</v>
      </c>
      <c r="M453" t="s">
        <v>17</v>
      </c>
      <c r="N453" t="s">
        <v>196</v>
      </c>
      <c r="O453" t="s">
        <v>98</v>
      </c>
      <c r="U453" s="8">
        <f t="shared" si="51"/>
        <v>1</v>
      </c>
      <c r="AD453" t="str">
        <f t="shared" si="50"/>
        <v>e</v>
      </c>
      <c r="AE453" t="str">
        <f t="shared" si="54"/>
        <v>Save</v>
      </c>
      <c r="AF453" t="str">
        <f t="shared" si="52"/>
        <v>Save_Rebound</v>
      </c>
      <c r="AG453" t="str">
        <f t="shared" si="53"/>
        <v>Save-LeftPad</v>
      </c>
      <c r="AN453" t="str">
        <f t="shared" si="49"/>
        <v>Defensive</v>
      </c>
      <c r="BD453" s="23"/>
      <c r="BF453" s="21"/>
    </row>
    <row r="454" spans="1:58" x14ac:dyDescent="0.2">
      <c r="A454">
        <v>233</v>
      </c>
      <c r="B454">
        <v>41</v>
      </c>
      <c r="J454">
        <v>91</v>
      </c>
      <c r="K454">
        <v>1</v>
      </c>
      <c r="Q454" t="s">
        <v>745</v>
      </c>
      <c r="T454">
        <v>1</v>
      </c>
      <c r="U454" s="8">
        <f t="shared" si="51"/>
        <v>1</v>
      </c>
      <c r="AD454" t="str">
        <f t="shared" si="50"/>
        <v>e</v>
      </c>
      <c r="AE454" t="str">
        <f t="shared" si="54"/>
        <v>Save</v>
      </c>
      <c r="AF454" t="str">
        <f t="shared" si="52"/>
        <v>Save_Rebound</v>
      </c>
      <c r="AG454" t="str">
        <f t="shared" si="53"/>
        <v>Save-LeftPad</v>
      </c>
      <c r="AN454" t="str">
        <f t="shared" si="49"/>
        <v>Defensive</v>
      </c>
      <c r="BD454" s="23"/>
      <c r="BF454" s="21"/>
    </row>
    <row r="455" spans="1:58" x14ac:dyDescent="0.2">
      <c r="A455">
        <v>233</v>
      </c>
      <c r="B455">
        <v>41</v>
      </c>
      <c r="J455">
        <v>7</v>
      </c>
      <c r="U455" s="8">
        <f t="shared" si="51"/>
        <v>1</v>
      </c>
      <c r="AD455" t="str">
        <f t="shared" si="50"/>
        <v>o</v>
      </c>
      <c r="AE455" t="str">
        <f t="shared" si="54"/>
        <v>Save</v>
      </c>
      <c r="AF455" t="str">
        <f t="shared" si="52"/>
        <v>Save_Rebound</v>
      </c>
      <c r="AG455" t="str">
        <f t="shared" si="53"/>
        <v>Save-LeftPad</v>
      </c>
      <c r="AN455" t="str">
        <f t="shared" si="49"/>
        <v>Offensive</v>
      </c>
      <c r="BD455" s="23"/>
      <c r="BF455" s="21"/>
    </row>
    <row r="456" spans="1:58" x14ac:dyDescent="0.2">
      <c r="A456">
        <v>233</v>
      </c>
      <c r="B456">
        <v>41</v>
      </c>
      <c r="J456">
        <v>71</v>
      </c>
      <c r="Q456" t="s">
        <v>779</v>
      </c>
      <c r="T456">
        <v>1</v>
      </c>
      <c r="U456" s="8">
        <f t="shared" si="51"/>
        <v>1</v>
      </c>
      <c r="AD456" t="str">
        <f t="shared" si="50"/>
        <v>o</v>
      </c>
      <c r="AE456" t="str">
        <f t="shared" si="54"/>
        <v>Save</v>
      </c>
      <c r="AF456" t="str">
        <f t="shared" si="52"/>
        <v>Save_Rebound</v>
      </c>
      <c r="AG456" t="str">
        <f t="shared" si="53"/>
        <v>Save-LeftPad</v>
      </c>
      <c r="AN456" t="str">
        <f t="shared" si="49"/>
        <v>Offensive</v>
      </c>
      <c r="BD456" s="23"/>
      <c r="BF456" s="21"/>
    </row>
    <row r="457" spans="1:58" x14ac:dyDescent="0.2">
      <c r="A457">
        <v>233</v>
      </c>
      <c r="B457">
        <v>41</v>
      </c>
      <c r="J457">
        <v>92</v>
      </c>
      <c r="Q457" t="s">
        <v>779</v>
      </c>
      <c r="T457">
        <v>1</v>
      </c>
      <c r="U457" s="8">
        <f t="shared" si="51"/>
        <v>1</v>
      </c>
      <c r="AD457" t="str">
        <f t="shared" si="50"/>
        <v>o</v>
      </c>
      <c r="AE457" t="str">
        <f t="shared" si="54"/>
        <v>Save</v>
      </c>
      <c r="AF457" t="str">
        <f t="shared" si="52"/>
        <v>Save_Rebound</v>
      </c>
      <c r="AG457" t="str">
        <f t="shared" si="53"/>
        <v>Save-LeftPad</v>
      </c>
      <c r="AN457" t="str">
        <f t="shared" ref="AN457:AN520" si="55">IF(AND(AD457="e",OR(AE457="Save",AF457="Turnover_Takeaway",AF457="Play_Defensive")),"Defensive",IF(AND(AD457="o",OR(AE457="Save",AF457="Turnover_Takeaway",AF457="Play_Defensive")),"Offensive",IF(OR(AE457="Deadice",AE457="Stoppage",AE457="Intermission"),"",IF(AD457="e","Offensive",IF(AD457="o","Defensive","")))))</f>
        <v>Offensive</v>
      </c>
      <c r="BD457" s="23"/>
      <c r="BF457" s="21"/>
    </row>
    <row r="458" spans="1:58" x14ac:dyDescent="0.2">
      <c r="A458">
        <v>234</v>
      </c>
      <c r="B458">
        <v>41</v>
      </c>
      <c r="E458" s="5" t="s">
        <v>891</v>
      </c>
      <c r="F458" s="5" t="s">
        <v>846</v>
      </c>
      <c r="I458" t="s">
        <v>845</v>
      </c>
      <c r="J458">
        <v>39</v>
      </c>
      <c r="K458">
        <v>1</v>
      </c>
      <c r="L458" t="s">
        <v>845</v>
      </c>
      <c r="M458" t="s">
        <v>250</v>
      </c>
      <c r="N458" t="s">
        <v>252</v>
      </c>
      <c r="U458" s="8">
        <f t="shared" si="51"/>
        <v>1</v>
      </c>
      <c r="AD458" t="str">
        <f t="shared" si="50"/>
        <v>e</v>
      </c>
      <c r="AE458" t="str">
        <f t="shared" si="54"/>
        <v>Rebound</v>
      </c>
      <c r="AF458" t="str">
        <f t="shared" si="52"/>
        <v>Rebound_OppTeamRecovered</v>
      </c>
      <c r="AG458" t="str">
        <f t="shared" si="53"/>
        <v/>
      </c>
      <c r="AN458" t="str">
        <f t="shared" si="55"/>
        <v>Offensive</v>
      </c>
      <c r="BD458" s="23"/>
      <c r="BF458" s="21"/>
    </row>
    <row r="459" spans="1:58" x14ac:dyDescent="0.2">
      <c r="A459">
        <v>235</v>
      </c>
      <c r="E459" s="5" t="s">
        <v>891</v>
      </c>
      <c r="F459" s="5" t="s">
        <v>877</v>
      </c>
      <c r="G459" s="5" t="s">
        <v>891</v>
      </c>
      <c r="H459" s="7" t="s">
        <v>888</v>
      </c>
      <c r="I459" t="s">
        <v>840</v>
      </c>
      <c r="J459">
        <v>92</v>
      </c>
      <c r="K459">
        <v>1</v>
      </c>
      <c r="L459" t="s">
        <v>401</v>
      </c>
      <c r="M459" t="s">
        <v>15</v>
      </c>
      <c r="N459" t="s">
        <v>681</v>
      </c>
      <c r="P459" t="s">
        <v>689</v>
      </c>
      <c r="Q459" t="s">
        <v>747</v>
      </c>
      <c r="S459" t="s">
        <v>689</v>
      </c>
      <c r="T459">
        <v>1</v>
      </c>
      <c r="U459" s="8">
        <f t="shared" si="51"/>
        <v>1</v>
      </c>
      <c r="AD459" t="str">
        <f t="shared" si="50"/>
        <v>e</v>
      </c>
      <c r="AE459" t="str">
        <f t="shared" si="54"/>
        <v>Possession</v>
      </c>
      <c r="AF459" t="str">
        <f t="shared" si="52"/>
        <v>PuckRecovery</v>
      </c>
      <c r="AG459" t="str">
        <f t="shared" si="53"/>
        <v/>
      </c>
      <c r="AN459" t="str">
        <f t="shared" si="55"/>
        <v>Offensive</v>
      </c>
      <c r="BD459" s="23"/>
      <c r="BF459" s="21"/>
    </row>
    <row r="460" spans="1:58" x14ac:dyDescent="0.2">
      <c r="A460">
        <v>235</v>
      </c>
      <c r="J460">
        <v>91</v>
      </c>
      <c r="T460">
        <v>1</v>
      </c>
      <c r="U460" s="8">
        <f t="shared" si="51"/>
        <v>1</v>
      </c>
      <c r="AD460" t="str">
        <f t="shared" si="50"/>
        <v>o</v>
      </c>
      <c r="AE460" t="str">
        <f t="shared" si="54"/>
        <v>Possession</v>
      </c>
      <c r="AF460" t="str">
        <f t="shared" si="52"/>
        <v>PuckRecovery</v>
      </c>
      <c r="AG460" t="str">
        <f t="shared" si="53"/>
        <v/>
      </c>
      <c r="AN460" t="str">
        <f t="shared" si="55"/>
        <v>Defensive</v>
      </c>
      <c r="BD460" s="23"/>
      <c r="BF460" s="21"/>
    </row>
    <row r="461" spans="1:58" x14ac:dyDescent="0.2">
      <c r="A461">
        <v>236</v>
      </c>
      <c r="E461" s="5" t="s">
        <v>891</v>
      </c>
      <c r="F461" s="5" t="s">
        <v>888</v>
      </c>
      <c r="I461" t="s">
        <v>840</v>
      </c>
      <c r="J461">
        <v>92</v>
      </c>
      <c r="K461">
        <v>1</v>
      </c>
      <c r="L461" t="s">
        <v>401</v>
      </c>
      <c r="M461" t="s">
        <v>8</v>
      </c>
      <c r="N461" t="s">
        <v>199</v>
      </c>
      <c r="O461" t="s">
        <v>70</v>
      </c>
      <c r="P461" t="s">
        <v>688</v>
      </c>
      <c r="T461">
        <v>1</v>
      </c>
      <c r="U461" s="8">
        <f t="shared" si="51"/>
        <v>1</v>
      </c>
      <c r="AD461" t="str">
        <f t="shared" si="50"/>
        <v>e</v>
      </c>
      <c r="AE461" t="str">
        <f t="shared" si="54"/>
        <v>Pass</v>
      </c>
      <c r="AF461" t="str">
        <f t="shared" si="52"/>
        <v>Pass_Missed</v>
      </c>
      <c r="AG461" t="str">
        <f t="shared" si="53"/>
        <v>Pass-Forehand</v>
      </c>
      <c r="AN461" t="str">
        <f t="shared" si="55"/>
        <v>Offensive</v>
      </c>
      <c r="BD461" s="23"/>
      <c r="BF461" s="21"/>
    </row>
    <row r="462" spans="1:58" x14ac:dyDescent="0.2">
      <c r="A462">
        <v>236</v>
      </c>
      <c r="J462">
        <v>71</v>
      </c>
      <c r="K462">
        <v>1</v>
      </c>
      <c r="U462" s="8">
        <f t="shared" si="51"/>
        <v>1</v>
      </c>
      <c r="AD462" t="str">
        <f t="shared" si="50"/>
        <v>e</v>
      </c>
      <c r="AE462" t="str">
        <f t="shared" si="54"/>
        <v>Pass</v>
      </c>
      <c r="AF462" t="str">
        <f t="shared" si="52"/>
        <v>Pass_Missed</v>
      </c>
      <c r="AG462" t="str">
        <f t="shared" si="53"/>
        <v>Pass-Forehand</v>
      </c>
      <c r="AN462" t="str">
        <f t="shared" si="55"/>
        <v>Offensive</v>
      </c>
      <c r="BD462" s="23"/>
      <c r="BF462" s="21"/>
    </row>
    <row r="463" spans="1:58" x14ac:dyDescent="0.2">
      <c r="A463">
        <v>236</v>
      </c>
      <c r="J463">
        <v>91</v>
      </c>
      <c r="T463">
        <v>1</v>
      </c>
      <c r="U463" s="8">
        <f t="shared" si="51"/>
        <v>1</v>
      </c>
      <c r="AD463" t="str">
        <f t="shared" si="50"/>
        <v>o</v>
      </c>
      <c r="AE463" t="str">
        <f t="shared" si="54"/>
        <v>Pass</v>
      </c>
      <c r="AF463" t="str">
        <f t="shared" si="52"/>
        <v>Pass_Missed</v>
      </c>
      <c r="AG463" t="str">
        <f t="shared" si="53"/>
        <v>Pass-Forehand</v>
      </c>
      <c r="AN463" t="str">
        <f t="shared" si="55"/>
        <v>Defensive</v>
      </c>
      <c r="BD463" s="23"/>
      <c r="BF463" s="21"/>
    </row>
    <row r="464" spans="1:58" x14ac:dyDescent="0.2">
      <c r="A464">
        <v>237</v>
      </c>
      <c r="E464" s="5" t="s">
        <v>891</v>
      </c>
      <c r="F464" s="5" t="s">
        <v>848</v>
      </c>
      <c r="I464" t="s">
        <v>840</v>
      </c>
      <c r="J464">
        <v>71</v>
      </c>
      <c r="K464">
        <v>1</v>
      </c>
      <c r="L464" t="s">
        <v>401</v>
      </c>
      <c r="M464" t="s">
        <v>15</v>
      </c>
      <c r="N464" t="s">
        <v>681</v>
      </c>
      <c r="P464" t="s">
        <v>689</v>
      </c>
      <c r="Q464" t="s">
        <v>714</v>
      </c>
      <c r="S464" t="s">
        <v>689</v>
      </c>
      <c r="U464" s="8">
        <f t="shared" si="51"/>
        <v>1</v>
      </c>
      <c r="AD464" t="str">
        <f t="shared" si="50"/>
        <v>e</v>
      </c>
      <c r="AE464" t="str">
        <f t="shared" si="54"/>
        <v>Possession</v>
      </c>
      <c r="AF464" t="str">
        <f t="shared" si="52"/>
        <v>PuckRecovery</v>
      </c>
      <c r="AG464" t="str">
        <f t="shared" si="53"/>
        <v/>
      </c>
      <c r="AN464" t="str">
        <f t="shared" si="55"/>
        <v>Offensive</v>
      </c>
      <c r="BD464" s="23"/>
      <c r="BF464" s="21"/>
    </row>
    <row r="465" spans="1:58" x14ac:dyDescent="0.2">
      <c r="A465">
        <v>238</v>
      </c>
      <c r="E465" s="5" t="s">
        <v>891</v>
      </c>
      <c r="F465" s="5" t="s">
        <v>848</v>
      </c>
      <c r="I465" t="s">
        <v>840</v>
      </c>
      <c r="J465">
        <v>71</v>
      </c>
      <c r="K465">
        <v>1</v>
      </c>
      <c r="L465" t="s">
        <v>401</v>
      </c>
      <c r="M465" t="s">
        <v>8</v>
      </c>
      <c r="N465" t="s">
        <v>189</v>
      </c>
      <c r="O465" t="s">
        <v>69</v>
      </c>
      <c r="P465" t="s">
        <v>689</v>
      </c>
      <c r="Q465" t="s">
        <v>749</v>
      </c>
      <c r="S465" t="s">
        <v>689</v>
      </c>
      <c r="U465" s="8">
        <f t="shared" si="51"/>
        <v>1</v>
      </c>
      <c r="AD465" t="str">
        <f t="shared" si="50"/>
        <v>e</v>
      </c>
      <c r="AE465" t="str">
        <f t="shared" si="54"/>
        <v>Pass</v>
      </c>
      <c r="AF465" t="str">
        <f t="shared" si="52"/>
        <v>Pass_Completed</v>
      </c>
      <c r="AG465" t="str">
        <f t="shared" si="53"/>
        <v>Pass-Backhand</v>
      </c>
      <c r="AN465" t="str">
        <f t="shared" si="55"/>
        <v>Offensive</v>
      </c>
      <c r="BD465" s="23"/>
      <c r="BF465" s="21"/>
    </row>
    <row r="466" spans="1:58" x14ac:dyDescent="0.2">
      <c r="A466">
        <v>238</v>
      </c>
      <c r="J466">
        <v>7</v>
      </c>
      <c r="K466">
        <v>1</v>
      </c>
      <c r="U466" s="8">
        <f t="shared" si="51"/>
        <v>1</v>
      </c>
      <c r="AD466" t="str">
        <f t="shared" si="50"/>
        <v>e</v>
      </c>
      <c r="AE466" t="str">
        <f t="shared" si="54"/>
        <v>Pass</v>
      </c>
      <c r="AF466" t="str">
        <f t="shared" si="52"/>
        <v>Pass_Completed</v>
      </c>
      <c r="AG466" t="str">
        <f t="shared" si="53"/>
        <v>Pass-Backhand</v>
      </c>
      <c r="AN466" t="str">
        <f t="shared" si="55"/>
        <v>Offensive</v>
      </c>
      <c r="BD466" s="23"/>
      <c r="BF466" s="21"/>
    </row>
    <row r="467" spans="1:58" x14ac:dyDescent="0.2">
      <c r="A467">
        <v>239</v>
      </c>
      <c r="E467" s="5" t="s">
        <v>891</v>
      </c>
      <c r="F467" s="5" t="s">
        <v>897</v>
      </c>
      <c r="I467" t="s">
        <v>840</v>
      </c>
      <c r="J467">
        <v>7</v>
      </c>
      <c r="K467">
        <v>1</v>
      </c>
      <c r="L467" t="s">
        <v>401</v>
      </c>
      <c r="M467" t="s">
        <v>7</v>
      </c>
      <c r="N467" t="s">
        <v>208</v>
      </c>
      <c r="O467" t="s">
        <v>53</v>
      </c>
      <c r="P467" t="s">
        <v>688</v>
      </c>
      <c r="T467">
        <v>1</v>
      </c>
      <c r="U467" s="8">
        <f t="shared" si="51"/>
        <v>1</v>
      </c>
      <c r="AD467" t="str">
        <f t="shared" si="50"/>
        <v>e</v>
      </c>
      <c r="AE467" t="str">
        <f t="shared" si="54"/>
        <v>Shot</v>
      </c>
      <c r="AF467" t="str">
        <f t="shared" si="52"/>
        <v>Shot_Blocked</v>
      </c>
      <c r="AG467" t="str">
        <f t="shared" si="53"/>
        <v>Shot-Wrist</v>
      </c>
      <c r="AN467" t="str">
        <f t="shared" si="55"/>
        <v>Offensive</v>
      </c>
      <c r="BD467" s="23"/>
      <c r="BF467" s="21"/>
    </row>
    <row r="468" spans="1:58" x14ac:dyDescent="0.2">
      <c r="A468">
        <v>239</v>
      </c>
      <c r="J468">
        <v>91</v>
      </c>
      <c r="Q468" t="s">
        <v>665</v>
      </c>
      <c r="S468" t="s">
        <v>689</v>
      </c>
      <c r="U468" s="8">
        <f t="shared" si="51"/>
        <v>1</v>
      </c>
      <c r="AD468" t="str">
        <f t="shared" si="50"/>
        <v>o</v>
      </c>
      <c r="AE468" t="str">
        <f t="shared" si="54"/>
        <v>Shot</v>
      </c>
      <c r="AF468" t="str">
        <f t="shared" si="52"/>
        <v>Shot_Blocked</v>
      </c>
      <c r="AG468" t="str">
        <f t="shared" si="53"/>
        <v>Shot-Wrist</v>
      </c>
      <c r="AN468" t="str">
        <f t="shared" si="55"/>
        <v>Defensive</v>
      </c>
      <c r="BD468" s="23"/>
      <c r="BF468" s="21"/>
    </row>
    <row r="469" spans="1:58" x14ac:dyDescent="0.2">
      <c r="A469">
        <v>239</v>
      </c>
      <c r="J469">
        <v>87</v>
      </c>
      <c r="Q469" t="s">
        <v>699</v>
      </c>
      <c r="T469">
        <v>1</v>
      </c>
      <c r="U469" s="8">
        <f t="shared" si="51"/>
        <v>1</v>
      </c>
      <c r="AD469" t="str">
        <f t="shared" si="50"/>
        <v>o</v>
      </c>
      <c r="AE469" t="str">
        <f t="shared" si="54"/>
        <v>Shot</v>
      </c>
      <c r="AF469" t="str">
        <f t="shared" si="52"/>
        <v>Shot_Blocked</v>
      </c>
      <c r="AG469" t="str">
        <f t="shared" si="53"/>
        <v>Shot-Wrist</v>
      </c>
      <c r="AN469" t="str">
        <f t="shared" si="55"/>
        <v>Defensive</v>
      </c>
      <c r="BD469" s="23"/>
      <c r="BF469" s="21"/>
    </row>
    <row r="470" spans="1:58" x14ac:dyDescent="0.2">
      <c r="A470">
        <v>240</v>
      </c>
      <c r="E470" s="5" t="s">
        <v>891</v>
      </c>
      <c r="F470" s="5" t="s">
        <v>880</v>
      </c>
      <c r="I470" t="s">
        <v>840</v>
      </c>
      <c r="J470">
        <v>71</v>
      </c>
      <c r="K470">
        <v>1</v>
      </c>
      <c r="L470" t="s">
        <v>401</v>
      </c>
      <c r="M470" t="s">
        <v>15</v>
      </c>
      <c r="N470" t="s">
        <v>681</v>
      </c>
      <c r="P470" t="s">
        <v>689</v>
      </c>
      <c r="Q470" t="s">
        <v>705</v>
      </c>
      <c r="S470" t="s">
        <v>689</v>
      </c>
      <c r="U470" s="8">
        <f t="shared" si="51"/>
        <v>1</v>
      </c>
      <c r="AD470" t="str">
        <f t="shared" si="50"/>
        <v>e</v>
      </c>
      <c r="AE470" t="str">
        <f t="shared" si="54"/>
        <v>Possession</v>
      </c>
      <c r="AF470" t="str">
        <f t="shared" si="52"/>
        <v>PuckRecovery</v>
      </c>
      <c r="AG470" t="str">
        <f t="shared" si="53"/>
        <v/>
      </c>
      <c r="AN470" t="str">
        <f t="shared" si="55"/>
        <v>Offensive</v>
      </c>
      <c r="BD470" s="23"/>
      <c r="BF470" s="21"/>
    </row>
    <row r="471" spans="1:58" x14ac:dyDescent="0.2">
      <c r="A471">
        <v>241</v>
      </c>
      <c r="E471" s="5" t="s">
        <v>891</v>
      </c>
      <c r="F471" s="5" t="s">
        <v>881</v>
      </c>
      <c r="I471" t="s">
        <v>840</v>
      </c>
      <c r="J471">
        <v>71</v>
      </c>
      <c r="K471">
        <v>1</v>
      </c>
      <c r="L471" t="s">
        <v>401</v>
      </c>
      <c r="M471" t="s">
        <v>7</v>
      </c>
      <c r="N471" t="s">
        <v>208</v>
      </c>
      <c r="O471" t="s">
        <v>53</v>
      </c>
      <c r="P471" t="s">
        <v>688</v>
      </c>
      <c r="T471">
        <v>1</v>
      </c>
      <c r="U471" s="8">
        <f t="shared" si="51"/>
        <v>1</v>
      </c>
      <c r="AD471" t="str">
        <f t="shared" si="50"/>
        <v>e</v>
      </c>
      <c r="AE471" t="str">
        <f t="shared" si="54"/>
        <v>Shot</v>
      </c>
      <c r="AF471" t="str">
        <f t="shared" si="52"/>
        <v>Shot_Blocked</v>
      </c>
      <c r="AG471" t="str">
        <f t="shared" si="53"/>
        <v>Shot-Wrist</v>
      </c>
      <c r="AN471" t="str">
        <f t="shared" si="55"/>
        <v>Offensive</v>
      </c>
      <c r="BD471" s="23"/>
      <c r="BF471" s="21"/>
    </row>
    <row r="472" spans="1:58" x14ac:dyDescent="0.2">
      <c r="A472">
        <v>241</v>
      </c>
      <c r="J472">
        <v>91</v>
      </c>
      <c r="Q472" t="s">
        <v>665</v>
      </c>
      <c r="S472" t="s">
        <v>689</v>
      </c>
      <c r="T472">
        <v>1</v>
      </c>
      <c r="U472" s="8">
        <f t="shared" si="51"/>
        <v>1</v>
      </c>
      <c r="AD472" t="str">
        <f t="shared" si="50"/>
        <v>o</v>
      </c>
      <c r="AE472" t="str">
        <f t="shared" si="54"/>
        <v>Shot</v>
      </c>
      <c r="AF472" t="str">
        <f t="shared" si="52"/>
        <v>Shot_Blocked</v>
      </c>
      <c r="AG472" t="str">
        <f t="shared" si="53"/>
        <v>Shot-Wrist</v>
      </c>
      <c r="AN472" t="str">
        <f t="shared" si="55"/>
        <v>Defensive</v>
      </c>
      <c r="BD472" s="23"/>
      <c r="BF472" s="21"/>
    </row>
    <row r="473" spans="1:58" x14ac:dyDescent="0.2">
      <c r="A473">
        <v>242</v>
      </c>
      <c r="E473" s="5" t="s">
        <v>891</v>
      </c>
      <c r="F473" s="5" t="s">
        <v>851</v>
      </c>
      <c r="G473" s="5" t="s">
        <v>891</v>
      </c>
      <c r="H473" s="7" t="s">
        <v>855</v>
      </c>
      <c r="I473" t="s">
        <v>840</v>
      </c>
      <c r="J473">
        <v>71</v>
      </c>
      <c r="K473">
        <v>1</v>
      </c>
      <c r="L473" t="s">
        <v>401</v>
      </c>
      <c r="M473" t="s">
        <v>15</v>
      </c>
      <c r="N473" t="s">
        <v>681</v>
      </c>
      <c r="P473" t="s">
        <v>689</v>
      </c>
      <c r="Q473" t="s">
        <v>705</v>
      </c>
      <c r="S473" t="s">
        <v>689</v>
      </c>
      <c r="U473" s="8">
        <f t="shared" si="51"/>
        <v>1</v>
      </c>
      <c r="AD473" t="str">
        <f t="shared" si="50"/>
        <v>e</v>
      </c>
      <c r="AE473" t="str">
        <f t="shared" si="54"/>
        <v>Possession</v>
      </c>
      <c r="AF473" t="str">
        <f t="shared" si="52"/>
        <v>PuckRecovery</v>
      </c>
      <c r="AG473" t="str">
        <f t="shared" si="53"/>
        <v/>
      </c>
      <c r="AN473" t="str">
        <f t="shared" si="55"/>
        <v>Offensive</v>
      </c>
      <c r="BD473" s="23"/>
      <c r="BF473" s="21"/>
    </row>
    <row r="474" spans="1:58" x14ac:dyDescent="0.2">
      <c r="A474">
        <v>242</v>
      </c>
      <c r="J474">
        <v>42</v>
      </c>
      <c r="U474" s="8">
        <f t="shared" si="51"/>
        <v>1</v>
      </c>
      <c r="AD474" t="str">
        <f t="shared" si="50"/>
        <v>o</v>
      </c>
      <c r="AE474" t="str">
        <f t="shared" si="54"/>
        <v>Possession</v>
      </c>
      <c r="AF474" t="str">
        <f t="shared" si="52"/>
        <v>PuckRecovery</v>
      </c>
      <c r="AG474" t="str">
        <f t="shared" si="53"/>
        <v/>
      </c>
      <c r="AN474" t="str">
        <f t="shared" si="55"/>
        <v>Defensive</v>
      </c>
      <c r="BD474" s="23"/>
      <c r="BF474" s="21"/>
    </row>
    <row r="475" spans="1:58" x14ac:dyDescent="0.2">
      <c r="A475">
        <v>243</v>
      </c>
      <c r="E475" s="5" t="s">
        <v>891</v>
      </c>
      <c r="F475" s="5" t="s">
        <v>855</v>
      </c>
      <c r="I475" t="s">
        <v>840</v>
      </c>
      <c r="J475">
        <v>71</v>
      </c>
      <c r="K475">
        <v>1</v>
      </c>
      <c r="L475" t="s">
        <v>401</v>
      </c>
      <c r="M475" t="s">
        <v>8</v>
      </c>
      <c r="N475" t="s">
        <v>189</v>
      </c>
      <c r="O475" t="s">
        <v>69</v>
      </c>
      <c r="P475" t="s">
        <v>689</v>
      </c>
      <c r="T475">
        <v>1</v>
      </c>
      <c r="U475" s="8">
        <f t="shared" si="51"/>
        <v>1</v>
      </c>
      <c r="AD475" t="str">
        <f t="shared" si="50"/>
        <v>e</v>
      </c>
      <c r="AE475" t="str">
        <f t="shared" si="54"/>
        <v>Pass</v>
      </c>
      <c r="AF475" t="str">
        <f t="shared" si="52"/>
        <v>Pass_Completed</v>
      </c>
      <c r="AG475" t="str">
        <f t="shared" si="53"/>
        <v>Pass-Backhand</v>
      </c>
      <c r="AN475" t="str">
        <f t="shared" si="55"/>
        <v>Offensive</v>
      </c>
      <c r="BD475" s="23"/>
      <c r="BF475" s="21"/>
    </row>
    <row r="476" spans="1:58" x14ac:dyDescent="0.2">
      <c r="A476">
        <v>243</v>
      </c>
      <c r="J476">
        <v>7</v>
      </c>
      <c r="K476">
        <v>1</v>
      </c>
      <c r="U476" s="8">
        <f t="shared" si="51"/>
        <v>1</v>
      </c>
      <c r="AD476" t="str">
        <f t="shared" si="50"/>
        <v>e</v>
      </c>
      <c r="AE476" t="str">
        <f t="shared" si="54"/>
        <v>Pass</v>
      </c>
      <c r="AF476" t="str">
        <f t="shared" si="52"/>
        <v>Pass_Completed</v>
      </c>
      <c r="AG476" t="str">
        <f t="shared" si="53"/>
        <v>Pass-Backhand</v>
      </c>
      <c r="AN476" t="str">
        <f t="shared" si="55"/>
        <v>Offensive</v>
      </c>
      <c r="BD476" s="23"/>
      <c r="BF476" s="21"/>
    </row>
    <row r="477" spans="1:58" x14ac:dyDescent="0.2">
      <c r="A477">
        <v>243</v>
      </c>
      <c r="J477">
        <v>42</v>
      </c>
      <c r="T477">
        <v>1</v>
      </c>
      <c r="U477" s="8">
        <f t="shared" si="51"/>
        <v>1</v>
      </c>
      <c r="AD477" t="str">
        <f t="shared" si="50"/>
        <v>o</v>
      </c>
      <c r="AE477" t="str">
        <f t="shared" si="54"/>
        <v>Pass</v>
      </c>
      <c r="AF477" t="str">
        <f t="shared" si="52"/>
        <v>Pass_Completed</v>
      </c>
      <c r="AG477" t="str">
        <f t="shared" si="53"/>
        <v>Pass-Backhand</v>
      </c>
      <c r="AN477" t="str">
        <f t="shared" si="55"/>
        <v>Defensive</v>
      </c>
      <c r="BD477" s="23"/>
      <c r="BF477" s="21"/>
    </row>
    <row r="478" spans="1:58" x14ac:dyDescent="0.2">
      <c r="A478">
        <v>244</v>
      </c>
      <c r="B478">
        <v>42</v>
      </c>
      <c r="E478" s="5" t="s">
        <v>891</v>
      </c>
      <c r="F478" s="5" t="s">
        <v>855</v>
      </c>
      <c r="I478" t="s">
        <v>840</v>
      </c>
      <c r="J478">
        <v>7</v>
      </c>
      <c r="K478">
        <v>1</v>
      </c>
      <c r="L478" t="s">
        <v>401</v>
      </c>
      <c r="M478" t="s">
        <v>7</v>
      </c>
      <c r="N478" t="s">
        <v>222</v>
      </c>
      <c r="O478" t="s">
        <v>65</v>
      </c>
      <c r="P478" t="s">
        <v>689</v>
      </c>
      <c r="U478" s="8">
        <f t="shared" si="51"/>
        <v>1</v>
      </c>
      <c r="AD478" t="str">
        <f t="shared" si="50"/>
        <v>e</v>
      </c>
      <c r="AE478" t="str">
        <f t="shared" si="54"/>
        <v>Shot</v>
      </c>
      <c r="AF478" t="str">
        <f t="shared" si="52"/>
        <v>Shot_OnNetSaved</v>
      </c>
      <c r="AG478" t="str">
        <f t="shared" si="53"/>
        <v>Shot-OneTime</v>
      </c>
      <c r="AN478" t="str">
        <f t="shared" si="55"/>
        <v>Offensive</v>
      </c>
      <c r="BD478" s="23"/>
      <c r="BF478" s="21"/>
    </row>
    <row r="479" spans="1:58" x14ac:dyDescent="0.2">
      <c r="A479">
        <v>244</v>
      </c>
      <c r="B479">
        <v>42</v>
      </c>
      <c r="J479">
        <v>39</v>
      </c>
      <c r="U479" s="8">
        <f t="shared" si="51"/>
        <v>1</v>
      </c>
      <c r="AD479" t="str">
        <f t="shared" si="50"/>
        <v>o</v>
      </c>
      <c r="AE479" t="str">
        <f t="shared" si="54"/>
        <v>Shot</v>
      </c>
      <c r="AF479" t="str">
        <f t="shared" si="52"/>
        <v>Shot_OnNetSaved</v>
      </c>
      <c r="AG479" t="str">
        <f t="shared" si="53"/>
        <v>Shot-OneTime</v>
      </c>
      <c r="AN479" t="str">
        <f t="shared" si="55"/>
        <v>Defensive</v>
      </c>
      <c r="BD479" s="23"/>
      <c r="BF479" s="21"/>
    </row>
    <row r="480" spans="1:58" x14ac:dyDescent="0.2">
      <c r="A480">
        <v>244</v>
      </c>
      <c r="B480">
        <v>42</v>
      </c>
      <c r="J480">
        <v>22</v>
      </c>
      <c r="Q480" t="s">
        <v>665</v>
      </c>
      <c r="R480" t="s">
        <v>699</v>
      </c>
      <c r="S480" t="s">
        <v>688</v>
      </c>
      <c r="U480" s="8">
        <f t="shared" si="51"/>
        <v>1</v>
      </c>
      <c r="AD480" t="str">
        <f t="shared" si="50"/>
        <v>o</v>
      </c>
      <c r="AE480" t="str">
        <f t="shared" si="54"/>
        <v>Shot</v>
      </c>
      <c r="AF480" t="str">
        <f t="shared" si="52"/>
        <v>Shot_OnNetSaved</v>
      </c>
      <c r="AG480" t="str">
        <f t="shared" si="53"/>
        <v>Shot-OneTime</v>
      </c>
      <c r="AN480" t="str">
        <f t="shared" si="55"/>
        <v>Defensive</v>
      </c>
      <c r="BD480" s="23"/>
      <c r="BF480" s="21"/>
    </row>
    <row r="481" spans="1:58" x14ac:dyDescent="0.2">
      <c r="A481">
        <v>245</v>
      </c>
      <c r="B481">
        <v>42</v>
      </c>
      <c r="E481" s="5" t="s">
        <v>891</v>
      </c>
      <c r="F481" s="5" t="s">
        <v>855</v>
      </c>
      <c r="I481" t="s">
        <v>835</v>
      </c>
      <c r="J481">
        <v>39</v>
      </c>
      <c r="K481">
        <v>1</v>
      </c>
      <c r="L481" t="s">
        <v>845</v>
      </c>
      <c r="M481" t="s">
        <v>17</v>
      </c>
      <c r="N481" t="s">
        <v>196</v>
      </c>
      <c r="O481" t="s">
        <v>99</v>
      </c>
      <c r="U481" s="8">
        <f t="shared" si="51"/>
        <v>1</v>
      </c>
      <c r="AD481" t="str">
        <f t="shared" si="50"/>
        <v>e</v>
      </c>
      <c r="AE481" t="str">
        <f t="shared" si="54"/>
        <v>Save</v>
      </c>
      <c r="AF481" t="str">
        <f t="shared" si="52"/>
        <v>Save_Rebound</v>
      </c>
      <c r="AG481" t="str">
        <f t="shared" si="53"/>
        <v>Save-RightPad</v>
      </c>
      <c r="AN481" t="str">
        <f t="shared" si="55"/>
        <v>Defensive</v>
      </c>
      <c r="BD481" s="23"/>
      <c r="BF481" s="21"/>
    </row>
    <row r="482" spans="1:58" x14ac:dyDescent="0.2">
      <c r="A482">
        <v>245</v>
      </c>
      <c r="B482">
        <v>42</v>
      </c>
      <c r="J482">
        <v>22</v>
      </c>
      <c r="K482">
        <v>1</v>
      </c>
      <c r="Q482" t="s">
        <v>665</v>
      </c>
      <c r="R482" t="s">
        <v>699</v>
      </c>
      <c r="S482" t="s">
        <v>688</v>
      </c>
      <c r="U482" s="8">
        <f t="shared" si="51"/>
        <v>1</v>
      </c>
      <c r="AD482" t="str">
        <f t="shared" si="50"/>
        <v>e</v>
      </c>
      <c r="AE482" t="str">
        <f t="shared" si="54"/>
        <v>Save</v>
      </c>
      <c r="AF482" t="str">
        <f t="shared" si="52"/>
        <v>Save_Rebound</v>
      </c>
      <c r="AG482" t="str">
        <f t="shared" si="53"/>
        <v>Save-RightPad</v>
      </c>
      <c r="AN482" t="str">
        <f t="shared" si="55"/>
        <v>Defensive</v>
      </c>
      <c r="BD482" s="23"/>
      <c r="BF482" s="21"/>
    </row>
    <row r="483" spans="1:58" x14ac:dyDescent="0.2">
      <c r="A483">
        <v>245</v>
      </c>
      <c r="B483">
        <v>42</v>
      </c>
      <c r="J483">
        <v>7</v>
      </c>
      <c r="U483" s="8">
        <f t="shared" si="51"/>
        <v>1</v>
      </c>
      <c r="AD483" t="str">
        <f t="shared" si="50"/>
        <v>o</v>
      </c>
      <c r="AE483" t="str">
        <f t="shared" si="54"/>
        <v>Save</v>
      </c>
      <c r="AF483" t="str">
        <f t="shared" si="52"/>
        <v>Save_Rebound</v>
      </c>
      <c r="AG483" t="str">
        <f t="shared" si="53"/>
        <v>Save-RightPad</v>
      </c>
      <c r="AN483" t="str">
        <f t="shared" si="55"/>
        <v>Offensive</v>
      </c>
      <c r="BD483" s="23"/>
      <c r="BF483" s="21"/>
    </row>
    <row r="484" spans="1:58" x14ac:dyDescent="0.2">
      <c r="A484">
        <v>246</v>
      </c>
      <c r="B484">
        <v>42</v>
      </c>
      <c r="E484" s="5" t="s">
        <v>891</v>
      </c>
      <c r="F484" s="5" t="s">
        <v>853</v>
      </c>
      <c r="I484" t="s">
        <v>835</v>
      </c>
      <c r="J484">
        <v>39</v>
      </c>
      <c r="K484">
        <v>1</v>
      </c>
      <c r="L484" t="s">
        <v>845</v>
      </c>
      <c r="M484" t="s">
        <v>250</v>
      </c>
      <c r="N484" t="s">
        <v>253</v>
      </c>
      <c r="U484" s="8">
        <f t="shared" si="51"/>
        <v>1</v>
      </c>
      <c r="AD484" t="str">
        <f t="shared" si="50"/>
        <v>e</v>
      </c>
      <c r="AE484" t="str">
        <f t="shared" si="54"/>
        <v>Rebound</v>
      </c>
      <c r="AF484" t="str">
        <f t="shared" si="52"/>
        <v>Rebound_ShotGenerated</v>
      </c>
      <c r="AG484" t="str">
        <f t="shared" si="53"/>
        <v/>
      </c>
      <c r="AN484" t="str">
        <f t="shared" si="55"/>
        <v>Offensive</v>
      </c>
      <c r="BD484" s="23"/>
      <c r="BF484" s="21"/>
    </row>
    <row r="485" spans="1:58" x14ac:dyDescent="0.2">
      <c r="A485">
        <v>247</v>
      </c>
      <c r="E485" s="5" t="s">
        <v>891</v>
      </c>
      <c r="F485" s="5" t="s">
        <v>856</v>
      </c>
      <c r="I485" t="s">
        <v>840</v>
      </c>
      <c r="J485">
        <v>7</v>
      </c>
      <c r="K485">
        <v>1</v>
      </c>
      <c r="L485" t="s">
        <v>401</v>
      </c>
      <c r="M485" t="s">
        <v>15</v>
      </c>
      <c r="N485" t="s">
        <v>681</v>
      </c>
      <c r="P485" t="s">
        <v>689</v>
      </c>
      <c r="Q485" t="s">
        <v>705</v>
      </c>
      <c r="R485" t="s">
        <v>747</v>
      </c>
      <c r="S485" t="s">
        <v>689</v>
      </c>
      <c r="U485" s="8">
        <f t="shared" si="51"/>
        <v>1</v>
      </c>
      <c r="AD485" t="str">
        <f t="shared" si="50"/>
        <v>e</v>
      </c>
      <c r="AE485" t="str">
        <f t="shared" si="54"/>
        <v>Possession</v>
      </c>
      <c r="AF485" t="str">
        <f t="shared" si="52"/>
        <v>PuckRecovery</v>
      </c>
      <c r="AG485" t="str">
        <f t="shared" si="53"/>
        <v/>
      </c>
      <c r="AN485" t="str">
        <f t="shared" si="55"/>
        <v>Offensive</v>
      </c>
      <c r="BD485" s="23"/>
      <c r="BF485" s="21"/>
    </row>
    <row r="486" spans="1:58" x14ac:dyDescent="0.2">
      <c r="A486">
        <v>248</v>
      </c>
      <c r="B486">
        <v>43</v>
      </c>
      <c r="E486" s="5" t="s">
        <v>891</v>
      </c>
      <c r="F486" s="5" t="s">
        <v>857</v>
      </c>
      <c r="I486" t="s">
        <v>840</v>
      </c>
      <c r="J486">
        <v>7</v>
      </c>
      <c r="K486">
        <v>1</v>
      </c>
      <c r="L486" t="s">
        <v>401</v>
      </c>
      <c r="M486" t="s">
        <v>7</v>
      </c>
      <c r="N486" t="s">
        <v>222</v>
      </c>
      <c r="O486" t="s">
        <v>53</v>
      </c>
      <c r="P486" t="s">
        <v>689</v>
      </c>
      <c r="U486" s="8">
        <f t="shared" si="51"/>
        <v>1</v>
      </c>
      <c r="AD486" t="str">
        <f t="shared" si="50"/>
        <v>e</v>
      </c>
      <c r="AE486" t="str">
        <f t="shared" si="54"/>
        <v>Shot</v>
      </c>
      <c r="AF486" t="str">
        <f t="shared" si="52"/>
        <v>Shot_OnNetSaved</v>
      </c>
      <c r="AG486" t="str">
        <f t="shared" si="53"/>
        <v>Shot-Wrist</v>
      </c>
      <c r="AN486" t="str">
        <f t="shared" si="55"/>
        <v>Offensive</v>
      </c>
      <c r="BD486" s="23"/>
      <c r="BF486" s="21"/>
    </row>
    <row r="487" spans="1:58" x14ac:dyDescent="0.2">
      <c r="A487">
        <v>248</v>
      </c>
      <c r="B487">
        <v>43</v>
      </c>
      <c r="J487">
        <v>39</v>
      </c>
      <c r="U487" s="8">
        <f t="shared" si="51"/>
        <v>1</v>
      </c>
      <c r="AD487" t="str">
        <f t="shared" si="50"/>
        <v>o</v>
      </c>
      <c r="AE487" t="str">
        <f t="shared" si="54"/>
        <v>Shot</v>
      </c>
      <c r="AF487" t="str">
        <f t="shared" si="52"/>
        <v>Shot_OnNetSaved</v>
      </c>
      <c r="AG487" t="str">
        <f t="shared" si="53"/>
        <v>Shot-Wrist</v>
      </c>
      <c r="AN487" t="str">
        <f t="shared" si="55"/>
        <v>Defensive</v>
      </c>
      <c r="BD487" s="23"/>
      <c r="BF487" s="21"/>
    </row>
    <row r="488" spans="1:58" x14ac:dyDescent="0.2">
      <c r="A488">
        <v>249</v>
      </c>
      <c r="B488">
        <v>43</v>
      </c>
      <c r="E488" s="5" t="s">
        <v>891</v>
      </c>
      <c r="F488" s="5" t="s">
        <v>857</v>
      </c>
      <c r="I488" t="s">
        <v>835</v>
      </c>
      <c r="J488">
        <v>39</v>
      </c>
      <c r="K488">
        <v>1</v>
      </c>
      <c r="L488" t="s">
        <v>845</v>
      </c>
      <c r="M488" t="s">
        <v>17</v>
      </c>
      <c r="N488" t="s">
        <v>206</v>
      </c>
      <c r="O488" t="s">
        <v>96</v>
      </c>
      <c r="U488" s="8">
        <f t="shared" si="51"/>
        <v>1</v>
      </c>
      <c r="AD488" t="str">
        <f t="shared" si="50"/>
        <v>e</v>
      </c>
      <c r="AE488" t="str">
        <f t="shared" si="54"/>
        <v>Save</v>
      </c>
      <c r="AF488" t="str">
        <f t="shared" si="52"/>
        <v>Save_Freeze</v>
      </c>
      <c r="AG488" t="str">
        <f t="shared" si="53"/>
        <v>Save-Glove</v>
      </c>
      <c r="AN488" t="str">
        <f t="shared" si="55"/>
        <v>Defensive</v>
      </c>
      <c r="BD488" s="23"/>
      <c r="BF488" s="21"/>
    </row>
    <row r="489" spans="1:58" x14ac:dyDescent="0.2">
      <c r="A489">
        <v>249</v>
      </c>
      <c r="B489">
        <v>43</v>
      </c>
      <c r="J489">
        <v>7</v>
      </c>
      <c r="U489" s="8">
        <f t="shared" si="51"/>
        <v>1</v>
      </c>
      <c r="AD489" t="str">
        <f t="shared" si="50"/>
        <v>o</v>
      </c>
      <c r="AE489" t="str">
        <f t="shared" si="54"/>
        <v>Save</v>
      </c>
      <c r="AF489" t="str">
        <f t="shared" si="52"/>
        <v>Save_Freeze</v>
      </c>
      <c r="AG489" t="str">
        <f t="shared" si="53"/>
        <v>Save-Glove</v>
      </c>
      <c r="AN489" t="str">
        <f t="shared" si="55"/>
        <v>Offensive</v>
      </c>
      <c r="BD489" s="23"/>
      <c r="BF489" s="21"/>
    </row>
    <row r="490" spans="1:58" x14ac:dyDescent="0.2">
      <c r="A490">
        <v>250</v>
      </c>
      <c r="B490">
        <v>43</v>
      </c>
      <c r="E490" s="5" t="s">
        <v>891</v>
      </c>
      <c r="F490" s="5" t="s">
        <v>857</v>
      </c>
      <c r="I490" t="s">
        <v>835</v>
      </c>
      <c r="J490">
        <v>39</v>
      </c>
      <c r="K490">
        <v>1</v>
      </c>
      <c r="L490" t="s">
        <v>845</v>
      </c>
      <c r="M490" t="s">
        <v>13</v>
      </c>
      <c r="N490" t="s">
        <v>204</v>
      </c>
      <c r="O490" t="s">
        <v>110</v>
      </c>
      <c r="U490" s="8">
        <f t="shared" si="51"/>
        <v>1</v>
      </c>
      <c r="AD490" t="str">
        <f t="shared" si="50"/>
        <v>e</v>
      </c>
      <c r="AE490" t="str">
        <f t="shared" si="54"/>
        <v>Stoppage</v>
      </c>
      <c r="AF490" t="str">
        <f t="shared" si="52"/>
        <v>Stoppage_Play</v>
      </c>
      <c r="AG490" t="str">
        <f t="shared" si="53"/>
        <v>Stoppage-GoalieStoppage</v>
      </c>
      <c r="AN490" t="str">
        <f t="shared" si="55"/>
        <v/>
      </c>
      <c r="BD490" s="23"/>
      <c r="BF490" s="21"/>
    </row>
    <row r="491" spans="1:58" x14ac:dyDescent="0.2">
      <c r="A491">
        <v>251</v>
      </c>
      <c r="B491">
        <v>43</v>
      </c>
      <c r="E491" s="5" t="s">
        <v>891</v>
      </c>
      <c r="F491" s="5" t="s">
        <v>857</v>
      </c>
      <c r="G491" s="5" t="s">
        <v>891</v>
      </c>
      <c r="H491" s="7" t="s">
        <v>902</v>
      </c>
      <c r="I491" t="s">
        <v>835</v>
      </c>
      <c r="J491">
        <v>39</v>
      </c>
      <c r="K491">
        <v>1</v>
      </c>
      <c r="L491" t="s">
        <v>845</v>
      </c>
      <c r="M491" t="s">
        <v>262</v>
      </c>
      <c r="U491" s="8">
        <f t="shared" si="51"/>
        <v>1</v>
      </c>
      <c r="AD491" t="str">
        <f t="shared" si="50"/>
        <v>e</v>
      </c>
      <c r="AE491" t="str">
        <f t="shared" si="54"/>
        <v>DeadIce</v>
      </c>
      <c r="AF491" t="str">
        <f t="shared" si="52"/>
        <v/>
      </c>
      <c r="AG491" t="str">
        <f t="shared" si="53"/>
        <v/>
      </c>
      <c r="AN491" t="str">
        <f t="shared" si="55"/>
        <v/>
      </c>
      <c r="BD491" s="23"/>
      <c r="BF491" s="21"/>
    </row>
    <row r="492" spans="1:58" x14ac:dyDescent="0.2">
      <c r="A492">
        <v>252</v>
      </c>
      <c r="E492" s="5" t="s">
        <v>891</v>
      </c>
      <c r="F492" s="5" t="s">
        <v>902</v>
      </c>
      <c r="I492" t="s">
        <v>835</v>
      </c>
      <c r="J492">
        <v>42</v>
      </c>
      <c r="K492">
        <v>1</v>
      </c>
      <c r="L492" t="s">
        <v>845</v>
      </c>
      <c r="M492" t="s">
        <v>6</v>
      </c>
      <c r="N492" t="s">
        <v>255</v>
      </c>
      <c r="U492" s="8">
        <f t="shared" si="51"/>
        <v>1</v>
      </c>
      <c r="AD492" t="str">
        <f t="shared" si="50"/>
        <v>e</v>
      </c>
      <c r="AE492" t="str">
        <f t="shared" si="54"/>
        <v>Faceoff</v>
      </c>
      <c r="AF492" t="str">
        <f t="shared" si="52"/>
        <v>Faceoff_AfterStoppage</v>
      </c>
      <c r="AG492" t="str">
        <f t="shared" si="53"/>
        <v/>
      </c>
      <c r="AN492" t="str">
        <f t="shared" si="55"/>
        <v>Offensive</v>
      </c>
      <c r="BD492" s="23"/>
      <c r="BF492" s="21"/>
    </row>
    <row r="493" spans="1:58" x14ac:dyDescent="0.2">
      <c r="A493">
        <v>252</v>
      </c>
      <c r="J493">
        <v>91</v>
      </c>
      <c r="K493">
        <v>1</v>
      </c>
      <c r="U493" s="8">
        <f t="shared" si="51"/>
        <v>1</v>
      </c>
      <c r="AD493" t="str">
        <f t="shared" si="50"/>
        <v>e</v>
      </c>
      <c r="AE493" t="str">
        <f t="shared" si="54"/>
        <v>Faceoff</v>
      </c>
      <c r="AF493" t="str">
        <f t="shared" si="52"/>
        <v>Faceoff_AfterStoppage</v>
      </c>
      <c r="AG493" t="str">
        <f t="shared" si="53"/>
        <v/>
      </c>
      <c r="AN493" t="str">
        <f t="shared" si="55"/>
        <v>Offensive</v>
      </c>
      <c r="BD493" s="23"/>
      <c r="BF493" s="21"/>
    </row>
    <row r="494" spans="1:58" x14ac:dyDescent="0.2">
      <c r="A494">
        <v>252</v>
      </c>
      <c r="J494">
        <v>13</v>
      </c>
      <c r="U494" s="8">
        <f t="shared" si="51"/>
        <v>1</v>
      </c>
      <c r="AD494" t="str">
        <f t="shared" si="50"/>
        <v>o</v>
      </c>
      <c r="AE494" t="str">
        <f t="shared" si="54"/>
        <v>Faceoff</v>
      </c>
      <c r="AF494" t="str">
        <f t="shared" si="52"/>
        <v>Faceoff_AfterStoppage</v>
      </c>
      <c r="AG494" t="str">
        <f t="shared" si="53"/>
        <v/>
      </c>
      <c r="AN494" t="str">
        <f t="shared" si="55"/>
        <v>Defensive</v>
      </c>
      <c r="BD494" s="23"/>
      <c r="BF494" s="21"/>
    </row>
    <row r="495" spans="1:58" x14ac:dyDescent="0.2">
      <c r="A495">
        <v>253</v>
      </c>
      <c r="E495" s="5" t="s">
        <v>891</v>
      </c>
      <c r="F495" s="5" t="s">
        <v>893</v>
      </c>
      <c r="I495" t="s">
        <v>835</v>
      </c>
      <c r="J495">
        <v>91</v>
      </c>
      <c r="K495">
        <v>1</v>
      </c>
      <c r="L495" t="s">
        <v>845</v>
      </c>
      <c r="M495" t="s">
        <v>8</v>
      </c>
      <c r="N495" t="s">
        <v>189</v>
      </c>
      <c r="O495" t="s">
        <v>69</v>
      </c>
      <c r="P495" t="s">
        <v>689</v>
      </c>
      <c r="Q495" t="s">
        <v>749</v>
      </c>
      <c r="S495" t="s">
        <v>689</v>
      </c>
      <c r="T495">
        <v>1</v>
      </c>
      <c r="U495" s="8">
        <f t="shared" si="51"/>
        <v>1</v>
      </c>
      <c r="AD495" t="str">
        <f t="shared" si="50"/>
        <v>e</v>
      </c>
      <c r="AE495" t="str">
        <f t="shared" si="54"/>
        <v>Pass</v>
      </c>
      <c r="AF495" t="str">
        <f t="shared" si="52"/>
        <v>Pass_Completed</v>
      </c>
      <c r="AG495" t="str">
        <f t="shared" si="53"/>
        <v>Pass-Backhand</v>
      </c>
      <c r="AN495" t="str">
        <f t="shared" si="55"/>
        <v>Offensive</v>
      </c>
      <c r="BD495" s="23"/>
      <c r="BF495" s="21"/>
    </row>
    <row r="496" spans="1:58" x14ac:dyDescent="0.2">
      <c r="A496">
        <v>253</v>
      </c>
      <c r="J496">
        <v>87</v>
      </c>
      <c r="K496">
        <v>1</v>
      </c>
      <c r="U496" s="8">
        <f t="shared" si="51"/>
        <v>1</v>
      </c>
      <c r="AD496" t="str">
        <f t="shared" si="50"/>
        <v>e</v>
      </c>
      <c r="AE496" t="str">
        <f t="shared" si="54"/>
        <v>Pass</v>
      </c>
      <c r="AF496" t="str">
        <f t="shared" si="52"/>
        <v>Pass_Completed</v>
      </c>
      <c r="AG496" t="str">
        <f t="shared" si="53"/>
        <v>Pass-Backhand</v>
      </c>
      <c r="AN496" t="str">
        <f t="shared" si="55"/>
        <v>Offensive</v>
      </c>
      <c r="BD496" s="23"/>
      <c r="BF496" s="21"/>
    </row>
    <row r="497" spans="1:58" x14ac:dyDescent="0.2">
      <c r="A497">
        <v>253</v>
      </c>
      <c r="J497">
        <v>71</v>
      </c>
      <c r="T497">
        <v>1</v>
      </c>
      <c r="U497" s="8">
        <f t="shared" si="51"/>
        <v>1</v>
      </c>
      <c r="AD497" t="str">
        <f t="shared" si="50"/>
        <v>o</v>
      </c>
      <c r="AE497" t="str">
        <f t="shared" si="54"/>
        <v>Pass</v>
      </c>
      <c r="AF497" t="str">
        <f t="shared" si="52"/>
        <v>Pass_Completed</v>
      </c>
      <c r="AG497" t="str">
        <f t="shared" si="53"/>
        <v>Pass-Backhand</v>
      </c>
      <c r="AN497" t="str">
        <f t="shared" si="55"/>
        <v>Defensive</v>
      </c>
      <c r="BD497" s="23"/>
      <c r="BF497" s="21"/>
    </row>
    <row r="498" spans="1:58" x14ac:dyDescent="0.2">
      <c r="A498">
        <v>254</v>
      </c>
      <c r="E498" s="5" t="s">
        <v>891</v>
      </c>
      <c r="F498" s="5" t="s">
        <v>884</v>
      </c>
      <c r="I498" t="s">
        <v>835</v>
      </c>
      <c r="J498">
        <v>87</v>
      </c>
      <c r="K498">
        <v>1</v>
      </c>
      <c r="L498" t="s">
        <v>845</v>
      </c>
      <c r="M498" t="s">
        <v>15</v>
      </c>
      <c r="Q498" t="s">
        <v>721</v>
      </c>
      <c r="S498" t="s">
        <v>689</v>
      </c>
      <c r="T498">
        <v>1</v>
      </c>
      <c r="U498" s="8">
        <f t="shared" si="51"/>
        <v>1</v>
      </c>
      <c r="AD498" t="str">
        <f t="shared" si="50"/>
        <v>e</v>
      </c>
      <c r="AE498" t="str">
        <f t="shared" si="54"/>
        <v>Possession</v>
      </c>
      <c r="AF498" t="str">
        <f t="shared" si="52"/>
        <v/>
      </c>
      <c r="AG498" t="str">
        <f t="shared" si="53"/>
        <v/>
      </c>
      <c r="AN498" t="str">
        <f t="shared" si="55"/>
        <v>Offensive</v>
      </c>
      <c r="BD498" s="23"/>
      <c r="BF498" s="21"/>
    </row>
    <row r="499" spans="1:58" x14ac:dyDescent="0.2">
      <c r="A499">
        <v>254</v>
      </c>
      <c r="J499">
        <v>74</v>
      </c>
      <c r="T499">
        <v>1</v>
      </c>
      <c r="U499" s="8">
        <f t="shared" si="51"/>
        <v>1</v>
      </c>
      <c r="AD499" t="str">
        <f t="shared" si="50"/>
        <v>o</v>
      </c>
      <c r="AE499" t="str">
        <f t="shared" si="54"/>
        <v>Possession</v>
      </c>
      <c r="AF499" t="str">
        <f t="shared" si="52"/>
        <v/>
      </c>
      <c r="AG499" t="str">
        <f t="shared" si="53"/>
        <v/>
      </c>
      <c r="AN499" t="str">
        <f t="shared" si="55"/>
        <v>Defensive</v>
      </c>
      <c r="BD499" s="23"/>
      <c r="BF499" s="21"/>
    </row>
    <row r="500" spans="1:58" x14ac:dyDescent="0.2">
      <c r="A500">
        <v>255</v>
      </c>
      <c r="B500">
        <v>44</v>
      </c>
      <c r="E500" s="5" t="s">
        <v>891</v>
      </c>
      <c r="F500" s="5" t="s">
        <v>884</v>
      </c>
      <c r="G500" s="5" t="s">
        <v>891</v>
      </c>
      <c r="H500" s="7" t="s">
        <v>446</v>
      </c>
      <c r="I500" t="s">
        <v>835</v>
      </c>
      <c r="J500">
        <v>87</v>
      </c>
      <c r="K500">
        <v>1</v>
      </c>
      <c r="L500" t="s">
        <v>845</v>
      </c>
      <c r="M500" t="s">
        <v>257</v>
      </c>
      <c r="N500" t="s">
        <v>201</v>
      </c>
      <c r="O500" t="s">
        <v>90</v>
      </c>
      <c r="P500" t="s">
        <v>689</v>
      </c>
      <c r="T500">
        <v>1</v>
      </c>
      <c r="U500" s="8">
        <f t="shared" si="51"/>
        <v>1</v>
      </c>
      <c r="AD500" t="str">
        <f t="shared" si="50"/>
        <v>e</v>
      </c>
      <c r="AE500" t="str">
        <f t="shared" si="54"/>
        <v>Zone_Entry_Exit</v>
      </c>
      <c r="AF500" t="str">
        <f t="shared" si="52"/>
        <v>Zone_Exit</v>
      </c>
      <c r="AG500" t="str">
        <f t="shared" si="53"/>
        <v>ZoneExit-Rush</v>
      </c>
      <c r="AN500" t="str">
        <f t="shared" si="55"/>
        <v>Offensive</v>
      </c>
      <c r="BD500" s="23"/>
      <c r="BF500" s="21"/>
    </row>
    <row r="501" spans="1:58" x14ac:dyDescent="0.2">
      <c r="A501">
        <v>255</v>
      </c>
      <c r="B501">
        <v>44</v>
      </c>
      <c r="J501">
        <v>74</v>
      </c>
      <c r="Q501" t="s">
        <v>704</v>
      </c>
      <c r="S501" t="s">
        <v>688</v>
      </c>
      <c r="T501">
        <v>1</v>
      </c>
      <c r="U501" s="8">
        <f t="shared" si="51"/>
        <v>1</v>
      </c>
      <c r="AD501" t="str">
        <f t="shared" si="50"/>
        <v>o</v>
      </c>
      <c r="AE501" t="str">
        <f t="shared" si="54"/>
        <v>Zone_Entry_Exit</v>
      </c>
      <c r="AF501" t="str">
        <f t="shared" si="52"/>
        <v>Zone_Exit</v>
      </c>
      <c r="AG501" t="str">
        <f t="shared" si="53"/>
        <v>ZoneExit-Rush</v>
      </c>
      <c r="AN501" t="str">
        <f t="shared" si="55"/>
        <v>Defensive</v>
      </c>
      <c r="BD501" s="23"/>
      <c r="BF501" s="21"/>
    </row>
    <row r="502" spans="1:58" x14ac:dyDescent="0.2">
      <c r="A502">
        <v>256</v>
      </c>
      <c r="B502">
        <v>44</v>
      </c>
      <c r="E502" s="5" t="s">
        <v>891</v>
      </c>
      <c r="F502" s="5" t="s">
        <v>884</v>
      </c>
      <c r="I502" t="s">
        <v>840</v>
      </c>
      <c r="J502">
        <v>74</v>
      </c>
      <c r="K502">
        <v>1</v>
      </c>
      <c r="L502" t="s">
        <v>401</v>
      </c>
      <c r="M502" t="s">
        <v>257</v>
      </c>
      <c r="N502" t="s">
        <v>753</v>
      </c>
      <c r="P502" t="s">
        <v>688</v>
      </c>
      <c r="Q502" t="s">
        <v>704</v>
      </c>
      <c r="S502" t="s">
        <v>688</v>
      </c>
      <c r="T502">
        <v>1</v>
      </c>
      <c r="U502" s="8">
        <f t="shared" si="51"/>
        <v>1</v>
      </c>
      <c r="AD502" t="str">
        <f t="shared" si="50"/>
        <v>e</v>
      </c>
      <c r="AE502" t="str">
        <f t="shared" si="54"/>
        <v>Zone_Entry_Exit</v>
      </c>
      <c r="AF502" t="str">
        <f t="shared" si="52"/>
        <v>Zone_KeepinFailed</v>
      </c>
      <c r="AG502" t="str">
        <f t="shared" si="53"/>
        <v/>
      </c>
      <c r="AN502" t="str">
        <f t="shared" si="55"/>
        <v>Offensive</v>
      </c>
      <c r="BD502" s="23"/>
      <c r="BF502" s="21"/>
    </row>
    <row r="503" spans="1:58" x14ac:dyDescent="0.2">
      <c r="A503">
        <v>256</v>
      </c>
      <c r="B503">
        <v>44</v>
      </c>
      <c r="J503">
        <v>87</v>
      </c>
      <c r="T503">
        <v>1</v>
      </c>
      <c r="U503" s="8">
        <f t="shared" si="51"/>
        <v>1</v>
      </c>
      <c r="AD503" t="str">
        <f t="shared" si="50"/>
        <v>o</v>
      </c>
      <c r="AE503" t="str">
        <f t="shared" si="54"/>
        <v>Zone_Entry_Exit</v>
      </c>
      <c r="AF503" t="str">
        <f t="shared" si="52"/>
        <v>Zone_KeepinFailed</v>
      </c>
      <c r="AG503" t="str">
        <f t="shared" si="53"/>
        <v/>
      </c>
      <c r="AN503" t="str">
        <f t="shared" si="55"/>
        <v>Defensive</v>
      </c>
      <c r="BD503" s="23"/>
      <c r="BF503" s="21"/>
    </row>
    <row r="504" spans="1:58" x14ac:dyDescent="0.2">
      <c r="A504">
        <v>257</v>
      </c>
      <c r="E504" s="5" t="s">
        <v>891</v>
      </c>
      <c r="F504" s="5" t="s">
        <v>446</v>
      </c>
      <c r="G504" s="5" t="s">
        <v>903</v>
      </c>
      <c r="H504" s="7" t="s">
        <v>872</v>
      </c>
      <c r="I504" t="s">
        <v>835</v>
      </c>
      <c r="J504">
        <v>87</v>
      </c>
      <c r="K504">
        <v>1</v>
      </c>
      <c r="L504" t="s">
        <v>839</v>
      </c>
      <c r="M504" t="s">
        <v>15</v>
      </c>
      <c r="U504" s="8">
        <f t="shared" si="51"/>
        <v>1</v>
      </c>
      <c r="AD504" t="str">
        <f t="shared" si="50"/>
        <v>e</v>
      </c>
      <c r="AE504" t="str">
        <f t="shared" si="54"/>
        <v>Possession</v>
      </c>
      <c r="AF504" t="str">
        <f t="shared" si="52"/>
        <v/>
      </c>
      <c r="AG504" t="str">
        <f t="shared" si="53"/>
        <v/>
      </c>
      <c r="AN504" t="str">
        <f t="shared" si="55"/>
        <v>Offensive</v>
      </c>
      <c r="BD504" s="23"/>
      <c r="BF504" s="21"/>
    </row>
    <row r="505" spans="1:58" x14ac:dyDescent="0.2">
      <c r="A505">
        <v>258</v>
      </c>
      <c r="E505" s="5" t="s">
        <v>903</v>
      </c>
      <c r="F505" s="5" t="s">
        <v>872</v>
      </c>
      <c r="G505" s="5" t="s">
        <v>903</v>
      </c>
      <c r="H505" s="7" t="s">
        <v>895</v>
      </c>
      <c r="I505" t="s">
        <v>835</v>
      </c>
      <c r="J505">
        <v>87</v>
      </c>
      <c r="K505">
        <v>1</v>
      </c>
      <c r="L505" t="s">
        <v>401</v>
      </c>
      <c r="M505" t="s">
        <v>257</v>
      </c>
      <c r="N505" t="s">
        <v>191</v>
      </c>
      <c r="O505" t="s">
        <v>87</v>
      </c>
      <c r="P505" t="s">
        <v>689</v>
      </c>
      <c r="Q505" t="s">
        <v>904</v>
      </c>
      <c r="R505" t="s">
        <v>661</v>
      </c>
      <c r="S505" t="s">
        <v>689</v>
      </c>
      <c r="T505">
        <v>1</v>
      </c>
      <c r="U505" s="8">
        <f t="shared" si="51"/>
        <v>1</v>
      </c>
      <c r="AD505" t="str">
        <f t="shared" si="50"/>
        <v>e</v>
      </c>
      <c r="AE505" t="str">
        <f t="shared" si="54"/>
        <v>Zone_Entry_Exit</v>
      </c>
      <c r="AF505" t="str">
        <f t="shared" si="52"/>
        <v>Zone_Entry</v>
      </c>
      <c r="AG505" t="str">
        <f t="shared" si="53"/>
        <v>ZoneEntry-Rush</v>
      </c>
      <c r="AN505" t="str">
        <f t="shared" si="55"/>
        <v>Offensive</v>
      </c>
      <c r="BD505" s="23"/>
      <c r="BF505" s="21"/>
    </row>
    <row r="506" spans="1:58" x14ac:dyDescent="0.2">
      <c r="A506">
        <v>258</v>
      </c>
      <c r="J506">
        <v>24</v>
      </c>
      <c r="K506">
        <v>1</v>
      </c>
      <c r="U506" s="8">
        <f t="shared" si="51"/>
        <v>1</v>
      </c>
      <c r="AD506" t="str">
        <f t="shared" si="50"/>
        <v>e</v>
      </c>
      <c r="AE506" t="str">
        <f t="shared" si="54"/>
        <v>Zone_Entry_Exit</v>
      </c>
      <c r="AF506" t="str">
        <f t="shared" si="52"/>
        <v>Zone_Entry</v>
      </c>
      <c r="AG506" t="str">
        <f t="shared" si="53"/>
        <v>ZoneEntry-Rush</v>
      </c>
      <c r="AN506" t="str">
        <f t="shared" si="55"/>
        <v>Offensive</v>
      </c>
      <c r="BD506" s="23"/>
      <c r="BF506" s="21"/>
    </row>
    <row r="507" spans="1:58" x14ac:dyDescent="0.2">
      <c r="A507">
        <v>258</v>
      </c>
      <c r="J507">
        <v>83</v>
      </c>
      <c r="Q507" t="s">
        <v>728</v>
      </c>
      <c r="R507" t="s">
        <v>905</v>
      </c>
      <c r="S507" t="s">
        <v>688</v>
      </c>
      <c r="T507">
        <v>1</v>
      </c>
      <c r="U507" s="8">
        <f t="shared" si="51"/>
        <v>1</v>
      </c>
      <c r="AD507" t="str">
        <f t="shared" si="50"/>
        <v>o</v>
      </c>
      <c r="AE507" t="str">
        <f t="shared" si="54"/>
        <v>Zone_Entry_Exit</v>
      </c>
      <c r="AF507" t="str">
        <f t="shared" si="52"/>
        <v>Zone_Entry</v>
      </c>
      <c r="AG507" t="str">
        <f t="shared" si="53"/>
        <v>ZoneEntry-Rush</v>
      </c>
      <c r="AN507" t="str">
        <f t="shared" si="55"/>
        <v>Defensive</v>
      </c>
      <c r="BD507" s="23"/>
      <c r="BF507" s="21"/>
    </row>
    <row r="508" spans="1:58" x14ac:dyDescent="0.2">
      <c r="A508">
        <v>258</v>
      </c>
      <c r="J508">
        <v>5</v>
      </c>
      <c r="U508" s="8">
        <f t="shared" si="51"/>
        <v>1</v>
      </c>
      <c r="AD508" t="str">
        <f t="shared" si="50"/>
        <v>o</v>
      </c>
      <c r="AE508" t="str">
        <f t="shared" si="54"/>
        <v>Zone_Entry_Exit</v>
      </c>
      <c r="AF508" t="str">
        <f t="shared" si="52"/>
        <v>Zone_Entry</v>
      </c>
      <c r="AG508" t="str">
        <f t="shared" si="53"/>
        <v>ZoneEntry-Rush</v>
      </c>
      <c r="AN508" t="str">
        <f t="shared" si="55"/>
        <v>Defensive</v>
      </c>
      <c r="BD508" s="23"/>
      <c r="BF508" s="21"/>
    </row>
    <row r="509" spans="1:58" x14ac:dyDescent="0.2">
      <c r="A509">
        <v>259</v>
      </c>
      <c r="E509" s="5" t="s">
        <v>903</v>
      </c>
      <c r="F509" s="5" t="s">
        <v>895</v>
      </c>
      <c r="I509" t="s">
        <v>835</v>
      </c>
      <c r="J509">
        <v>87</v>
      </c>
      <c r="K509">
        <v>1</v>
      </c>
      <c r="L509" t="s">
        <v>401</v>
      </c>
      <c r="M509" t="s">
        <v>8</v>
      </c>
      <c r="N509" t="s">
        <v>189</v>
      </c>
      <c r="O509" t="s">
        <v>69</v>
      </c>
      <c r="P509" t="s">
        <v>689</v>
      </c>
      <c r="U509" s="8">
        <f t="shared" si="51"/>
        <v>1</v>
      </c>
      <c r="AD509" t="str">
        <f t="shared" si="50"/>
        <v>e</v>
      </c>
      <c r="AE509" t="str">
        <f t="shared" si="54"/>
        <v>Pass</v>
      </c>
      <c r="AF509" t="str">
        <f t="shared" si="52"/>
        <v>Pass_Completed</v>
      </c>
      <c r="AG509" t="str">
        <f t="shared" si="53"/>
        <v>Pass-Backhand</v>
      </c>
      <c r="AN509" t="str">
        <f t="shared" si="55"/>
        <v>Offensive</v>
      </c>
      <c r="BD509" s="23"/>
      <c r="BF509" s="21"/>
    </row>
    <row r="510" spans="1:58" x14ac:dyDescent="0.2">
      <c r="A510">
        <v>259</v>
      </c>
      <c r="J510">
        <v>42</v>
      </c>
      <c r="K510">
        <v>1</v>
      </c>
      <c r="U510" s="8">
        <f t="shared" si="51"/>
        <v>1</v>
      </c>
      <c r="AD510" t="str">
        <f t="shared" si="50"/>
        <v>e</v>
      </c>
      <c r="AE510" t="str">
        <f t="shared" si="54"/>
        <v>Pass</v>
      </c>
      <c r="AF510" t="str">
        <f t="shared" si="52"/>
        <v>Pass_Completed</v>
      </c>
      <c r="AG510" t="str">
        <f t="shared" si="53"/>
        <v>Pass-Backhand</v>
      </c>
      <c r="AN510" t="str">
        <f t="shared" si="55"/>
        <v>Offensive</v>
      </c>
      <c r="BD510" s="23"/>
      <c r="BF510" s="21"/>
    </row>
    <row r="511" spans="1:58" x14ac:dyDescent="0.2">
      <c r="A511">
        <v>260</v>
      </c>
      <c r="B511">
        <v>45</v>
      </c>
      <c r="E511" s="5" t="s">
        <v>903</v>
      </c>
      <c r="F511" s="5" t="s">
        <v>885</v>
      </c>
      <c r="I511" t="s">
        <v>835</v>
      </c>
      <c r="J511">
        <v>42</v>
      </c>
      <c r="K511">
        <v>1</v>
      </c>
      <c r="L511" t="s">
        <v>401</v>
      </c>
      <c r="M511" t="s">
        <v>7</v>
      </c>
      <c r="N511" t="s">
        <v>222</v>
      </c>
      <c r="O511" t="s">
        <v>53</v>
      </c>
      <c r="P511" t="s">
        <v>689</v>
      </c>
      <c r="U511" s="8">
        <f t="shared" si="51"/>
        <v>1</v>
      </c>
      <c r="AD511" t="str">
        <f t="shared" si="50"/>
        <v>e</v>
      </c>
      <c r="AE511" t="str">
        <f t="shared" si="54"/>
        <v>Shot</v>
      </c>
      <c r="AF511" t="str">
        <f t="shared" si="52"/>
        <v>Shot_OnNetSaved</v>
      </c>
      <c r="AG511" t="str">
        <f t="shared" si="53"/>
        <v>Shot-Wrist</v>
      </c>
      <c r="AN511" t="str">
        <f t="shared" si="55"/>
        <v>Offensive</v>
      </c>
      <c r="BD511" s="23"/>
      <c r="BF511" s="21"/>
    </row>
    <row r="512" spans="1:58" x14ac:dyDescent="0.2">
      <c r="A512">
        <v>260</v>
      </c>
      <c r="B512">
        <v>45</v>
      </c>
      <c r="J512">
        <v>38</v>
      </c>
      <c r="U512" s="8">
        <f t="shared" si="51"/>
        <v>1</v>
      </c>
      <c r="AD512" t="str">
        <f t="shared" si="50"/>
        <v>o</v>
      </c>
      <c r="AE512" t="str">
        <f t="shared" si="54"/>
        <v>Shot</v>
      </c>
      <c r="AF512" t="str">
        <f t="shared" si="52"/>
        <v>Shot_OnNetSaved</v>
      </c>
      <c r="AG512" t="str">
        <f t="shared" si="53"/>
        <v>Shot-Wrist</v>
      </c>
      <c r="AN512" t="str">
        <f t="shared" si="55"/>
        <v>Defensive</v>
      </c>
      <c r="BD512" s="23"/>
      <c r="BF512" s="21"/>
    </row>
    <row r="513" spans="1:58" x14ac:dyDescent="0.2">
      <c r="A513">
        <v>261</v>
      </c>
      <c r="B513">
        <v>45</v>
      </c>
      <c r="E513" s="5" t="s">
        <v>903</v>
      </c>
      <c r="F513" s="5" t="s">
        <v>885</v>
      </c>
      <c r="I513" t="s">
        <v>840</v>
      </c>
      <c r="J513">
        <v>38</v>
      </c>
      <c r="K513">
        <v>1</v>
      </c>
      <c r="L513" t="s">
        <v>845</v>
      </c>
      <c r="M513" t="s">
        <v>17</v>
      </c>
      <c r="N513" t="s">
        <v>206</v>
      </c>
      <c r="O513" t="s">
        <v>103</v>
      </c>
      <c r="U513" s="8">
        <f t="shared" si="51"/>
        <v>1</v>
      </c>
      <c r="AD513" t="str">
        <f t="shared" si="50"/>
        <v>e</v>
      </c>
      <c r="AE513" t="str">
        <f t="shared" si="54"/>
        <v>Save</v>
      </c>
      <c r="AF513" t="str">
        <f t="shared" si="52"/>
        <v>Save_Freeze</v>
      </c>
      <c r="AG513" t="str">
        <f t="shared" si="53"/>
        <v>Save-Chest</v>
      </c>
      <c r="AN513" t="str">
        <f t="shared" si="55"/>
        <v>Defensive</v>
      </c>
      <c r="BD513" s="23"/>
      <c r="BF513" s="21"/>
    </row>
    <row r="514" spans="1:58" x14ac:dyDescent="0.2">
      <c r="A514">
        <v>261</v>
      </c>
      <c r="B514">
        <v>45</v>
      </c>
      <c r="J514">
        <v>42</v>
      </c>
      <c r="U514" s="8">
        <f t="shared" si="51"/>
        <v>1</v>
      </c>
      <c r="AD514" t="str">
        <f t="shared" ref="AD514:AD577" si="56">IF(K514="x","",IF(K514=1,"e","o"))</f>
        <v>o</v>
      </c>
      <c r="AE514" t="str">
        <f t="shared" si="54"/>
        <v>Save</v>
      </c>
      <c r="AF514" t="str">
        <f t="shared" si="52"/>
        <v>Save_Freeze</v>
      </c>
      <c r="AG514" t="str">
        <f t="shared" si="53"/>
        <v>Save-Chest</v>
      </c>
      <c r="AN514" t="str">
        <f t="shared" si="55"/>
        <v>Offensive</v>
      </c>
      <c r="BD514" s="23"/>
      <c r="BF514" s="21"/>
    </row>
    <row r="515" spans="1:58" x14ac:dyDescent="0.2">
      <c r="A515">
        <v>262</v>
      </c>
      <c r="B515">
        <v>45</v>
      </c>
      <c r="E515" s="5" t="s">
        <v>903</v>
      </c>
      <c r="F515" s="5" t="s">
        <v>885</v>
      </c>
      <c r="I515" t="s">
        <v>840</v>
      </c>
      <c r="J515">
        <v>38</v>
      </c>
      <c r="K515">
        <v>1</v>
      </c>
      <c r="L515" t="s">
        <v>845</v>
      </c>
      <c r="M515" t="s">
        <v>13</v>
      </c>
      <c r="N515" t="s">
        <v>204</v>
      </c>
      <c r="O515" t="s">
        <v>110</v>
      </c>
      <c r="U515" s="8">
        <f t="shared" ref="U515:U578" si="57">IF(M515="Intermission",U514+1,U514)</f>
        <v>1</v>
      </c>
      <c r="AD515" t="str">
        <f t="shared" si="56"/>
        <v>e</v>
      </c>
      <c r="AE515" t="str">
        <f t="shared" si="54"/>
        <v>Stoppage</v>
      </c>
      <c r="AF515" t="str">
        <f t="shared" ref="AF515:AF578" si="58">IF(N515&lt;&gt;"",N515,IF($A515=$A514,AF514,""))</f>
        <v>Stoppage_Play</v>
      </c>
      <c r="AG515" t="str">
        <f t="shared" ref="AG515:AG578" si="59">IF(O515&lt;&gt;"",O515,IF($A515=$A514,AG514,""))</f>
        <v>Stoppage-GoalieStoppage</v>
      </c>
      <c r="AN515" t="str">
        <f t="shared" si="55"/>
        <v/>
      </c>
      <c r="BD515" s="23"/>
      <c r="BF515" s="21"/>
    </row>
    <row r="516" spans="1:58" x14ac:dyDescent="0.2">
      <c r="A516">
        <v>263</v>
      </c>
      <c r="B516">
        <v>45</v>
      </c>
      <c r="E516" s="5" t="s">
        <v>903</v>
      </c>
      <c r="F516" s="5" t="s">
        <v>885</v>
      </c>
      <c r="G516" s="5" t="s">
        <v>903</v>
      </c>
      <c r="H516" s="7" t="s">
        <v>850</v>
      </c>
      <c r="I516" t="s">
        <v>840</v>
      </c>
      <c r="J516">
        <v>38</v>
      </c>
      <c r="K516">
        <v>1</v>
      </c>
      <c r="L516" t="s">
        <v>845</v>
      </c>
      <c r="M516" t="s">
        <v>262</v>
      </c>
      <c r="U516" s="8">
        <f t="shared" si="57"/>
        <v>1</v>
      </c>
      <c r="AD516" t="str">
        <f t="shared" si="56"/>
        <v>e</v>
      </c>
      <c r="AE516" t="str">
        <f t="shared" ref="AE516:AE579" si="60">IF(M516&lt;&gt;"",M516,IF($A516=$A515,AE515,""))</f>
        <v>DeadIce</v>
      </c>
      <c r="AF516" t="str">
        <f t="shared" si="58"/>
        <v/>
      </c>
      <c r="AG516" t="str">
        <f t="shared" si="59"/>
        <v/>
      </c>
      <c r="AN516" t="str">
        <f t="shared" si="55"/>
        <v/>
      </c>
      <c r="BD516" s="23"/>
      <c r="BF516" s="21"/>
    </row>
    <row r="517" spans="1:58" x14ac:dyDescent="0.2">
      <c r="A517">
        <v>264</v>
      </c>
      <c r="E517" s="5" t="s">
        <v>903</v>
      </c>
      <c r="F517" s="5" t="s">
        <v>850</v>
      </c>
      <c r="I517" t="s">
        <v>840</v>
      </c>
      <c r="J517">
        <v>13</v>
      </c>
      <c r="K517">
        <v>1</v>
      </c>
      <c r="L517" t="s">
        <v>845</v>
      </c>
      <c r="M517" t="s">
        <v>6</v>
      </c>
      <c r="N517" t="s">
        <v>255</v>
      </c>
      <c r="U517" s="8">
        <f t="shared" si="57"/>
        <v>1</v>
      </c>
      <c r="AD517" t="str">
        <f t="shared" si="56"/>
        <v>e</v>
      </c>
      <c r="AE517" t="str">
        <f t="shared" si="60"/>
        <v>Faceoff</v>
      </c>
      <c r="AF517" t="str">
        <f t="shared" si="58"/>
        <v>Faceoff_AfterStoppage</v>
      </c>
      <c r="AG517" t="str">
        <f t="shared" si="59"/>
        <v/>
      </c>
      <c r="AN517" t="str">
        <f t="shared" si="55"/>
        <v>Offensive</v>
      </c>
      <c r="BD517" s="23"/>
      <c r="BF517" s="21"/>
    </row>
    <row r="518" spans="1:58" x14ac:dyDescent="0.2">
      <c r="A518">
        <v>264</v>
      </c>
      <c r="J518">
        <v>83</v>
      </c>
      <c r="K518">
        <v>1</v>
      </c>
      <c r="U518" s="8">
        <f t="shared" si="57"/>
        <v>1</v>
      </c>
      <c r="AD518" t="str">
        <f t="shared" si="56"/>
        <v>e</v>
      </c>
      <c r="AE518" t="str">
        <f t="shared" si="60"/>
        <v>Faceoff</v>
      </c>
      <c r="AF518" t="str">
        <f t="shared" si="58"/>
        <v>Faceoff_AfterStoppage</v>
      </c>
      <c r="AG518" t="str">
        <f t="shared" si="59"/>
        <v/>
      </c>
      <c r="AN518" t="str">
        <f t="shared" si="55"/>
        <v>Offensive</v>
      </c>
      <c r="BD518" s="23"/>
      <c r="BF518" s="21"/>
    </row>
    <row r="519" spans="1:58" x14ac:dyDescent="0.2">
      <c r="A519">
        <v>264</v>
      </c>
      <c r="J519">
        <v>42</v>
      </c>
      <c r="U519" s="8">
        <f t="shared" si="57"/>
        <v>1</v>
      </c>
      <c r="AD519" t="str">
        <f t="shared" si="56"/>
        <v>o</v>
      </c>
      <c r="AE519" t="str">
        <f t="shared" si="60"/>
        <v>Faceoff</v>
      </c>
      <c r="AF519" t="str">
        <f t="shared" si="58"/>
        <v>Faceoff_AfterStoppage</v>
      </c>
      <c r="AG519" t="str">
        <f t="shared" si="59"/>
        <v/>
      </c>
      <c r="AN519" t="str">
        <f t="shared" si="55"/>
        <v>Defensive</v>
      </c>
      <c r="BD519" s="23"/>
      <c r="BF519" s="21"/>
    </row>
    <row r="520" spans="1:58" x14ac:dyDescent="0.2">
      <c r="A520">
        <v>265</v>
      </c>
      <c r="E520" s="5" t="s">
        <v>903</v>
      </c>
      <c r="F520" s="5" t="s">
        <v>851</v>
      </c>
      <c r="I520" t="s">
        <v>840</v>
      </c>
      <c r="J520">
        <v>83</v>
      </c>
      <c r="K520">
        <v>1</v>
      </c>
      <c r="L520" t="s">
        <v>845</v>
      </c>
      <c r="M520" t="s">
        <v>8</v>
      </c>
      <c r="N520" t="s">
        <v>189</v>
      </c>
      <c r="O520" t="s">
        <v>69</v>
      </c>
      <c r="P520" t="s">
        <v>689</v>
      </c>
      <c r="Q520" t="s">
        <v>749</v>
      </c>
      <c r="S520" t="s">
        <v>689</v>
      </c>
      <c r="U520" s="8">
        <f t="shared" si="57"/>
        <v>1</v>
      </c>
      <c r="AD520" t="str">
        <f t="shared" si="56"/>
        <v>e</v>
      </c>
      <c r="AE520" t="str">
        <f t="shared" si="60"/>
        <v>Pass</v>
      </c>
      <c r="AF520" t="str">
        <f t="shared" si="58"/>
        <v>Pass_Completed</v>
      </c>
      <c r="AG520" t="str">
        <f t="shared" si="59"/>
        <v>Pass-Backhand</v>
      </c>
      <c r="AN520" t="str">
        <f t="shared" si="55"/>
        <v>Offensive</v>
      </c>
      <c r="BD520" s="23"/>
      <c r="BF520" s="21"/>
    </row>
    <row r="521" spans="1:58" x14ac:dyDescent="0.2">
      <c r="A521">
        <v>265</v>
      </c>
      <c r="J521">
        <v>74</v>
      </c>
      <c r="K521">
        <v>1</v>
      </c>
      <c r="U521" s="8">
        <f t="shared" si="57"/>
        <v>1</v>
      </c>
      <c r="AD521" t="str">
        <f t="shared" si="56"/>
        <v>e</v>
      </c>
      <c r="AE521" t="str">
        <f t="shared" si="60"/>
        <v>Pass</v>
      </c>
      <c r="AF521" t="str">
        <f t="shared" si="58"/>
        <v>Pass_Completed</v>
      </c>
      <c r="AG521" t="str">
        <f t="shared" si="59"/>
        <v>Pass-Backhand</v>
      </c>
      <c r="AN521" t="str">
        <f t="shared" ref="AN521:AN584" si="61">IF(AND(AD521="e",OR(AE521="Save",AF521="Turnover_Takeaway",AF521="Play_Defensive")),"Defensive",IF(AND(AD521="o",OR(AE521="Save",AF521="Turnover_Takeaway",AF521="Play_Defensive")),"Offensive",IF(OR(AE521="Deadice",AE521="Stoppage",AE521="Intermission"),"",IF(AD521="e","Offensive",IF(AD521="o","Defensive","")))))</f>
        <v>Offensive</v>
      </c>
      <c r="BD521" s="23"/>
      <c r="BF521" s="21"/>
    </row>
    <row r="522" spans="1:58" x14ac:dyDescent="0.2">
      <c r="A522">
        <v>266</v>
      </c>
      <c r="E522" s="5" t="s">
        <v>903</v>
      </c>
      <c r="F522" s="5" t="s">
        <v>852</v>
      </c>
      <c r="G522" s="5" t="s">
        <v>903</v>
      </c>
      <c r="H522" s="7" t="s">
        <v>854</v>
      </c>
      <c r="I522" t="s">
        <v>840</v>
      </c>
      <c r="J522">
        <v>74</v>
      </c>
      <c r="K522">
        <v>1</v>
      </c>
      <c r="L522" t="s">
        <v>845</v>
      </c>
      <c r="M522" t="s">
        <v>15</v>
      </c>
      <c r="U522" s="8">
        <f t="shared" si="57"/>
        <v>1</v>
      </c>
      <c r="AD522" t="str">
        <f t="shared" si="56"/>
        <v>e</v>
      </c>
      <c r="AE522" t="str">
        <f t="shared" si="60"/>
        <v>Possession</v>
      </c>
      <c r="AF522" t="str">
        <f t="shared" si="58"/>
        <v/>
      </c>
      <c r="AG522" t="str">
        <f t="shared" si="59"/>
        <v/>
      </c>
      <c r="AN522" t="str">
        <f t="shared" si="61"/>
        <v>Offensive</v>
      </c>
      <c r="BD522" s="23"/>
      <c r="BF522" s="21"/>
    </row>
    <row r="523" spans="1:58" x14ac:dyDescent="0.2">
      <c r="A523">
        <v>267</v>
      </c>
      <c r="E523" s="5" t="s">
        <v>903</v>
      </c>
      <c r="F523" s="5" t="s">
        <v>854</v>
      </c>
      <c r="I523" t="s">
        <v>840</v>
      </c>
      <c r="J523">
        <v>74</v>
      </c>
      <c r="K523">
        <v>1</v>
      </c>
      <c r="L523" t="s">
        <v>845</v>
      </c>
      <c r="M523" t="s">
        <v>8</v>
      </c>
      <c r="N523" t="s">
        <v>189</v>
      </c>
      <c r="O523" t="s">
        <v>68</v>
      </c>
      <c r="P523" t="s">
        <v>689</v>
      </c>
      <c r="T523">
        <v>1</v>
      </c>
      <c r="U523" s="8">
        <f t="shared" si="57"/>
        <v>1</v>
      </c>
      <c r="AD523" t="str">
        <f t="shared" si="56"/>
        <v>e</v>
      </c>
      <c r="AE523" t="str">
        <f t="shared" si="60"/>
        <v>Pass</v>
      </c>
      <c r="AF523" t="str">
        <f t="shared" si="58"/>
        <v>Pass_Completed</v>
      </c>
      <c r="AG523" t="str">
        <f t="shared" si="59"/>
        <v>Pass-Rim/Wrap</v>
      </c>
      <c r="AN523" t="str">
        <f t="shared" si="61"/>
        <v>Offensive</v>
      </c>
      <c r="BD523" s="23"/>
      <c r="BF523" s="21"/>
    </row>
    <row r="524" spans="1:58" x14ac:dyDescent="0.2">
      <c r="A524">
        <v>267</v>
      </c>
      <c r="J524">
        <v>71</v>
      </c>
      <c r="K524">
        <v>1</v>
      </c>
      <c r="U524" s="8">
        <f t="shared" si="57"/>
        <v>1</v>
      </c>
      <c r="AD524" t="str">
        <f t="shared" si="56"/>
        <v>e</v>
      </c>
      <c r="AE524" t="str">
        <f t="shared" si="60"/>
        <v>Pass</v>
      </c>
      <c r="AF524" t="str">
        <f t="shared" si="58"/>
        <v>Pass_Completed</v>
      </c>
      <c r="AG524" t="str">
        <f t="shared" si="59"/>
        <v>Pass-Rim/Wrap</v>
      </c>
      <c r="AN524" t="str">
        <f t="shared" si="61"/>
        <v>Offensive</v>
      </c>
      <c r="BD524" s="23"/>
      <c r="BF524" s="21"/>
    </row>
    <row r="525" spans="1:58" x14ac:dyDescent="0.2">
      <c r="A525">
        <v>267</v>
      </c>
      <c r="J525">
        <v>87</v>
      </c>
      <c r="T525">
        <v>1</v>
      </c>
      <c r="U525" s="8">
        <f t="shared" si="57"/>
        <v>1</v>
      </c>
      <c r="AD525" t="str">
        <f t="shared" si="56"/>
        <v>o</v>
      </c>
      <c r="AE525" t="str">
        <f t="shared" si="60"/>
        <v>Pass</v>
      </c>
      <c r="AF525" t="str">
        <f t="shared" si="58"/>
        <v>Pass_Completed</v>
      </c>
      <c r="AG525" t="str">
        <f t="shared" si="59"/>
        <v>Pass-Rim/Wrap</v>
      </c>
      <c r="AN525" t="str">
        <f t="shared" si="61"/>
        <v>Defensive</v>
      </c>
      <c r="BD525" s="23"/>
      <c r="BF525" s="21"/>
    </row>
    <row r="526" spans="1:58" x14ac:dyDescent="0.2">
      <c r="A526">
        <v>268</v>
      </c>
      <c r="E526" s="5" t="s">
        <v>903</v>
      </c>
      <c r="F526" s="5" t="s">
        <v>854</v>
      </c>
      <c r="G526" s="5" t="s">
        <v>903</v>
      </c>
      <c r="H526" s="7" t="s">
        <v>858</v>
      </c>
      <c r="I526" t="s">
        <v>840</v>
      </c>
      <c r="J526">
        <v>74</v>
      </c>
      <c r="K526">
        <v>1</v>
      </c>
      <c r="L526" t="s">
        <v>845</v>
      </c>
      <c r="M526" t="s">
        <v>15</v>
      </c>
      <c r="U526" s="8">
        <f t="shared" si="57"/>
        <v>1</v>
      </c>
      <c r="AD526" t="str">
        <f t="shared" si="56"/>
        <v>e</v>
      </c>
      <c r="AE526" t="str">
        <f t="shared" si="60"/>
        <v>Possession</v>
      </c>
      <c r="AF526" t="str">
        <f t="shared" si="58"/>
        <v/>
      </c>
      <c r="AG526" t="str">
        <f t="shared" si="59"/>
        <v/>
      </c>
      <c r="AN526" t="str">
        <f t="shared" si="61"/>
        <v>Offensive</v>
      </c>
      <c r="BD526" s="23"/>
      <c r="BF526" s="21"/>
    </row>
    <row r="527" spans="1:58" x14ac:dyDescent="0.2">
      <c r="A527">
        <v>269</v>
      </c>
      <c r="B527">
        <v>46</v>
      </c>
      <c r="E527" s="5" t="s">
        <v>903</v>
      </c>
      <c r="F527" s="5" t="s">
        <v>858</v>
      </c>
      <c r="I527" t="s">
        <v>840</v>
      </c>
      <c r="J527">
        <v>74</v>
      </c>
      <c r="K527">
        <v>1</v>
      </c>
      <c r="L527" t="s">
        <v>845</v>
      </c>
      <c r="M527" t="s">
        <v>8</v>
      </c>
      <c r="N527" t="s">
        <v>189</v>
      </c>
      <c r="O527" t="s">
        <v>70</v>
      </c>
      <c r="P527" t="s">
        <v>689</v>
      </c>
      <c r="Q527" t="s">
        <v>662</v>
      </c>
      <c r="S527" t="s">
        <v>689</v>
      </c>
      <c r="U527" s="8">
        <f t="shared" si="57"/>
        <v>1</v>
      </c>
      <c r="AD527" t="str">
        <f t="shared" si="56"/>
        <v>e</v>
      </c>
      <c r="AE527" t="str">
        <f t="shared" si="60"/>
        <v>Pass</v>
      </c>
      <c r="AF527" t="str">
        <f t="shared" si="58"/>
        <v>Pass_Completed</v>
      </c>
      <c r="AG527" t="str">
        <f t="shared" si="59"/>
        <v>Pass-Forehand</v>
      </c>
      <c r="AN527" t="str">
        <f t="shared" si="61"/>
        <v>Offensive</v>
      </c>
      <c r="BD527" s="23"/>
      <c r="BF527" s="21"/>
    </row>
    <row r="528" spans="1:58" x14ac:dyDescent="0.2">
      <c r="A528">
        <v>269</v>
      </c>
      <c r="B528">
        <v>46</v>
      </c>
      <c r="J528">
        <v>5</v>
      </c>
      <c r="K528">
        <v>1</v>
      </c>
      <c r="U528" s="8">
        <f t="shared" si="57"/>
        <v>1</v>
      </c>
      <c r="AD528" t="str">
        <f t="shared" si="56"/>
        <v>e</v>
      </c>
      <c r="AE528" t="str">
        <f t="shared" si="60"/>
        <v>Pass</v>
      </c>
      <c r="AF528" t="str">
        <f t="shared" si="58"/>
        <v>Pass_Completed</v>
      </c>
      <c r="AG528" t="str">
        <f t="shared" si="59"/>
        <v>Pass-Forehand</v>
      </c>
      <c r="AN528" t="str">
        <f t="shared" si="61"/>
        <v>Offensive</v>
      </c>
      <c r="BD528" s="23"/>
      <c r="BF528" s="21"/>
    </row>
    <row r="529" spans="1:58" x14ac:dyDescent="0.2">
      <c r="A529">
        <v>270</v>
      </c>
      <c r="B529">
        <v>46</v>
      </c>
      <c r="E529" s="5" t="s">
        <v>903</v>
      </c>
      <c r="F529" s="5" t="s">
        <v>858</v>
      </c>
      <c r="I529" t="s">
        <v>840</v>
      </c>
      <c r="J529">
        <v>74</v>
      </c>
      <c r="K529">
        <v>1</v>
      </c>
      <c r="L529" t="s">
        <v>845</v>
      </c>
      <c r="M529" t="s">
        <v>257</v>
      </c>
      <c r="N529" t="s">
        <v>201</v>
      </c>
      <c r="O529" t="s">
        <v>91</v>
      </c>
      <c r="P529" t="s">
        <v>689</v>
      </c>
      <c r="U529" s="8">
        <f t="shared" si="57"/>
        <v>1</v>
      </c>
      <c r="AD529" t="str">
        <f t="shared" si="56"/>
        <v>e</v>
      </c>
      <c r="AE529" t="str">
        <f t="shared" si="60"/>
        <v>Zone_Entry_Exit</v>
      </c>
      <c r="AF529" t="str">
        <f t="shared" si="58"/>
        <v>Zone_Exit</v>
      </c>
      <c r="AG529" t="str">
        <f t="shared" si="59"/>
        <v>ZoneExit-Pass</v>
      </c>
      <c r="AN529" t="str">
        <f t="shared" si="61"/>
        <v>Offensive</v>
      </c>
      <c r="BD529" s="23"/>
      <c r="BF529" s="21"/>
    </row>
    <row r="530" spans="1:58" x14ac:dyDescent="0.2">
      <c r="A530">
        <v>270</v>
      </c>
      <c r="B530">
        <v>46</v>
      </c>
      <c r="J530">
        <v>5</v>
      </c>
      <c r="K530">
        <v>1</v>
      </c>
      <c r="U530" s="8">
        <f t="shared" si="57"/>
        <v>1</v>
      </c>
      <c r="AD530" t="str">
        <f t="shared" si="56"/>
        <v>e</v>
      </c>
      <c r="AE530" t="str">
        <f t="shared" si="60"/>
        <v>Zone_Entry_Exit</v>
      </c>
      <c r="AF530" t="str">
        <f t="shared" si="58"/>
        <v>Zone_Exit</v>
      </c>
      <c r="AG530" t="str">
        <f t="shared" si="59"/>
        <v>ZoneExit-Pass</v>
      </c>
      <c r="AN530" t="str">
        <f t="shared" si="61"/>
        <v>Offensive</v>
      </c>
      <c r="BD530" s="23"/>
      <c r="BF530" s="21"/>
    </row>
    <row r="531" spans="1:58" x14ac:dyDescent="0.2">
      <c r="A531">
        <v>271</v>
      </c>
      <c r="E531" s="5" t="s">
        <v>903</v>
      </c>
      <c r="F531" s="5" t="s">
        <v>859</v>
      </c>
      <c r="G531" s="5" t="s">
        <v>903</v>
      </c>
      <c r="H531" s="7" t="s">
        <v>860</v>
      </c>
      <c r="I531" t="s">
        <v>840</v>
      </c>
      <c r="J531">
        <v>5</v>
      </c>
      <c r="K531">
        <v>1</v>
      </c>
      <c r="L531" t="s">
        <v>839</v>
      </c>
      <c r="M531" t="s">
        <v>15</v>
      </c>
      <c r="U531" s="8">
        <f t="shared" si="57"/>
        <v>1</v>
      </c>
      <c r="AD531" t="str">
        <f t="shared" si="56"/>
        <v>e</v>
      </c>
      <c r="AE531" t="str">
        <f t="shared" si="60"/>
        <v>Possession</v>
      </c>
      <c r="AF531" t="str">
        <f t="shared" si="58"/>
        <v/>
      </c>
      <c r="AG531" t="str">
        <f t="shared" si="59"/>
        <v/>
      </c>
      <c r="AN531" t="str">
        <f t="shared" si="61"/>
        <v>Offensive</v>
      </c>
      <c r="BD531" s="23"/>
      <c r="BF531" s="21"/>
    </row>
    <row r="532" spans="1:58" x14ac:dyDescent="0.2">
      <c r="A532">
        <v>272</v>
      </c>
      <c r="E532" s="5" t="s">
        <v>903</v>
      </c>
      <c r="F532" s="5" t="s">
        <v>860</v>
      </c>
      <c r="G532" s="5" t="s">
        <v>903</v>
      </c>
      <c r="H532" s="7" t="s">
        <v>836</v>
      </c>
      <c r="I532" t="s">
        <v>840</v>
      </c>
      <c r="J532">
        <v>5</v>
      </c>
      <c r="K532">
        <v>1</v>
      </c>
      <c r="L532" t="s">
        <v>401</v>
      </c>
      <c r="M532" t="s">
        <v>257</v>
      </c>
      <c r="N532" t="s">
        <v>191</v>
      </c>
      <c r="O532" t="s">
        <v>87</v>
      </c>
      <c r="P532" t="s">
        <v>689</v>
      </c>
      <c r="Q532" t="s">
        <v>702</v>
      </c>
      <c r="S532" t="s">
        <v>689</v>
      </c>
      <c r="T532">
        <v>1</v>
      </c>
      <c r="U532" s="8">
        <f t="shared" si="57"/>
        <v>1</v>
      </c>
      <c r="AD532" t="str">
        <f t="shared" si="56"/>
        <v>e</v>
      </c>
      <c r="AE532" t="str">
        <f t="shared" si="60"/>
        <v>Zone_Entry_Exit</v>
      </c>
      <c r="AF532" t="str">
        <f t="shared" si="58"/>
        <v>Zone_Entry</v>
      </c>
      <c r="AG532" t="str">
        <f t="shared" si="59"/>
        <v>ZoneEntry-Rush</v>
      </c>
      <c r="AN532" t="str">
        <f t="shared" si="61"/>
        <v>Offensive</v>
      </c>
      <c r="BD532" s="23"/>
      <c r="BF532" s="21"/>
    </row>
    <row r="533" spans="1:58" x14ac:dyDescent="0.2">
      <c r="A533">
        <v>272</v>
      </c>
      <c r="J533">
        <v>91</v>
      </c>
      <c r="Q533" t="s">
        <v>703</v>
      </c>
      <c r="S533" t="s">
        <v>689</v>
      </c>
      <c r="T533">
        <v>1</v>
      </c>
      <c r="U533" s="8">
        <f t="shared" si="57"/>
        <v>1</v>
      </c>
      <c r="AD533" t="str">
        <f t="shared" si="56"/>
        <v>o</v>
      </c>
      <c r="AE533" t="str">
        <f t="shared" si="60"/>
        <v>Zone_Entry_Exit</v>
      </c>
      <c r="AF533" t="str">
        <f t="shared" si="58"/>
        <v>Zone_Entry</v>
      </c>
      <c r="AG533" t="str">
        <f t="shared" si="59"/>
        <v>ZoneEntry-Rush</v>
      </c>
      <c r="AN533" t="str">
        <f t="shared" si="61"/>
        <v>Defensive</v>
      </c>
      <c r="BD533" s="23"/>
      <c r="BF533" s="21"/>
    </row>
    <row r="534" spans="1:58" x14ac:dyDescent="0.2">
      <c r="A534">
        <v>272</v>
      </c>
      <c r="J534">
        <v>52</v>
      </c>
      <c r="U534" s="8">
        <f t="shared" si="57"/>
        <v>1</v>
      </c>
      <c r="AD534" t="str">
        <f t="shared" si="56"/>
        <v>o</v>
      </c>
      <c r="AE534" t="str">
        <f t="shared" si="60"/>
        <v>Zone_Entry_Exit</v>
      </c>
      <c r="AF534" t="str">
        <f t="shared" si="58"/>
        <v>Zone_Entry</v>
      </c>
      <c r="AG534" t="str">
        <f t="shared" si="59"/>
        <v>ZoneEntry-Rush</v>
      </c>
      <c r="AN534" t="str">
        <f t="shared" si="61"/>
        <v>Defensive</v>
      </c>
      <c r="BD534" s="23"/>
      <c r="BF534" s="21"/>
    </row>
    <row r="535" spans="1:58" x14ac:dyDescent="0.2">
      <c r="A535">
        <v>274</v>
      </c>
      <c r="E535" s="5" t="s">
        <v>903</v>
      </c>
      <c r="F535" s="5" t="s">
        <v>836</v>
      </c>
      <c r="I535" t="s">
        <v>840</v>
      </c>
      <c r="J535">
        <v>5</v>
      </c>
      <c r="K535">
        <v>1</v>
      </c>
      <c r="L535" t="s">
        <v>401</v>
      </c>
      <c r="M535" t="s">
        <v>8</v>
      </c>
      <c r="N535" t="s">
        <v>189</v>
      </c>
      <c r="O535" t="s">
        <v>70</v>
      </c>
      <c r="P535" t="s">
        <v>689</v>
      </c>
      <c r="T535">
        <v>1</v>
      </c>
      <c r="U535" s="8">
        <f t="shared" si="57"/>
        <v>1</v>
      </c>
      <c r="AD535" t="str">
        <f t="shared" si="56"/>
        <v>e</v>
      </c>
      <c r="AE535" t="str">
        <f t="shared" si="60"/>
        <v>Pass</v>
      </c>
      <c r="AF535" t="str">
        <f t="shared" si="58"/>
        <v>Pass_Completed</v>
      </c>
      <c r="AG535" t="str">
        <f t="shared" si="59"/>
        <v>Pass-Forehand</v>
      </c>
      <c r="AN535" t="str">
        <f t="shared" si="61"/>
        <v>Offensive</v>
      </c>
      <c r="BD535" s="23"/>
      <c r="BF535" s="21"/>
    </row>
    <row r="536" spans="1:58" x14ac:dyDescent="0.2">
      <c r="A536">
        <v>274</v>
      </c>
      <c r="J536">
        <v>13</v>
      </c>
      <c r="K536">
        <v>1</v>
      </c>
      <c r="U536" s="8">
        <f t="shared" si="57"/>
        <v>1</v>
      </c>
      <c r="AD536" t="str">
        <f t="shared" si="56"/>
        <v>e</v>
      </c>
      <c r="AE536" t="str">
        <f t="shared" si="60"/>
        <v>Pass</v>
      </c>
      <c r="AF536" t="str">
        <f t="shared" si="58"/>
        <v>Pass_Completed</v>
      </c>
      <c r="AG536" t="str">
        <f t="shared" si="59"/>
        <v>Pass-Forehand</v>
      </c>
      <c r="AN536" t="str">
        <f t="shared" si="61"/>
        <v>Offensive</v>
      </c>
      <c r="BD536" s="23"/>
      <c r="BF536" s="21"/>
    </row>
    <row r="537" spans="1:58" x14ac:dyDescent="0.2">
      <c r="A537">
        <v>274</v>
      </c>
      <c r="J537">
        <v>91</v>
      </c>
      <c r="T537">
        <v>1</v>
      </c>
      <c r="U537" s="8">
        <f t="shared" si="57"/>
        <v>1</v>
      </c>
      <c r="AD537" t="str">
        <f t="shared" si="56"/>
        <v>o</v>
      </c>
      <c r="AE537" t="str">
        <f t="shared" si="60"/>
        <v>Pass</v>
      </c>
      <c r="AF537" t="str">
        <f t="shared" si="58"/>
        <v>Pass_Completed</v>
      </c>
      <c r="AG537" t="str">
        <f t="shared" si="59"/>
        <v>Pass-Forehand</v>
      </c>
      <c r="AN537" t="str">
        <f t="shared" si="61"/>
        <v>Defensive</v>
      </c>
      <c r="BD537" s="23"/>
      <c r="BF537" s="21"/>
    </row>
    <row r="538" spans="1:58" x14ac:dyDescent="0.2">
      <c r="A538">
        <v>275</v>
      </c>
      <c r="B538">
        <v>47</v>
      </c>
      <c r="E538" s="5" t="s">
        <v>903</v>
      </c>
      <c r="F538" s="5" t="s">
        <v>836</v>
      </c>
      <c r="I538" t="s">
        <v>840</v>
      </c>
      <c r="J538">
        <v>13</v>
      </c>
      <c r="K538">
        <v>1</v>
      </c>
      <c r="L538" t="s">
        <v>401</v>
      </c>
      <c r="M538" t="s">
        <v>7</v>
      </c>
      <c r="N538" t="s">
        <v>222</v>
      </c>
      <c r="O538" t="s">
        <v>65</v>
      </c>
      <c r="P538" t="s">
        <v>689</v>
      </c>
      <c r="U538" s="8">
        <f t="shared" si="57"/>
        <v>1</v>
      </c>
      <c r="AD538" t="str">
        <f t="shared" si="56"/>
        <v>e</v>
      </c>
      <c r="AE538" t="str">
        <f t="shared" si="60"/>
        <v>Shot</v>
      </c>
      <c r="AF538" t="str">
        <f t="shared" si="58"/>
        <v>Shot_OnNetSaved</v>
      </c>
      <c r="AG538" t="str">
        <f t="shared" si="59"/>
        <v>Shot-OneTime</v>
      </c>
      <c r="AN538" t="str">
        <f t="shared" si="61"/>
        <v>Offensive</v>
      </c>
      <c r="BD538" s="23"/>
      <c r="BF538" s="21"/>
    </row>
    <row r="539" spans="1:58" x14ac:dyDescent="0.2">
      <c r="A539">
        <v>275</v>
      </c>
      <c r="B539">
        <v>47</v>
      </c>
      <c r="J539">
        <v>39</v>
      </c>
      <c r="U539" s="8">
        <f t="shared" si="57"/>
        <v>1</v>
      </c>
      <c r="AD539" t="str">
        <f t="shared" si="56"/>
        <v>o</v>
      </c>
      <c r="AE539" t="str">
        <f t="shared" si="60"/>
        <v>Shot</v>
      </c>
      <c r="AF539" t="str">
        <f t="shared" si="58"/>
        <v>Shot_OnNetSaved</v>
      </c>
      <c r="AG539" t="str">
        <f t="shared" si="59"/>
        <v>Shot-OneTime</v>
      </c>
      <c r="AN539" t="str">
        <f t="shared" si="61"/>
        <v>Defensive</v>
      </c>
      <c r="BD539" s="23"/>
      <c r="BF539" s="21"/>
    </row>
    <row r="540" spans="1:58" x14ac:dyDescent="0.2">
      <c r="A540">
        <v>276</v>
      </c>
      <c r="B540">
        <v>47</v>
      </c>
      <c r="E540" s="5" t="s">
        <v>903</v>
      </c>
      <c r="F540" s="5" t="s">
        <v>836</v>
      </c>
      <c r="I540" t="s">
        <v>835</v>
      </c>
      <c r="J540">
        <v>39</v>
      </c>
      <c r="K540">
        <v>1</v>
      </c>
      <c r="L540" t="s">
        <v>845</v>
      </c>
      <c r="M540" t="s">
        <v>17</v>
      </c>
      <c r="N540" t="s">
        <v>196</v>
      </c>
      <c r="O540" t="s">
        <v>99</v>
      </c>
      <c r="U540" s="8">
        <f t="shared" si="57"/>
        <v>1</v>
      </c>
      <c r="AD540" t="str">
        <f t="shared" si="56"/>
        <v>e</v>
      </c>
      <c r="AE540" t="str">
        <f t="shared" si="60"/>
        <v>Save</v>
      </c>
      <c r="AF540" t="str">
        <f t="shared" si="58"/>
        <v>Save_Rebound</v>
      </c>
      <c r="AG540" t="str">
        <f t="shared" si="59"/>
        <v>Save-RightPad</v>
      </c>
      <c r="AN540" t="str">
        <f t="shared" si="61"/>
        <v>Defensive</v>
      </c>
      <c r="BD540" s="23"/>
      <c r="BF540" s="21"/>
    </row>
    <row r="541" spans="1:58" x14ac:dyDescent="0.2">
      <c r="A541">
        <v>276</v>
      </c>
      <c r="B541">
        <v>47</v>
      </c>
      <c r="J541">
        <v>13</v>
      </c>
      <c r="U541" s="8">
        <f t="shared" si="57"/>
        <v>1</v>
      </c>
      <c r="AD541" t="str">
        <f t="shared" si="56"/>
        <v>o</v>
      </c>
      <c r="AE541" t="str">
        <f t="shared" si="60"/>
        <v>Save</v>
      </c>
      <c r="AF541" t="str">
        <f t="shared" si="58"/>
        <v>Save_Rebound</v>
      </c>
      <c r="AG541" t="str">
        <f t="shared" si="59"/>
        <v>Save-RightPad</v>
      </c>
      <c r="AN541" t="str">
        <f t="shared" si="61"/>
        <v>Offensive</v>
      </c>
      <c r="BD541" s="23"/>
      <c r="BF541" s="21"/>
    </row>
    <row r="542" spans="1:58" x14ac:dyDescent="0.2">
      <c r="A542">
        <v>277</v>
      </c>
      <c r="B542">
        <v>47</v>
      </c>
      <c r="E542" s="5" t="s">
        <v>903</v>
      </c>
      <c r="F542" s="5" t="s">
        <v>836</v>
      </c>
      <c r="I542" t="s">
        <v>835</v>
      </c>
      <c r="J542">
        <v>39</v>
      </c>
      <c r="K542">
        <v>1</v>
      </c>
      <c r="L542" t="s">
        <v>845</v>
      </c>
      <c r="M542" t="s">
        <v>250</v>
      </c>
      <c r="N542" t="s">
        <v>251</v>
      </c>
      <c r="U542" s="8">
        <f t="shared" si="57"/>
        <v>1</v>
      </c>
      <c r="AD542" t="str">
        <f t="shared" si="56"/>
        <v>e</v>
      </c>
      <c r="AE542" t="str">
        <f t="shared" si="60"/>
        <v>Rebound</v>
      </c>
      <c r="AF542" t="str">
        <f t="shared" si="58"/>
        <v>Rebound_TeamRecovered</v>
      </c>
      <c r="AG542" t="str">
        <f t="shared" si="59"/>
        <v/>
      </c>
      <c r="AN542" t="str">
        <f t="shared" si="61"/>
        <v>Offensive</v>
      </c>
      <c r="BD542" s="23"/>
      <c r="BF542" s="21"/>
    </row>
    <row r="543" spans="1:58" x14ac:dyDescent="0.2">
      <c r="A543">
        <v>278</v>
      </c>
      <c r="E543" s="5" t="s">
        <v>903</v>
      </c>
      <c r="F543" s="5" t="s">
        <v>865</v>
      </c>
      <c r="I543" t="s">
        <v>835</v>
      </c>
      <c r="J543">
        <v>42</v>
      </c>
      <c r="K543">
        <v>1</v>
      </c>
      <c r="L543" t="s">
        <v>845</v>
      </c>
      <c r="M543" t="s">
        <v>15</v>
      </c>
      <c r="N543" t="s">
        <v>681</v>
      </c>
      <c r="P543" t="s">
        <v>689</v>
      </c>
      <c r="Q543" t="s">
        <v>747</v>
      </c>
      <c r="S543" t="s">
        <v>689</v>
      </c>
      <c r="T543">
        <v>1</v>
      </c>
      <c r="U543" s="8">
        <f t="shared" si="57"/>
        <v>1</v>
      </c>
      <c r="AD543" t="str">
        <f t="shared" si="56"/>
        <v>e</v>
      </c>
      <c r="AE543" t="str">
        <f t="shared" si="60"/>
        <v>Possession</v>
      </c>
      <c r="AF543" t="str">
        <f t="shared" si="58"/>
        <v>PuckRecovery</v>
      </c>
      <c r="AG543" t="str">
        <f t="shared" si="59"/>
        <v/>
      </c>
      <c r="AN543" t="str">
        <f t="shared" si="61"/>
        <v>Offensive</v>
      </c>
      <c r="BD543" s="23"/>
      <c r="BF543" s="21"/>
    </row>
    <row r="544" spans="1:58" x14ac:dyDescent="0.2">
      <c r="A544">
        <v>278</v>
      </c>
      <c r="J544">
        <v>83</v>
      </c>
      <c r="Q544" t="s">
        <v>783</v>
      </c>
      <c r="R544" t="s">
        <v>704</v>
      </c>
      <c r="S544" t="s">
        <v>688</v>
      </c>
      <c r="T544">
        <v>1</v>
      </c>
      <c r="U544" s="8">
        <f t="shared" si="57"/>
        <v>1</v>
      </c>
      <c r="AD544" t="str">
        <f t="shared" si="56"/>
        <v>o</v>
      </c>
      <c r="AE544" t="str">
        <f t="shared" si="60"/>
        <v>Possession</v>
      </c>
      <c r="AF544" t="str">
        <f t="shared" si="58"/>
        <v>PuckRecovery</v>
      </c>
      <c r="AG544" t="str">
        <f t="shared" si="59"/>
        <v/>
      </c>
      <c r="AN544" t="str">
        <f t="shared" si="61"/>
        <v>Defensive</v>
      </c>
      <c r="BD544" s="23"/>
      <c r="BF544" s="21"/>
    </row>
    <row r="545" spans="1:58" x14ac:dyDescent="0.2">
      <c r="A545">
        <v>279</v>
      </c>
      <c r="E545" s="5" t="s">
        <v>903</v>
      </c>
      <c r="F545" s="5" t="s">
        <v>865</v>
      </c>
      <c r="G545" s="5" t="s">
        <v>903</v>
      </c>
      <c r="H545" s="7" t="s">
        <v>898</v>
      </c>
      <c r="I545" t="s">
        <v>835</v>
      </c>
      <c r="J545">
        <v>42</v>
      </c>
      <c r="K545">
        <v>1</v>
      </c>
      <c r="L545" t="s">
        <v>845</v>
      </c>
      <c r="M545" t="s">
        <v>15</v>
      </c>
      <c r="Q545" t="s">
        <v>721</v>
      </c>
      <c r="S545" t="s">
        <v>689</v>
      </c>
      <c r="T545">
        <v>1</v>
      </c>
      <c r="U545" s="8">
        <f t="shared" si="57"/>
        <v>1</v>
      </c>
      <c r="AD545" t="str">
        <f t="shared" si="56"/>
        <v>e</v>
      </c>
      <c r="AE545" t="str">
        <f t="shared" si="60"/>
        <v>Possession</v>
      </c>
      <c r="AF545" t="str">
        <f t="shared" si="58"/>
        <v/>
      </c>
      <c r="AG545" t="str">
        <f t="shared" si="59"/>
        <v/>
      </c>
      <c r="AN545" t="str">
        <f t="shared" si="61"/>
        <v>Offensive</v>
      </c>
      <c r="BD545" s="23"/>
      <c r="BF545" s="21"/>
    </row>
    <row r="546" spans="1:58" x14ac:dyDescent="0.2">
      <c r="A546">
        <v>279</v>
      </c>
      <c r="J546">
        <v>71</v>
      </c>
      <c r="Q546" t="s">
        <v>719</v>
      </c>
      <c r="S546" t="s">
        <v>688</v>
      </c>
      <c r="T546">
        <v>1</v>
      </c>
      <c r="U546" s="8">
        <f t="shared" si="57"/>
        <v>1</v>
      </c>
      <c r="AD546" t="str">
        <f t="shared" si="56"/>
        <v>o</v>
      </c>
      <c r="AE546" t="str">
        <f t="shared" si="60"/>
        <v>Possession</v>
      </c>
      <c r="AF546" t="str">
        <f t="shared" si="58"/>
        <v/>
      </c>
      <c r="AG546" t="str">
        <f t="shared" si="59"/>
        <v/>
      </c>
      <c r="AN546" t="str">
        <f t="shared" si="61"/>
        <v>Defensive</v>
      </c>
      <c r="BD546" s="23"/>
      <c r="BF546" s="21"/>
    </row>
    <row r="547" spans="1:58" x14ac:dyDescent="0.2">
      <c r="A547">
        <v>280</v>
      </c>
      <c r="E547" s="5" t="s">
        <v>903</v>
      </c>
      <c r="F547" s="5" t="s">
        <v>898</v>
      </c>
      <c r="G547" s="5" t="s">
        <v>903</v>
      </c>
      <c r="H547" s="7" t="s">
        <v>866</v>
      </c>
      <c r="I547" t="s">
        <v>840</v>
      </c>
      <c r="J547">
        <v>42</v>
      </c>
      <c r="K547">
        <v>1</v>
      </c>
      <c r="L547" t="s">
        <v>845</v>
      </c>
      <c r="M547" t="s">
        <v>257</v>
      </c>
      <c r="N547" t="s">
        <v>201</v>
      </c>
      <c r="O547" t="s">
        <v>90</v>
      </c>
      <c r="P547" t="s">
        <v>688</v>
      </c>
      <c r="T547">
        <v>1</v>
      </c>
      <c r="U547" s="8">
        <f t="shared" si="57"/>
        <v>1</v>
      </c>
      <c r="AD547" t="str">
        <f t="shared" si="56"/>
        <v>e</v>
      </c>
      <c r="AE547" t="str">
        <f t="shared" si="60"/>
        <v>Zone_Entry_Exit</v>
      </c>
      <c r="AF547" t="str">
        <f t="shared" si="58"/>
        <v>Zone_Exit</v>
      </c>
      <c r="AG547" t="str">
        <f t="shared" si="59"/>
        <v>ZoneExit-Rush</v>
      </c>
      <c r="AN547" t="str">
        <f t="shared" si="61"/>
        <v>Offensive</v>
      </c>
      <c r="BD547" s="23"/>
      <c r="BF547" s="21"/>
    </row>
    <row r="548" spans="1:58" x14ac:dyDescent="0.2">
      <c r="A548">
        <v>280</v>
      </c>
      <c r="J548">
        <v>5</v>
      </c>
      <c r="Q548" t="s">
        <v>696</v>
      </c>
      <c r="S548" t="s">
        <v>689</v>
      </c>
      <c r="T548">
        <v>1</v>
      </c>
      <c r="U548" s="8">
        <f t="shared" si="57"/>
        <v>1</v>
      </c>
      <c r="AD548" t="str">
        <f t="shared" si="56"/>
        <v>o</v>
      </c>
      <c r="AE548" t="str">
        <f t="shared" si="60"/>
        <v>Zone_Entry_Exit</v>
      </c>
      <c r="AF548" t="str">
        <f t="shared" si="58"/>
        <v>Zone_Exit</v>
      </c>
      <c r="AG548" t="str">
        <f t="shared" si="59"/>
        <v>ZoneExit-Rush</v>
      </c>
      <c r="AN548" t="str">
        <f t="shared" si="61"/>
        <v>Defensive</v>
      </c>
      <c r="BD548" s="23"/>
      <c r="BF548" s="21"/>
    </row>
    <row r="549" spans="1:58" x14ac:dyDescent="0.2">
      <c r="A549">
        <v>281</v>
      </c>
      <c r="E549" s="5" t="s">
        <v>903</v>
      </c>
      <c r="F549" s="5" t="s">
        <v>866</v>
      </c>
      <c r="I549" t="s">
        <v>835</v>
      </c>
      <c r="J549">
        <v>5</v>
      </c>
      <c r="K549">
        <v>1</v>
      </c>
      <c r="L549" t="s">
        <v>839</v>
      </c>
      <c r="M549" t="s">
        <v>247</v>
      </c>
      <c r="N549" t="s">
        <v>422</v>
      </c>
      <c r="O549" t="s">
        <v>465</v>
      </c>
      <c r="P549" t="s">
        <v>689</v>
      </c>
      <c r="Q549" t="s">
        <v>696</v>
      </c>
      <c r="S549" t="s">
        <v>689</v>
      </c>
      <c r="T549">
        <v>1</v>
      </c>
      <c r="U549" s="8">
        <f t="shared" si="57"/>
        <v>1</v>
      </c>
      <c r="AD549" t="str">
        <f t="shared" si="56"/>
        <v>e</v>
      </c>
      <c r="AE549" t="str">
        <f t="shared" si="60"/>
        <v>Play</v>
      </c>
      <c r="AF549" t="str">
        <f t="shared" si="58"/>
        <v>Play_Defensive</v>
      </c>
      <c r="AG549" t="str">
        <f t="shared" si="59"/>
        <v>Play-PokeCheck</v>
      </c>
      <c r="AN549" t="str">
        <f t="shared" si="61"/>
        <v>Defensive</v>
      </c>
      <c r="BD549" s="23"/>
      <c r="BF549" s="21"/>
    </row>
    <row r="550" spans="1:58" x14ac:dyDescent="0.2">
      <c r="A550">
        <v>281</v>
      </c>
      <c r="J550">
        <v>42</v>
      </c>
      <c r="Q550" t="s">
        <v>707</v>
      </c>
      <c r="T550">
        <v>1</v>
      </c>
      <c r="U550" s="8">
        <f t="shared" si="57"/>
        <v>1</v>
      </c>
      <c r="AD550" t="str">
        <f t="shared" si="56"/>
        <v>o</v>
      </c>
      <c r="AE550" t="str">
        <f t="shared" si="60"/>
        <v>Play</v>
      </c>
      <c r="AF550" t="str">
        <f t="shared" si="58"/>
        <v>Play_Defensive</v>
      </c>
      <c r="AG550" t="str">
        <f t="shared" si="59"/>
        <v>Play-PokeCheck</v>
      </c>
      <c r="AN550" t="str">
        <f t="shared" si="61"/>
        <v>Offensive</v>
      </c>
      <c r="BD550" s="23"/>
      <c r="BF550" s="21"/>
    </row>
    <row r="551" spans="1:58" x14ac:dyDescent="0.2">
      <c r="A551">
        <v>282</v>
      </c>
      <c r="E551" s="5" t="s">
        <v>903</v>
      </c>
      <c r="F551" s="5" t="s">
        <v>891</v>
      </c>
      <c r="G551" s="5" t="s">
        <v>903</v>
      </c>
      <c r="H551" s="7" t="s">
        <v>867</v>
      </c>
      <c r="I551" t="s">
        <v>835</v>
      </c>
      <c r="J551">
        <v>42</v>
      </c>
      <c r="K551">
        <v>1</v>
      </c>
      <c r="L551" t="s">
        <v>839</v>
      </c>
      <c r="M551" t="s">
        <v>15</v>
      </c>
      <c r="N551" t="s">
        <v>681</v>
      </c>
      <c r="P551" t="s">
        <v>688</v>
      </c>
      <c r="Q551" t="s">
        <v>712</v>
      </c>
      <c r="S551" t="s">
        <v>688</v>
      </c>
      <c r="T551">
        <v>1</v>
      </c>
      <c r="U551" s="8">
        <f t="shared" si="57"/>
        <v>1</v>
      </c>
      <c r="AD551" t="str">
        <f t="shared" si="56"/>
        <v>e</v>
      </c>
      <c r="AE551" t="str">
        <f t="shared" si="60"/>
        <v>Possession</v>
      </c>
      <c r="AF551" t="str">
        <f t="shared" si="58"/>
        <v>PuckRecovery</v>
      </c>
      <c r="AG551" t="str">
        <f t="shared" si="59"/>
        <v/>
      </c>
      <c r="AN551" t="str">
        <f t="shared" si="61"/>
        <v>Offensive</v>
      </c>
      <c r="BD551" s="23"/>
      <c r="BF551" s="21"/>
    </row>
    <row r="552" spans="1:58" x14ac:dyDescent="0.2">
      <c r="A552">
        <v>282</v>
      </c>
      <c r="J552">
        <v>13</v>
      </c>
      <c r="Q552" t="s">
        <v>780</v>
      </c>
      <c r="S552" t="s">
        <v>688</v>
      </c>
      <c r="T552">
        <v>1</v>
      </c>
      <c r="U552" s="8">
        <f t="shared" si="57"/>
        <v>1</v>
      </c>
      <c r="AD552" t="str">
        <f t="shared" si="56"/>
        <v>o</v>
      </c>
      <c r="AE552" t="str">
        <f t="shared" si="60"/>
        <v>Possession</v>
      </c>
      <c r="AF552" t="str">
        <f t="shared" si="58"/>
        <v>PuckRecovery</v>
      </c>
      <c r="AG552" t="str">
        <f t="shared" si="59"/>
        <v/>
      </c>
      <c r="AN552" t="str">
        <f t="shared" si="61"/>
        <v>Defensive</v>
      </c>
      <c r="BD552" s="23"/>
      <c r="BF552" s="21"/>
    </row>
    <row r="553" spans="1:58" x14ac:dyDescent="0.2">
      <c r="A553">
        <v>283</v>
      </c>
      <c r="E553" s="5" t="s">
        <v>903</v>
      </c>
      <c r="F553" s="5" t="s">
        <v>892</v>
      </c>
      <c r="I553" t="s">
        <v>835</v>
      </c>
      <c r="J553">
        <v>42</v>
      </c>
      <c r="K553">
        <v>1</v>
      </c>
      <c r="L553" t="s">
        <v>401</v>
      </c>
      <c r="M553" t="s">
        <v>257</v>
      </c>
      <c r="N553" t="s">
        <v>191</v>
      </c>
      <c r="O553" t="s">
        <v>423</v>
      </c>
      <c r="P553" t="s">
        <v>688</v>
      </c>
      <c r="T553">
        <v>1</v>
      </c>
      <c r="U553" s="8">
        <f t="shared" si="57"/>
        <v>1</v>
      </c>
      <c r="AD553" t="str">
        <f t="shared" si="56"/>
        <v>e</v>
      </c>
      <c r="AE553" t="str">
        <f t="shared" si="60"/>
        <v>Zone_Entry_Exit</v>
      </c>
      <c r="AF553" t="str">
        <f t="shared" si="58"/>
        <v>Zone_Entry</v>
      </c>
      <c r="AG553" t="str">
        <f t="shared" si="59"/>
        <v>ZoneEntry-PassMiss/Misplay</v>
      </c>
      <c r="AN553" t="str">
        <f t="shared" si="61"/>
        <v>Offensive</v>
      </c>
      <c r="BD553" s="23"/>
      <c r="BF553" s="21"/>
    </row>
    <row r="554" spans="1:58" x14ac:dyDescent="0.2">
      <c r="A554">
        <v>283</v>
      </c>
      <c r="J554">
        <v>13</v>
      </c>
      <c r="T554">
        <v>1</v>
      </c>
      <c r="U554" s="8">
        <f t="shared" si="57"/>
        <v>1</v>
      </c>
      <c r="AD554" t="str">
        <f t="shared" si="56"/>
        <v>o</v>
      </c>
      <c r="AE554" t="str">
        <f t="shared" si="60"/>
        <v>Zone_Entry_Exit</v>
      </c>
      <c r="AF554" t="str">
        <f t="shared" si="58"/>
        <v>Zone_Entry</v>
      </c>
      <c r="AG554" t="str">
        <f t="shared" si="59"/>
        <v>ZoneEntry-PassMiss/Misplay</v>
      </c>
      <c r="AN554" t="str">
        <f t="shared" si="61"/>
        <v>Defensive</v>
      </c>
      <c r="BD554" s="23"/>
      <c r="BF554" s="21"/>
    </row>
    <row r="555" spans="1:58" x14ac:dyDescent="0.2">
      <c r="A555">
        <v>284</v>
      </c>
      <c r="E555" s="5" t="s">
        <v>903</v>
      </c>
      <c r="F555" s="5" t="s">
        <v>884</v>
      </c>
      <c r="G555" s="5" t="s">
        <v>903</v>
      </c>
      <c r="H555" s="7" t="s">
        <v>894</v>
      </c>
      <c r="I555" t="s">
        <v>840</v>
      </c>
      <c r="J555">
        <v>83</v>
      </c>
      <c r="K555">
        <v>1</v>
      </c>
      <c r="L555" t="s">
        <v>845</v>
      </c>
      <c r="M555" t="s">
        <v>15</v>
      </c>
      <c r="N555" t="s">
        <v>680</v>
      </c>
      <c r="P555" t="s">
        <v>688</v>
      </c>
      <c r="Q555" t="s">
        <v>698</v>
      </c>
      <c r="S555" t="s">
        <v>688</v>
      </c>
      <c r="T555">
        <v>1</v>
      </c>
      <c r="U555" s="8">
        <f t="shared" si="57"/>
        <v>1</v>
      </c>
      <c r="AD555" t="str">
        <f t="shared" si="56"/>
        <v>e</v>
      </c>
      <c r="AE555" t="str">
        <f t="shared" si="60"/>
        <v>Possession</v>
      </c>
      <c r="AF555" t="str">
        <f t="shared" si="58"/>
        <v>PuckRetrieval</v>
      </c>
      <c r="AG555" t="str">
        <f t="shared" si="59"/>
        <v/>
      </c>
      <c r="AN555" t="str">
        <f t="shared" si="61"/>
        <v>Offensive</v>
      </c>
      <c r="BD555" s="23"/>
      <c r="BF555" s="21"/>
    </row>
    <row r="556" spans="1:58" x14ac:dyDescent="0.2">
      <c r="A556">
        <v>284</v>
      </c>
      <c r="J556">
        <v>42</v>
      </c>
      <c r="T556">
        <v>1</v>
      </c>
      <c r="U556" s="8">
        <f t="shared" si="57"/>
        <v>1</v>
      </c>
      <c r="AD556" t="str">
        <f t="shared" si="56"/>
        <v>o</v>
      </c>
      <c r="AE556" t="str">
        <f t="shared" si="60"/>
        <v>Possession</v>
      </c>
      <c r="AF556" t="str">
        <f t="shared" si="58"/>
        <v>PuckRetrieval</v>
      </c>
      <c r="AG556" t="str">
        <f t="shared" si="59"/>
        <v/>
      </c>
      <c r="AN556" t="str">
        <f t="shared" si="61"/>
        <v>Defensive</v>
      </c>
      <c r="BD556" s="23"/>
      <c r="BF556" s="21"/>
    </row>
    <row r="557" spans="1:58" x14ac:dyDescent="0.2">
      <c r="A557">
        <v>285</v>
      </c>
      <c r="E557" s="5" t="s">
        <v>903</v>
      </c>
      <c r="F557" s="5" t="s">
        <v>894</v>
      </c>
      <c r="G557" s="5" t="s">
        <v>906</v>
      </c>
      <c r="H557" s="7" t="s">
        <v>837</v>
      </c>
      <c r="I557" t="s">
        <v>840</v>
      </c>
      <c r="J557">
        <v>83</v>
      </c>
      <c r="K557">
        <v>1</v>
      </c>
      <c r="L557" t="s">
        <v>845</v>
      </c>
      <c r="M557" t="s">
        <v>15</v>
      </c>
      <c r="T557">
        <v>1</v>
      </c>
      <c r="U557" s="8">
        <f t="shared" si="57"/>
        <v>1</v>
      </c>
      <c r="AD557" t="str">
        <f t="shared" si="56"/>
        <v>e</v>
      </c>
      <c r="AE557" t="str">
        <f t="shared" si="60"/>
        <v>Possession</v>
      </c>
      <c r="AF557" t="str">
        <f t="shared" si="58"/>
        <v/>
      </c>
      <c r="AG557" t="str">
        <f t="shared" si="59"/>
        <v/>
      </c>
      <c r="AN557" t="str">
        <f t="shared" si="61"/>
        <v>Offensive</v>
      </c>
      <c r="BD557" s="23"/>
      <c r="BF557" s="21"/>
    </row>
    <row r="558" spans="1:58" x14ac:dyDescent="0.2">
      <c r="A558">
        <v>285</v>
      </c>
      <c r="J558">
        <v>87</v>
      </c>
      <c r="T558">
        <v>1</v>
      </c>
      <c r="U558" s="8">
        <f t="shared" si="57"/>
        <v>1</v>
      </c>
      <c r="AD558" t="str">
        <f t="shared" si="56"/>
        <v>o</v>
      </c>
      <c r="AE558" t="str">
        <f t="shared" si="60"/>
        <v>Possession</v>
      </c>
      <c r="AF558" t="str">
        <f t="shared" si="58"/>
        <v/>
      </c>
      <c r="AG558" t="str">
        <f t="shared" si="59"/>
        <v/>
      </c>
      <c r="AN558" t="str">
        <f t="shared" si="61"/>
        <v>Defensive</v>
      </c>
      <c r="BD558" s="23"/>
      <c r="BF558" s="21"/>
    </row>
    <row r="559" spans="1:58" x14ac:dyDescent="0.2">
      <c r="A559">
        <v>286</v>
      </c>
      <c r="E559" s="5" t="s">
        <v>906</v>
      </c>
      <c r="F559" s="5" t="s">
        <v>873</v>
      </c>
      <c r="I559" t="s">
        <v>835</v>
      </c>
      <c r="J559">
        <v>87</v>
      </c>
      <c r="K559">
        <v>1</v>
      </c>
      <c r="L559" t="s">
        <v>401</v>
      </c>
      <c r="M559" t="s">
        <v>10</v>
      </c>
      <c r="N559" t="s">
        <v>200</v>
      </c>
      <c r="O559" t="s">
        <v>81</v>
      </c>
      <c r="P559" t="s">
        <v>689</v>
      </c>
      <c r="Q559" t="s">
        <v>725</v>
      </c>
      <c r="R559" t="s">
        <v>695</v>
      </c>
      <c r="S559" t="s">
        <v>689</v>
      </c>
      <c r="T559">
        <v>1</v>
      </c>
      <c r="U559" s="8">
        <f t="shared" si="57"/>
        <v>1</v>
      </c>
      <c r="AD559" t="str">
        <f t="shared" si="56"/>
        <v>e</v>
      </c>
      <c r="AE559" t="str">
        <f t="shared" si="60"/>
        <v>Turnover</v>
      </c>
      <c r="AF559" t="str">
        <f t="shared" si="58"/>
        <v>Turnover_Takeaway</v>
      </c>
      <c r="AG559" t="str">
        <f t="shared" si="59"/>
        <v>Takeaway-BattleWon</v>
      </c>
      <c r="AN559" t="str">
        <f t="shared" si="61"/>
        <v>Defensive</v>
      </c>
      <c r="BD559" s="23"/>
      <c r="BF559" s="21"/>
    </row>
    <row r="560" spans="1:58" x14ac:dyDescent="0.2">
      <c r="A560">
        <v>286</v>
      </c>
      <c r="J560">
        <v>83</v>
      </c>
      <c r="T560">
        <v>1</v>
      </c>
      <c r="U560" s="8">
        <f t="shared" si="57"/>
        <v>1</v>
      </c>
      <c r="AD560" t="str">
        <f t="shared" si="56"/>
        <v>o</v>
      </c>
      <c r="AE560" t="str">
        <f t="shared" si="60"/>
        <v>Turnover</v>
      </c>
      <c r="AF560" t="str">
        <f t="shared" si="58"/>
        <v>Turnover_Takeaway</v>
      </c>
      <c r="AG560" t="str">
        <f t="shared" si="59"/>
        <v>Takeaway-BattleWon</v>
      </c>
      <c r="AN560" t="str">
        <f t="shared" si="61"/>
        <v>Offensive</v>
      </c>
      <c r="BD560" s="23"/>
      <c r="BF560" s="21"/>
    </row>
    <row r="561" spans="1:58" x14ac:dyDescent="0.2">
      <c r="A561">
        <v>287</v>
      </c>
      <c r="B561">
        <v>48</v>
      </c>
      <c r="E561" s="5" t="s">
        <v>906</v>
      </c>
      <c r="F561" s="5" t="s">
        <v>838</v>
      </c>
      <c r="I561" t="s">
        <v>835</v>
      </c>
      <c r="J561">
        <v>87</v>
      </c>
      <c r="K561">
        <v>1</v>
      </c>
      <c r="L561" t="s">
        <v>401</v>
      </c>
      <c r="M561" t="s">
        <v>8</v>
      </c>
      <c r="N561" t="s">
        <v>209</v>
      </c>
      <c r="O561" t="s">
        <v>70</v>
      </c>
      <c r="P561" t="s">
        <v>688</v>
      </c>
      <c r="T561">
        <v>1</v>
      </c>
      <c r="U561" s="8">
        <f t="shared" si="57"/>
        <v>1</v>
      </c>
      <c r="AD561" t="str">
        <f t="shared" si="56"/>
        <v>e</v>
      </c>
      <c r="AE561" t="str">
        <f t="shared" si="60"/>
        <v>Pass</v>
      </c>
      <c r="AF561" t="str">
        <f t="shared" si="58"/>
        <v>Pass_Deflected</v>
      </c>
      <c r="AG561" t="str">
        <f t="shared" si="59"/>
        <v>Pass-Forehand</v>
      </c>
      <c r="AN561" t="str">
        <f t="shared" si="61"/>
        <v>Offensive</v>
      </c>
      <c r="BD561" s="23"/>
      <c r="BF561" s="21"/>
    </row>
    <row r="562" spans="1:58" x14ac:dyDescent="0.2">
      <c r="A562">
        <v>287</v>
      </c>
      <c r="B562">
        <v>48</v>
      </c>
      <c r="J562">
        <v>24</v>
      </c>
      <c r="K562">
        <v>1</v>
      </c>
      <c r="U562" s="8">
        <f t="shared" si="57"/>
        <v>1</v>
      </c>
      <c r="AD562" t="str">
        <f t="shared" si="56"/>
        <v>e</v>
      </c>
      <c r="AE562" t="str">
        <f t="shared" si="60"/>
        <v>Pass</v>
      </c>
      <c r="AF562" t="str">
        <f t="shared" si="58"/>
        <v>Pass_Deflected</v>
      </c>
      <c r="AG562" t="str">
        <f t="shared" si="59"/>
        <v>Pass-Forehand</v>
      </c>
      <c r="AN562" t="str">
        <f t="shared" si="61"/>
        <v>Offensive</v>
      </c>
      <c r="BD562" s="23"/>
      <c r="BF562" s="21"/>
    </row>
    <row r="563" spans="1:58" x14ac:dyDescent="0.2">
      <c r="A563">
        <v>287</v>
      </c>
      <c r="B563">
        <v>48</v>
      </c>
      <c r="J563">
        <v>74</v>
      </c>
      <c r="Q563" t="s">
        <v>833</v>
      </c>
      <c r="S563" t="s">
        <v>689</v>
      </c>
      <c r="T563">
        <v>1</v>
      </c>
      <c r="U563" s="8">
        <f t="shared" si="57"/>
        <v>1</v>
      </c>
      <c r="AD563" t="str">
        <f t="shared" si="56"/>
        <v>o</v>
      </c>
      <c r="AE563" t="str">
        <f t="shared" si="60"/>
        <v>Pass</v>
      </c>
      <c r="AF563" t="str">
        <f t="shared" si="58"/>
        <v>Pass_Deflected</v>
      </c>
      <c r="AG563" t="str">
        <f t="shared" si="59"/>
        <v>Pass-Forehand</v>
      </c>
      <c r="AN563" t="str">
        <f t="shared" si="61"/>
        <v>Defensive</v>
      </c>
      <c r="BD563" s="23"/>
      <c r="BF563" s="21"/>
    </row>
    <row r="564" spans="1:58" x14ac:dyDescent="0.2">
      <c r="A564">
        <v>288</v>
      </c>
      <c r="B564">
        <v>48</v>
      </c>
      <c r="E564" s="5" t="s">
        <v>906</v>
      </c>
      <c r="F564" s="5" t="s">
        <v>838</v>
      </c>
      <c r="I564" t="s">
        <v>835</v>
      </c>
      <c r="J564">
        <v>87</v>
      </c>
      <c r="K564">
        <v>1</v>
      </c>
      <c r="L564" t="s">
        <v>401</v>
      </c>
      <c r="M564" t="s">
        <v>10</v>
      </c>
      <c r="N564" t="s">
        <v>190</v>
      </c>
      <c r="O564" t="s">
        <v>77</v>
      </c>
      <c r="P564" t="s">
        <v>688</v>
      </c>
      <c r="T564">
        <v>1</v>
      </c>
      <c r="U564" s="8">
        <f t="shared" si="57"/>
        <v>1</v>
      </c>
      <c r="AD564" t="str">
        <f t="shared" si="56"/>
        <v>e</v>
      </c>
      <c r="AE564" t="str">
        <f t="shared" si="60"/>
        <v>Turnover</v>
      </c>
      <c r="AF564" t="str">
        <f t="shared" si="58"/>
        <v>Turnover_Giveaway</v>
      </c>
      <c r="AG564" t="str">
        <f t="shared" si="59"/>
        <v>Giveaway-PassBlocked</v>
      </c>
      <c r="AN564" t="str">
        <f t="shared" si="61"/>
        <v>Offensive</v>
      </c>
      <c r="BD564" s="23"/>
      <c r="BF564" s="21"/>
    </row>
    <row r="565" spans="1:58" x14ac:dyDescent="0.2">
      <c r="A565">
        <v>288</v>
      </c>
      <c r="B565">
        <v>48</v>
      </c>
      <c r="J565">
        <v>24</v>
      </c>
      <c r="K565">
        <v>1</v>
      </c>
      <c r="U565" s="8">
        <f t="shared" si="57"/>
        <v>1</v>
      </c>
      <c r="AD565" t="str">
        <f t="shared" si="56"/>
        <v>e</v>
      </c>
      <c r="AE565" t="str">
        <f t="shared" si="60"/>
        <v>Turnover</v>
      </c>
      <c r="AF565" t="str">
        <f t="shared" si="58"/>
        <v>Turnover_Giveaway</v>
      </c>
      <c r="AG565" t="str">
        <f t="shared" si="59"/>
        <v>Giveaway-PassBlocked</v>
      </c>
      <c r="AN565" t="str">
        <f t="shared" si="61"/>
        <v>Offensive</v>
      </c>
      <c r="BD565" s="23"/>
      <c r="BF565" s="21"/>
    </row>
    <row r="566" spans="1:58" x14ac:dyDescent="0.2">
      <c r="A566">
        <v>288</v>
      </c>
      <c r="B566">
        <v>48</v>
      </c>
      <c r="J566">
        <v>74</v>
      </c>
      <c r="Q566" t="s">
        <v>833</v>
      </c>
      <c r="S566" t="s">
        <v>689</v>
      </c>
      <c r="T566">
        <v>1</v>
      </c>
      <c r="U566" s="8">
        <f t="shared" si="57"/>
        <v>1</v>
      </c>
      <c r="AD566" t="str">
        <f t="shared" si="56"/>
        <v>o</v>
      </c>
      <c r="AE566" t="str">
        <f t="shared" si="60"/>
        <v>Turnover</v>
      </c>
      <c r="AF566" t="str">
        <f t="shared" si="58"/>
        <v>Turnover_Giveaway</v>
      </c>
      <c r="AG566" t="str">
        <f t="shared" si="59"/>
        <v>Giveaway-PassBlocked</v>
      </c>
      <c r="AN566" t="str">
        <f t="shared" si="61"/>
        <v>Defensive</v>
      </c>
      <c r="BD566" s="23"/>
      <c r="BF566" s="21"/>
    </row>
    <row r="567" spans="1:58" x14ac:dyDescent="0.2">
      <c r="A567">
        <v>289</v>
      </c>
      <c r="E567" s="5" t="s">
        <v>906</v>
      </c>
      <c r="F567" s="5" t="s">
        <v>874</v>
      </c>
      <c r="G567" s="5" t="s">
        <v>906</v>
      </c>
      <c r="H567" s="7" t="s">
        <v>875</v>
      </c>
      <c r="I567" t="s">
        <v>840</v>
      </c>
      <c r="J567">
        <v>5</v>
      </c>
      <c r="K567">
        <v>1</v>
      </c>
      <c r="L567" t="s">
        <v>845</v>
      </c>
      <c r="M567" t="s">
        <v>15</v>
      </c>
      <c r="T567">
        <v>1</v>
      </c>
      <c r="U567" s="8">
        <f t="shared" si="57"/>
        <v>1</v>
      </c>
      <c r="AD567" t="str">
        <f t="shared" si="56"/>
        <v>e</v>
      </c>
      <c r="AE567" t="str">
        <f t="shared" si="60"/>
        <v>Possession</v>
      </c>
      <c r="AF567" t="str">
        <f t="shared" si="58"/>
        <v/>
      </c>
      <c r="AG567" t="str">
        <f t="shared" si="59"/>
        <v/>
      </c>
      <c r="AN567" t="str">
        <f t="shared" si="61"/>
        <v>Offensive</v>
      </c>
      <c r="BD567" s="23"/>
      <c r="BF567" s="21"/>
    </row>
    <row r="568" spans="1:58" x14ac:dyDescent="0.2">
      <c r="A568">
        <v>289</v>
      </c>
      <c r="J568">
        <v>24</v>
      </c>
      <c r="T568">
        <v>1</v>
      </c>
      <c r="U568" s="8">
        <f t="shared" si="57"/>
        <v>1</v>
      </c>
      <c r="AD568" t="str">
        <f t="shared" si="56"/>
        <v>o</v>
      </c>
      <c r="AE568" t="str">
        <f t="shared" si="60"/>
        <v>Possession</v>
      </c>
      <c r="AF568" t="str">
        <f t="shared" si="58"/>
        <v/>
      </c>
      <c r="AG568" t="str">
        <f t="shared" si="59"/>
        <v/>
      </c>
      <c r="AN568" t="str">
        <f t="shared" si="61"/>
        <v>Defensive</v>
      </c>
      <c r="BD568" s="23"/>
      <c r="BF568" s="21"/>
    </row>
    <row r="569" spans="1:58" x14ac:dyDescent="0.2">
      <c r="A569">
        <v>290</v>
      </c>
      <c r="B569">
        <v>49</v>
      </c>
      <c r="E569" s="5" t="s">
        <v>906</v>
      </c>
      <c r="F569" s="5" t="s">
        <v>875</v>
      </c>
      <c r="I569" t="s">
        <v>840</v>
      </c>
      <c r="J569">
        <v>5</v>
      </c>
      <c r="K569">
        <v>1</v>
      </c>
      <c r="L569" t="s">
        <v>845</v>
      </c>
      <c r="M569" t="s">
        <v>8</v>
      </c>
      <c r="N569" t="s">
        <v>189</v>
      </c>
      <c r="O569" t="s">
        <v>70</v>
      </c>
      <c r="P569" t="s">
        <v>689</v>
      </c>
      <c r="Q569" t="s">
        <v>662</v>
      </c>
      <c r="S569" t="s">
        <v>689</v>
      </c>
      <c r="U569" s="8">
        <f t="shared" si="57"/>
        <v>1</v>
      </c>
      <c r="AD569" t="str">
        <f t="shared" si="56"/>
        <v>e</v>
      </c>
      <c r="AE569" t="str">
        <f t="shared" si="60"/>
        <v>Pass</v>
      </c>
      <c r="AF569" t="str">
        <f t="shared" si="58"/>
        <v>Pass_Completed</v>
      </c>
      <c r="AG569" t="str">
        <f t="shared" si="59"/>
        <v>Pass-Forehand</v>
      </c>
      <c r="AN569" t="str">
        <f t="shared" si="61"/>
        <v>Offensive</v>
      </c>
      <c r="BD569" s="23"/>
      <c r="BF569" s="21"/>
    </row>
    <row r="570" spans="1:58" x14ac:dyDescent="0.2">
      <c r="A570">
        <v>290</v>
      </c>
      <c r="B570">
        <v>49</v>
      </c>
      <c r="J570">
        <v>71</v>
      </c>
      <c r="K570">
        <v>1</v>
      </c>
      <c r="U570" s="8">
        <f t="shared" si="57"/>
        <v>1</v>
      </c>
      <c r="AD570" t="str">
        <f t="shared" si="56"/>
        <v>e</v>
      </c>
      <c r="AE570" t="str">
        <f t="shared" si="60"/>
        <v>Pass</v>
      </c>
      <c r="AF570" t="str">
        <f t="shared" si="58"/>
        <v>Pass_Completed</v>
      </c>
      <c r="AG570" t="str">
        <f t="shared" si="59"/>
        <v>Pass-Forehand</v>
      </c>
      <c r="AN570" t="str">
        <f t="shared" si="61"/>
        <v>Offensive</v>
      </c>
      <c r="BD570" s="23"/>
      <c r="BF570" s="21"/>
    </row>
    <row r="571" spans="1:58" x14ac:dyDescent="0.2">
      <c r="A571">
        <v>291</v>
      </c>
      <c r="B571">
        <v>49</v>
      </c>
      <c r="E571" s="5" t="s">
        <v>906</v>
      </c>
      <c r="F571" s="5" t="s">
        <v>875</v>
      </c>
      <c r="I571" t="s">
        <v>840</v>
      </c>
      <c r="J571">
        <v>5</v>
      </c>
      <c r="K571">
        <v>1</v>
      </c>
      <c r="L571" t="s">
        <v>845</v>
      </c>
      <c r="M571" t="s">
        <v>257</v>
      </c>
      <c r="N571" t="s">
        <v>201</v>
      </c>
      <c r="O571" t="s">
        <v>91</v>
      </c>
      <c r="P571" t="s">
        <v>689</v>
      </c>
      <c r="U571" s="8">
        <f t="shared" si="57"/>
        <v>1</v>
      </c>
      <c r="AD571" t="str">
        <f t="shared" si="56"/>
        <v>e</v>
      </c>
      <c r="AE571" t="str">
        <f t="shared" si="60"/>
        <v>Zone_Entry_Exit</v>
      </c>
      <c r="AF571" t="str">
        <f t="shared" si="58"/>
        <v>Zone_Exit</v>
      </c>
      <c r="AG571" t="str">
        <f t="shared" si="59"/>
        <v>ZoneExit-Pass</v>
      </c>
      <c r="AN571" t="str">
        <f t="shared" si="61"/>
        <v>Offensive</v>
      </c>
      <c r="BD571" s="23"/>
      <c r="BF571" s="21"/>
    </row>
    <row r="572" spans="1:58" x14ac:dyDescent="0.2">
      <c r="A572">
        <v>291</v>
      </c>
      <c r="B572">
        <v>49</v>
      </c>
      <c r="J572">
        <v>71</v>
      </c>
      <c r="K572">
        <v>1</v>
      </c>
      <c r="U572" s="8">
        <f t="shared" si="57"/>
        <v>1</v>
      </c>
      <c r="AD572" t="str">
        <f t="shared" si="56"/>
        <v>e</v>
      </c>
      <c r="AE572" t="str">
        <f t="shared" si="60"/>
        <v>Zone_Entry_Exit</v>
      </c>
      <c r="AF572" t="str">
        <f t="shared" si="58"/>
        <v>Zone_Exit</v>
      </c>
      <c r="AG572" t="str">
        <f t="shared" si="59"/>
        <v>ZoneExit-Pass</v>
      </c>
      <c r="AN572" t="str">
        <f t="shared" si="61"/>
        <v>Offensive</v>
      </c>
      <c r="BD572" s="23"/>
      <c r="BF572" s="21"/>
    </row>
    <row r="573" spans="1:58" x14ac:dyDescent="0.2">
      <c r="A573">
        <v>292</v>
      </c>
      <c r="E573" s="5" t="s">
        <v>906</v>
      </c>
      <c r="F573" s="5" t="s">
        <v>886</v>
      </c>
      <c r="G573" s="5" t="s">
        <v>906</v>
      </c>
      <c r="H573" s="7" t="s">
        <v>876</v>
      </c>
      <c r="I573" t="s">
        <v>840</v>
      </c>
      <c r="J573">
        <v>71</v>
      </c>
      <c r="K573">
        <v>1</v>
      </c>
      <c r="L573" t="s">
        <v>839</v>
      </c>
      <c r="M573" t="s">
        <v>15</v>
      </c>
      <c r="U573" s="8">
        <f t="shared" si="57"/>
        <v>1</v>
      </c>
      <c r="AD573" t="str">
        <f t="shared" si="56"/>
        <v>e</v>
      </c>
      <c r="AE573" t="str">
        <f t="shared" si="60"/>
        <v>Possession</v>
      </c>
      <c r="AF573" t="str">
        <f t="shared" si="58"/>
        <v/>
      </c>
      <c r="AG573" t="str">
        <f t="shared" si="59"/>
        <v/>
      </c>
      <c r="AN573" t="str">
        <f t="shared" si="61"/>
        <v>Offensive</v>
      </c>
      <c r="BD573" s="23"/>
      <c r="BF573" s="21"/>
    </row>
    <row r="574" spans="1:58" x14ac:dyDescent="0.2">
      <c r="A574">
        <v>293</v>
      </c>
      <c r="E574" s="5" t="s">
        <v>906</v>
      </c>
      <c r="F574" s="5" t="s">
        <v>876</v>
      </c>
      <c r="G574" s="5" t="s">
        <v>906</v>
      </c>
      <c r="H574" s="7" t="s">
        <v>847</v>
      </c>
      <c r="I574" t="s">
        <v>840</v>
      </c>
      <c r="J574">
        <v>71</v>
      </c>
      <c r="K574">
        <v>1</v>
      </c>
      <c r="L574" t="s">
        <v>401</v>
      </c>
      <c r="M574" t="s">
        <v>257</v>
      </c>
      <c r="N574" t="s">
        <v>191</v>
      </c>
      <c r="O574" t="s">
        <v>87</v>
      </c>
      <c r="P574" t="s">
        <v>689</v>
      </c>
      <c r="Q574" t="s">
        <v>702</v>
      </c>
      <c r="T574">
        <v>1</v>
      </c>
      <c r="U574" s="8">
        <f t="shared" si="57"/>
        <v>1</v>
      </c>
      <c r="AD574" t="str">
        <f t="shared" si="56"/>
        <v>e</v>
      </c>
      <c r="AE574" t="str">
        <f t="shared" si="60"/>
        <v>Zone_Entry_Exit</v>
      </c>
      <c r="AF574" t="str">
        <f t="shared" si="58"/>
        <v>Zone_Entry</v>
      </c>
      <c r="AG574" t="str">
        <f t="shared" si="59"/>
        <v>ZoneEntry-Rush</v>
      </c>
      <c r="AN574" t="str">
        <f t="shared" si="61"/>
        <v>Offensive</v>
      </c>
      <c r="BD574" s="23"/>
      <c r="BF574" s="21"/>
    </row>
    <row r="575" spans="1:58" x14ac:dyDescent="0.2">
      <c r="A575">
        <v>293</v>
      </c>
      <c r="J575">
        <v>91</v>
      </c>
      <c r="T575">
        <v>1</v>
      </c>
      <c r="U575" s="8">
        <f t="shared" si="57"/>
        <v>1</v>
      </c>
      <c r="AD575" t="str">
        <f t="shared" si="56"/>
        <v>o</v>
      </c>
      <c r="AE575" t="str">
        <f t="shared" si="60"/>
        <v>Zone_Entry_Exit</v>
      </c>
      <c r="AF575" t="str">
        <f t="shared" si="58"/>
        <v>Zone_Entry</v>
      </c>
      <c r="AG575" t="str">
        <f t="shared" si="59"/>
        <v>ZoneEntry-Rush</v>
      </c>
      <c r="AN575" t="str">
        <f t="shared" si="61"/>
        <v>Defensive</v>
      </c>
      <c r="BD575" s="23"/>
      <c r="BF575" s="21"/>
    </row>
    <row r="576" spans="1:58" x14ac:dyDescent="0.2">
      <c r="A576">
        <v>293</v>
      </c>
      <c r="J576">
        <v>52</v>
      </c>
      <c r="U576" s="8">
        <f t="shared" si="57"/>
        <v>1</v>
      </c>
      <c r="AD576" t="str">
        <f t="shared" si="56"/>
        <v>o</v>
      </c>
      <c r="AE576" t="str">
        <f t="shared" si="60"/>
        <v>Zone_Entry_Exit</v>
      </c>
      <c r="AF576" t="str">
        <f t="shared" si="58"/>
        <v>Zone_Entry</v>
      </c>
      <c r="AG576" t="str">
        <f t="shared" si="59"/>
        <v>ZoneEntry-Rush</v>
      </c>
      <c r="AN576" t="str">
        <f t="shared" si="61"/>
        <v>Defensive</v>
      </c>
      <c r="BD576" s="23"/>
      <c r="BF576" s="21"/>
    </row>
    <row r="577" spans="1:58" x14ac:dyDescent="0.2">
      <c r="A577">
        <v>294</v>
      </c>
      <c r="E577" s="5" t="s">
        <v>906</v>
      </c>
      <c r="F577" s="5" t="s">
        <v>847</v>
      </c>
      <c r="G577" s="5" t="s">
        <v>906</v>
      </c>
      <c r="H577" s="7" t="s">
        <v>889</v>
      </c>
      <c r="I577" t="s">
        <v>840</v>
      </c>
      <c r="J577">
        <v>71</v>
      </c>
      <c r="K577">
        <v>1</v>
      </c>
      <c r="L577" t="s">
        <v>401</v>
      </c>
      <c r="M577" t="s">
        <v>15</v>
      </c>
      <c r="U577" s="8">
        <f t="shared" si="57"/>
        <v>1</v>
      </c>
      <c r="AD577" t="str">
        <f t="shared" si="56"/>
        <v>e</v>
      </c>
      <c r="AE577" t="str">
        <f t="shared" si="60"/>
        <v>Possession</v>
      </c>
      <c r="AF577" t="str">
        <f t="shared" si="58"/>
        <v/>
      </c>
      <c r="AG577" t="str">
        <f t="shared" si="59"/>
        <v/>
      </c>
      <c r="AN577" t="str">
        <f t="shared" si="61"/>
        <v>Offensive</v>
      </c>
      <c r="BD577" s="23"/>
      <c r="BF577" s="21"/>
    </row>
    <row r="578" spans="1:58" x14ac:dyDescent="0.2">
      <c r="A578">
        <v>294</v>
      </c>
      <c r="J578">
        <v>52</v>
      </c>
      <c r="U578" s="8">
        <f t="shared" si="57"/>
        <v>1</v>
      </c>
      <c r="AD578" t="str">
        <f t="shared" ref="AD578:AD641" si="62">IF(K578="x","",IF(K578=1,"e","o"))</f>
        <v>o</v>
      </c>
      <c r="AE578" t="str">
        <f t="shared" si="60"/>
        <v>Possession</v>
      </c>
      <c r="AF578" t="str">
        <f t="shared" si="58"/>
        <v/>
      </c>
      <c r="AG578" t="str">
        <f t="shared" si="59"/>
        <v/>
      </c>
      <c r="AN578" t="str">
        <f t="shared" si="61"/>
        <v>Defensive</v>
      </c>
      <c r="BD578" s="23"/>
      <c r="BF578" s="21"/>
    </row>
    <row r="579" spans="1:58" x14ac:dyDescent="0.2">
      <c r="A579">
        <v>295</v>
      </c>
      <c r="E579" s="5" t="s">
        <v>906</v>
      </c>
      <c r="F579" s="5" t="s">
        <v>848</v>
      </c>
      <c r="I579" t="s">
        <v>840</v>
      </c>
      <c r="J579">
        <v>71</v>
      </c>
      <c r="K579">
        <v>1</v>
      </c>
      <c r="L579" t="s">
        <v>401</v>
      </c>
      <c r="M579" t="s">
        <v>8</v>
      </c>
      <c r="N579" t="s">
        <v>189</v>
      </c>
      <c r="O579" t="s">
        <v>70</v>
      </c>
      <c r="P579" t="s">
        <v>689</v>
      </c>
      <c r="Q579" t="s">
        <v>770</v>
      </c>
      <c r="T579">
        <v>1</v>
      </c>
      <c r="U579" s="8">
        <f t="shared" ref="U579:U642" si="63">IF(M579="Intermission",U578+1,U578)</f>
        <v>1</v>
      </c>
      <c r="AD579" t="str">
        <f t="shared" si="62"/>
        <v>e</v>
      </c>
      <c r="AE579" t="str">
        <f t="shared" si="60"/>
        <v>Pass</v>
      </c>
      <c r="AF579" t="str">
        <f t="shared" ref="AF579:AF642" si="64">IF(N579&lt;&gt;"",N579,IF($A579=$A578,AF578,""))</f>
        <v>Pass_Completed</v>
      </c>
      <c r="AG579" t="str">
        <f t="shared" ref="AG579:AG642" si="65">IF(O579&lt;&gt;"",O579,IF($A579=$A578,AG578,""))</f>
        <v>Pass-Forehand</v>
      </c>
      <c r="AN579" t="str">
        <f t="shared" si="61"/>
        <v>Offensive</v>
      </c>
      <c r="BD579" s="23"/>
      <c r="BF579" s="21"/>
    </row>
    <row r="580" spans="1:58" x14ac:dyDescent="0.2">
      <c r="A580">
        <v>295</v>
      </c>
      <c r="J580">
        <v>19</v>
      </c>
      <c r="K580">
        <v>1</v>
      </c>
      <c r="U580" s="8">
        <f t="shared" si="63"/>
        <v>1</v>
      </c>
      <c r="AD580" t="str">
        <f t="shared" si="62"/>
        <v>e</v>
      </c>
      <c r="AE580" t="str">
        <f t="shared" ref="AE580:AE643" si="66">IF(M580&lt;&gt;"",M580,IF($A580=$A579,AE579,""))</f>
        <v>Pass</v>
      </c>
      <c r="AF580" t="str">
        <f t="shared" si="64"/>
        <v>Pass_Completed</v>
      </c>
      <c r="AG580" t="str">
        <f t="shared" si="65"/>
        <v>Pass-Forehand</v>
      </c>
      <c r="AN580" t="str">
        <f t="shared" si="61"/>
        <v>Offensive</v>
      </c>
      <c r="BD580" s="23"/>
      <c r="BF580" s="21"/>
    </row>
    <row r="581" spans="1:58" x14ac:dyDescent="0.2">
      <c r="A581">
        <v>295</v>
      </c>
      <c r="J581">
        <v>52</v>
      </c>
      <c r="T581">
        <v>1</v>
      </c>
      <c r="U581" s="8">
        <f t="shared" si="63"/>
        <v>1</v>
      </c>
      <c r="AD581" t="str">
        <f t="shared" si="62"/>
        <v>o</v>
      </c>
      <c r="AE581" t="str">
        <f t="shared" si="66"/>
        <v>Pass</v>
      </c>
      <c r="AF581" t="str">
        <f t="shared" si="64"/>
        <v>Pass_Completed</v>
      </c>
      <c r="AG581" t="str">
        <f t="shared" si="65"/>
        <v>Pass-Forehand</v>
      </c>
      <c r="AN581" t="str">
        <f t="shared" si="61"/>
        <v>Defensive</v>
      </c>
      <c r="BD581" s="23"/>
      <c r="BF581" s="21"/>
    </row>
    <row r="582" spans="1:58" x14ac:dyDescent="0.2">
      <c r="A582">
        <v>296</v>
      </c>
      <c r="E582" s="5" t="s">
        <v>906</v>
      </c>
      <c r="F582" s="5" t="s">
        <v>878</v>
      </c>
      <c r="I582" t="s">
        <v>840</v>
      </c>
      <c r="J582">
        <v>19</v>
      </c>
      <c r="K582">
        <v>1</v>
      </c>
      <c r="L582" t="s">
        <v>401</v>
      </c>
      <c r="M582" t="s">
        <v>7</v>
      </c>
      <c r="N582" t="s">
        <v>222</v>
      </c>
      <c r="O582" t="s">
        <v>56</v>
      </c>
      <c r="P582" t="s">
        <v>689</v>
      </c>
      <c r="U582" s="8">
        <f t="shared" si="63"/>
        <v>1</v>
      </c>
      <c r="AD582" t="str">
        <f t="shared" si="62"/>
        <v>e</v>
      </c>
      <c r="AE582" t="str">
        <f t="shared" si="66"/>
        <v>Shot</v>
      </c>
      <c r="AF582" t="str">
        <f t="shared" si="64"/>
        <v>Shot_OnNetSaved</v>
      </c>
      <c r="AG582" t="str">
        <f t="shared" si="65"/>
        <v>Shot-Tip</v>
      </c>
      <c r="AN582" t="str">
        <f t="shared" si="61"/>
        <v>Offensive</v>
      </c>
      <c r="BD582" s="23"/>
      <c r="BF582" s="21"/>
    </row>
    <row r="583" spans="1:58" x14ac:dyDescent="0.2">
      <c r="A583">
        <v>296</v>
      </c>
      <c r="J583">
        <v>39</v>
      </c>
      <c r="U583" s="8">
        <f t="shared" si="63"/>
        <v>1</v>
      </c>
      <c r="AD583" t="str">
        <f t="shared" si="62"/>
        <v>o</v>
      </c>
      <c r="AE583" t="str">
        <f t="shared" si="66"/>
        <v>Shot</v>
      </c>
      <c r="AF583" t="str">
        <f t="shared" si="64"/>
        <v>Shot_OnNetSaved</v>
      </c>
      <c r="AG583" t="str">
        <f t="shared" si="65"/>
        <v>Shot-Tip</v>
      </c>
      <c r="AN583" t="str">
        <f t="shared" si="61"/>
        <v>Defensive</v>
      </c>
      <c r="BD583" s="23"/>
      <c r="BF583" s="21"/>
    </row>
    <row r="584" spans="1:58" x14ac:dyDescent="0.2">
      <c r="A584">
        <v>297</v>
      </c>
      <c r="E584" s="5" t="s">
        <v>906</v>
      </c>
      <c r="F584" s="5" t="s">
        <v>878</v>
      </c>
      <c r="I584" t="s">
        <v>835</v>
      </c>
      <c r="J584">
        <v>39</v>
      </c>
      <c r="K584">
        <v>1</v>
      </c>
      <c r="L584" t="s">
        <v>845</v>
      </c>
      <c r="M584" t="s">
        <v>17</v>
      </c>
      <c r="N584" t="s">
        <v>206</v>
      </c>
      <c r="O584" t="s">
        <v>102</v>
      </c>
      <c r="U584" s="8">
        <f t="shared" si="63"/>
        <v>1</v>
      </c>
      <c r="AD584" t="str">
        <f t="shared" si="62"/>
        <v>e</v>
      </c>
      <c r="AE584" t="str">
        <f t="shared" si="66"/>
        <v>Save</v>
      </c>
      <c r="AF584" t="str">
        <f t="shared" si="64"/>
        <v>Save_Freeze</v>
      </c>
      <c r="AG584" t="str">
        <f t="shared" si="65"/>
        <v>Save-Butterfly</v>
      </c>
      <c r="AN584" t="str">
        <f t="shared" si="61"/>
        <v>Defensive</v>
      </c>
      <c r="BD584" s="23"/>
      <c r="BF584" s="21"/>
    </row>
    <row r="585" spans="1:58" x14ac:dyDescent="0.2">
      <c r="A585">
        <v>297</v>
      </c>
      <c r="J585">
        <v>19</v>
      </c>
      <c r="U585" s="8">
        <f t="shared" si="63"/>
        <v>1</v>
      </c>
      <c r="AD585" t="str">
        <f t="shared" si="62"/>
        <v>o</v>
      </c>
      <c r="AE585" t="str">
        <f t="shared" si="66"/>
        <v>Save</v>
      </c>
      <c r="AF585" t="str">
        <f t="shared" si="64"/>
        <v>Save_Freeze</v>
      </c>
      <c r="AG585" t="str">
        <f t="shared" si="65"/>
        <v>Save-Butterfly</v>
      </c>
      <c r="AN585" t="str">
        <f t="shared" ref="AN585:AN648" si="67">IF(AND(AD585="e",OR(AE585="Save",AF585="Turnover_Takeaway",AF585="Play_Defensive")),"Defensive",IF(AND(AD585="o",OR(AE585="Save",AF585="Turnover_Takeaway",AF585="Play_Defensive")),"Offensive",IF(OR(AE585="Deadice",AE585="Stoppage",AE585="Intermission"),"",IF(AD585="e","Offensive",IF(AD585="o","Defensive","")))))</f>
        <v>Offensive</v>
      </c>
      <c r="BD585" s="23"/>
      <c r="BF585" s="21"/>
    </row>
    <row r="586" spans="1:58" x14ac:dyDescent="0.2">
      <c r="A586">
        <v>298</v>
      </c>
      <c r="E586" s="5" t="s">
        <v>906</v>
      </c>
      <c r="F586" s="5" t="s">
        <v>897</v>
      </c>
      <c r="I586" t="s">
        <v>835</v>
      </c>
      <c r="J586">
        <v>39</v>
      </c>
      <c r="K586">
        <v>1</v>
      </c>
      <c r="L586" t="s">
        <v>845</v>
      </c>
      <c r="M586" t="s">
        <v>250</v>
      </c>
      <c r="N586" t="s">
        <v>253</v>
      </c>
      <c r="U586" s="8">
        <f t="shared" si="63"/>
        <v>1</v>
      </c>
      <c r="AD586" t="str">
        <f t="shared" si="62"/>
        <v>e</v>
      </c>
      <c r="AE586" t="str">
        <f t="shared" si="66"/>
        <v>Rebound</v>
      </c>
      <c r="AF586" t="str">
        <f t="shared" si="64"/>
        <v>Rebound_ShotGenerated</v>
      </c>
      <c r="AG586" t="str">
        <f t="shared" si="65"/>
        <v/>
      </c>
      <c r="AN586" t="str">
        <f t="shared" si="67"/>
        <v>Offensive</v>
      </c>
      <c r="BD586" s="23"/>
      <c r="BF586" s="21"/>
    </row>
    <row r="587" spans="1:58" x14ac:dyDescent="0.2">
      <c r="A587">
        <v>299</v>
      </c>
      <c r="B587">
        <v>50</v>
      </c>
      <c r="E587" s="5" t="s">
        <v>906</v>
      </c>
      <c r="F587" s="5" t="s">
        <v>849</v>
      </c>
      <c r="I587" t="s">
        <v>840</v>
      </c>
      <c r="J587">
        <v>19</v>
      </c>
      <c r="K587">
        <v>1</v>
      </c>
      <c r="L587" t="s">
        <v>401</v>
      </c>
      <c r="M587" t="s">
        <v>7</v>
      </c>
      <c r="N587" t="s">
        <v>261</v>
      </c>
      <c r="T587">
        <v>1</v>
      </c>
      <c r="U587" s="8">
        <f t="shared" si="63"/>
        <v>1</v>
      </c>
      <c r="AD587" t="str">
        <f t="shared" si="62"/>
        <v>e</v>
      </c>
      <c r="AE587" t="str">
        <f t="shared" si="66"/>
        <v>Shot</v>
      </c>
      <c r="AF587" t="str">
        <f t="shared" si="64"/>
        <v>Shot_Goal</v>
      </c>
      <c r="AG587" t="str">
        <f t="shared" si="65"/>
        <v/>
      </c>
      <c r="AN587" t="str">
        <f t="shared" si="67"/>
        <v>Offensive</v>
      </c>
      <c r="BD587" s="23"/>
      <c r="BF587" s="21"/>
    </row>
    <row r="588" spans="1:58" x14ac:dyDescent="0.2">
      <c r="A588">
        <v>299</v>
      </c>
      <c r="B588">
        <v>50</v>
      </c>
      <c r="J588">
        <v>39</v>
      </c>
      <c r="U588" s="8">
        <f t="shared" si="63"/>
        <v>1</v>
      </c>
      <c r="AD588" t="str">
        <f t="shared" si="62"/>
        <v>o</v>
      </c>
      <c r="AE588" t="str">
        <f t="shared" si="66"/>
        <v>Shot</v>
      </c>
      <c r="AF588" t="str">
        <f t="shared" si="64"/>
        <v>Shot_Goal</v>
      </c>
      <c r="AG588" t="str">
        <f t="shared" si="65"/>
        <v/>
      </c>
      <c r="AN588" t="str">
        <f t="shared" si="67"/>
        <v>Defensive</v>
      </c>
      <c r="BD588" s="23"/>
      <c r="BF588" s="21"/>
    </row>
    <row r="589" spans="1:58" x14ac:dyDescent="0.2">
      <c r="A589">
        <v>299</v>
      </c>
      <c r="B589">
        <v>50</v>
      </c>
      <c r="J589">
        <v>91</v>
      </c>
      <c r="T589">
        <v>1</v>
      </c>
      <c r="U589" s="8">
        <f t="shared" si="63"/>
        <v>1</v>
      </c>
      <c r="AD589" t="str">
        <f t="shared" si="62"/>
        <v>o</v>
      </c>
      <c r="AE589" t="str">
        <f t="shared" si="66"/>
        <v>Shot</v>
      </c>
      <c r="AF589" t="str">
        <f t="shared" si="64"/>
        <v>Shot_Goal</v>
      </c>
      <c r="AG589" t="str">
        <f t="shared" si="65"/>
        <v/>
      </c>
      <c r="AN589" t="str">
        <f t="shared" si="67"/>
        <v>Defensive</v>
      </c>
      <c r="BD589" s="23"/>
      <c r="BF589" s="21"/>
    </row>
    <row r="590" spans="1:58" x14ac:dyDescent="0.2">
      <c r="A590">
        <v>299</v>
      </c>
      <c r="B590">
        <v>50</v>
      </c>
      <c r="J590">
        <v>42</v>
      </c>
      <c r="T590">
        <v>1</v>
      </c>
      <c r="U590" s="8">
        <f t="shared" si="63"/>
        <v>1</v>
      </c>
      <c r="AD590" t="str">
        <f t="shared" si="62"/>
        <v>o</v>
      </c>
      <c r="AE590" t="str">
        <f t="shared" si="66"/>
        <v>Shot</v>
      </c>
      <c r="AF590" t="str">
        <f t="shared" si="64"/>
        <v>Shot_Goal</v>
      </c>
      <c r="AG590" t="str">
        <f t="shared" si="65"/>
        <v/>
      </c>
      <c r="AN590" t="str">
        <f t="shared" si="67"/>
        <v>Defensive</v>
      </c>
      <c r="BD590" s="23"/>
      <c r="BF590" s="21"/>
    </row>
    <row r="591" spans="1:58" x14ac:dyDescent="0.2">
      <c r="A591">
        <v>300</v>
      </c>
      <c r="B591">
        <v>50</v>
      </c>
      <c r="E591" s="5" t="s">
        <v>906</v>
      </c>
      <c r="F591" s="5" t="s">
        <v>849</v>
      </c>
      <c r="I591" t="s">
        <v>840</v>
      </c>
      <c r="J591">
        <v>19</v>
      </c>
      <c r="K591">
        <v>1</v>
      </c>
      <c r="L591" t="s">
        <v>401</v>
      </c>
      <c r="M591" t="s">
        <v>9</v>
      </c>
      <c r="N591" t="s">
        <v>230</v>
      </c>
      <c r="O591" t="s">
        <v>241</v>
      </c>
      <c r="T591">
        <v>1</v>
      </c>
      <c r="U591" s="8">
        <f t="shared" si="63"/>
        <v>1</v>
      </c>
      <c r="AD591" t="str">
        <f t="shared" si="62"/>
        <v>e</v>
      </c>
      <c r="AE591" t="str">
        <f t="shared" si="66"/>
        <v>Goal</v>
      </c>
      <c r="AF591" t="str">
        <f t="shared" si="64"/>
        <v>Goal_Scored</v>
      </c>
      <c r="AG591" t="str">
        <f t="shared" si="65"/>
        <v>Goal-Poke</v>
      </c>
      <c r="AN591" t="str">
        <f t="shared" si="67"/>
        <v>Offensive</v>
      </c>
      <c r="BD591" s="23"/>
      <c r="BF591" s="21"/>
    </row>
    <row r="592" spans="1:58" x14ac:dyDescent="0.2">
      <c r="A592">
        <v>300</v>
      </c>
      <c r="B592">
        <v>50</v>
      </c>
      <c r="J592">
        <v>39</v>
      </c>
      <c r="U592" s="8">
        <f t="shared" si="63"/>
        <v>1</v>
      </c>
      <c r="AD592" t="str">
        <f t="shared" si="62"/>
        <v>o</v>
      </c>
      <c r="AE592" t="str">
        <f t="shared" si="66"/>
        <v>Goal</v>
      </c>
      <c r="AF592" t="str">
        <f t="shared" si="64"/>
        <v>Goal_Scored</v>
      </c>
      <c r="AG592" t="str">
        <f t="shared" si="65"/>
        <v>Goal-Poke</v>
      </c>
      <c r="AN592" t="str">
        <f t="shared" si="67"/>
        <v>Defensive</v>
      </c>
      <c r="BD592" s="23"/>
      <c r="BF592" s="21"/>
    </row>
    <row r="593" spans="1:58" x14ac:dyDescent="0.2">
      <c r="A593">
        <v>300</v>
      </c>
      <c r="B593">
        <v>50</v>
      </c>
      <c r="J593">
        <v>91</v>
      </c>
      <c r="T593">
        <v>1</v>
      </c>
      <c r="U593" s="8">
        <f t="shared" si="63"/>
        <v>1</v>
      </c>
      <c r="AD593" t="str">
        <f t="shared" si="62"/>
        <v>o</v>
      </c>
      <c r="AE593" t="str">
        <f t="shared" si="66"/>
        <v>Goal</v>
      </c>
      <c r="AF593" t="str">
        <f t="shared" si="64"/>
        <v>Goal_Scored</v>
      </c>
      <c r="AG593" t="str">
        <f t="shared" si="65"/>
        <v>Goal-Poke</v>
      </c>
      <c r="AN593" t="str">
        <f t="shared" si="67"/>
        <v>Defensive</v>
      </c>
      <c r="BD593" s="23"/>
      <c r="BF593" s="21"/>
    </row>
    <row r="594" spans="1:58" x14ac:dyDescent="0.2">
      <c r="A594">
        <v>300</v>
      </c>
      <c r="B594">
        <v>50</v>
      </c>
      <c r="J594">
        <v>42</v>
      </c>
      <c r="T594">
        <v>1</v>
      </c>
      <c r="U594" s="8">
        <f t="shared" si="63"/>
        <v>1</v>
      </c>
      <c r="AD594" t="str">
        <f t="shared" si="62"/>
        <v>o</v>
      </c>
      <c r="AE594" t="str">
        <f t="shared" si="66"/>
        <v>Goal</v>
      </c>
      <c r="AF594" t="str">
        <f t="shared" si="64"/>
        <v>Goal_Scored</v>
      </c>
      <c r="AG594" t="str">
        <f t="shared" si="65"/>
        <v>Goal-Poke</v>
      </c>
      <c r="AN594" t="str">
        <f t="shared" si="67"/>
        <v>Defensive</v>
      </c>
      <c r="BD594" s="23"/>
      <c r="BF594" s="21"/>
    </row>
    <row r="595" spans="1:58" x14ac:dyDescent="0.2">
      <c r="A595">
        <v>301</v>
      </c>
      <c r="B595">
        <v>50</v>
      </c>
      <c r="E595" s="5" t="s">
        <v>906</v>
      </c>
      <c r="F595" s="5" t="s">
        <v>849</v>
      </c>
      <c r="I595" t="s">
        <v>840</v>
      </c>
      <c r="J595">
        <v>19</v>
      </c>
      <c r="K595">
        <v>1</v>
      </c>
      <c r="L595" t="s">
        <v>401</v>
      </c>
      <c r="M595" t="s">
        <v>13</v>
      </c>
      <c r="N595" t="s">
        <v>204</v>
      </c>
      <c r="O595" t="s">
        <v>42</v>
      </c>
      <c r="U595" s="8">
        <f t="shared" si="63"/>
        <v>1</v>
      </c>
      <c r="AD595" t="str">
        <f t="shared" si="62"/>
        <v>e</v>
      </c>
      <c r="AE595" t="str">
        <f t="shared" si="66"/>
        <v>Stoppage</v>
      </c>
      <c r="AF595" t="str">
        <f t="shared" si="64"/>
        <v>Stoppage_Play</v>
      </c>
      <c r="AG595" t="str">
        <f t="shared" si="65"/>
        <v>Stoppage-Goal</v>
      </c>
      <c r="AN595" t="str">
        <f t="shared" si="67"/>
        <v/>
      </c>
      <c r="BD595" s="23"/>
      <c r="BF595" s="21"/>
    </row>
    <row r="596" spans="1:58" x14ac:dyDescent="0.2">
      <c r="A596">
        <v>302</v>
      </c>
      <c r="B596">
        <v>50</v>
      </c>
      <c r="E596" s="5" t="s">
        <v>906</v>
      </c>
      <c r="F596" s="5" t="s">
        <v>849</v>
      </c>
      <c r="G596" s="5" t="s">
        <v>906</v>
      </c>
      <c r="H596" s="7" t="s">
        <v>891</v>
      </c>
      <c r="I596" t="s">
        <v>840</v>
      </c>
      <c r="J596">
        <v>19</v>
      </c>
      <c r="K596">
        <v>1</v>
      </c>
      <c r="L596" t="s">
        <v>401</v>
      </c>
      <c r="M596" t="s">
        <v>262</v>
      </c>
      <c r="U596" s="8">
        <f t="shared" si="63"/>
        <v>1</v>
      </c>
      <c r="AD596" t="str">
        <f t="shared" si="62"/>
        <v>e</v>
      </c>
      <c r="AE596" t="str">
        <f t="shared" si="66"/>
        <v>DeadIce</v>
      </c>
      <c r="AF596" t="str">
        <f t="shared" si="64"/>
        <v/>
      </c>
      <c r="AG596" t="str">
        <f t="shared" si="65"/>
        <v/>
      </c>
      <c r="AN596" t="str">
        <f t="shared" si="67"/>
        <v/>
      </c>
      <c r="BD596" s="23"/>
      <c r="BF596" s="21"/>
    </row>
    <row r="597" spans="1:58" x14ac:dyDescent="0.2">
      <c r="A597">
        <v>303</v>
      </c>
      <c r="E597" s="5" t="s">
        <v>906</v>
      </c>
      <c r="F597" s="5" t="s">
        <v>891</v>
      </c>
      <c r="I597" t="s">
        <v>835</v>
      </c>
      <c r="J597">
        <v>49</v>
      </c>
      <c r="K597">
        <v>1</v>
      </c>
      <c r="L597" t="s">
        <v>839</v>
      </c>
      <c r="M597" t="s">
        <v>6</v>
      </c>
      <c r="N597" t="s">
        <v>207</v>
      </c>
      <c r="U597" s="8">
        <f t="shared" si="63"/>
        <v>1</v>
      </c>
      <c r="AD597" t="str">
        <f t="shared" si="62"/>
        <v>e</v>
      </c>
      <c r="AE597" t="str">
        <f t="shared" si="66"/>
        <v>Faceoff</v>
      </c>
      <c r="AF597" t="str">
        <f t="shared" si="64"/>
        <v>Faceoff_AfterGoal</v>
      </c>
      <c r="AG597" t="str">
        <f t="shared" si="65"/>
        <v/>
      </c>
      <c r="AN597" t="str">
        <f t="shared" si="67"/>
        <v>Offensive</v>
      </c>
      <c r="BD597" s="23"/>
      <c r="BF597" s="21"/>
    </row>
    <row r="598" spans="1:58" x14ac:dyDescent="0.2">
      <c r="A598">
        <v>303</v>
      </c>
      <c r="J598">
        <v>8</v>
      </c>
      <c r="U598" s="8">
        <f t="shared" si="63"/>
        <v>1</v>
      </c>
      <c r="AD598" t="str">
        <f t="shared" si="62"/>
        <v>o</v>
      </c>
      <c r="AE598" t="str">
        <f t="shared" si="66"/>
        <v>Faceoff</v>
      </c>
      <c r="AF598" t="str">
        <f t="shared" si="64"/>
        <v>Faceoff_AfterGoal</v>
      </c>
      <c r="AG598" t="str">
        <f t="shared" si="65"/>
        <v/>
      </c>
      <c r="AN598" t="str">
        <f t="shared" si="67"/>
        <v>Defensive</v>
      </c>
      <c r="BD598" s="23"/>
      <c r="BF598" s="21"/>
    </row>
    <row r="599" spans="1:58" x14ac:dyDescent="0.2">
      <c r="A599">
        <v>304</v>
      </c>
      <c r="E599" s="5" t="s">
        <v>906</v>
      </c>
      <c r="F599" s="5" t="s">
        <v>891</v>
      </c>
      <c r="I599" t="s">
        <v>840</v>
      </c>
      <c r="K599">
        <v>1</v>
      </c>
      <c r="L599" t="s">
        <v>839</v>
      </c>
      <c r="M599" t="s">
        <v>257</v>
      </c>
      <c r="N599" t="s">
        <v>191</v>
      </c>
      <c r="O599" t="s">
        <v>410</v>
      </c>
      <c r="U599" s="8">
        <f t="shared" si="63"/>
        <v>1</v>
      </c>
      <c r="AD599" t="str">
        <f t="shared" si="62"/>
        <v>e</v>
      </c>
      <c r="AE599" t="str">
        <f t="shared" si="66"/>
        <v>Zone_Entry_Exit</v>
      </c>
      <c r="AF599" t="str">
        <f t="shared" si="64"/>
        <v>Zone_Entry</v>
      </c>
      <c r="AG599" t="str">
        <f t="shared" si="65"/>
        <v>ZoneEntry-OppTeam</v>
      </c>
      <c r="AN599" t="str">
        <f t="shared" si="67"/>
        <v>Offensive</v>
      </c>
      <c r="BD599" s="23"/>
      <c r="BF599" s="21"/>
    </row>
    <row r="600" spans="1:58" x14ac:dyDescent="0.2">
      <c r="A600">
        <v>305</v>
      </c>
      <c r="E600" s="5" t="s">
        <v>906</v>
      </c>
      <c r="F600" s="5" t="s">
        <v>902</v>
      </c>
      <c r="G600" s="5" t="s">
        <v>906</v>
      </c>
      <c r="H600" s="7" t="s">
        <v>870</v>
      </c>
      <c r="I600" t="s">
        <v>835</v>
      </c>
      <c r="J600">
        <v>9</v>
      </c>
      <c r="K600">
        <v>1</v>
      </c>
      <c r="L600" t="s">
        <v>845</v>
      </c>
      <c r="M600" t="s">
        <v>15</v>
      </c>
      <c r="N600" t="s">
        <v>680</v>
      </c>
      <c r="P600" t="s">
        <v>689</v>
      </c>
      <c r="Q600" t="s">
        <v>698</v>
      </c>
      <c r="S600" t="s">
        <v>689</v>
      </c>
      <c r="T600">
        <v>1</v>
      </c>
      <c r="U600" s="8">
        <f t="shared" si="63"/>
        <v>1</v>
      </c>
      <c r="AD600" t="str">
        <f t="shared" si="62"/>
        <v>e</v>
      </c>
      <c r="AE600" t="str">
        <f t="shared" si="66"/>
        <v>Possession</v>
      </c>
      <c r="AF600" t="str">
        <f t="shared" si="64"/>
        <v>PuckRetrieval</v>
      </c>
      <c r="AG600" t="str">
        <f t="shared" si="65"/>
        <v/>
      </c>
      <c r="AN600" t="str">
        <f t="shared" si="67"/>
        <v>Offensive</v>
      </c>
      <c r="BD600" s="23"/>
      <c r="BF600" s="21"/>
    </row>
    <row r="601" spans="1:58" x14ac:dyDescent="0.2">
      <c r="A601">
        <v>305</v>
      </c>
      <c r="J601">
        <v>8</v>
      </c>
      <c r="T601">
        <v>1</v>
      </c>
      <c r="U601" s="8">
        <f t="shared" si="63"/>
        <v>1</v>
      </c>
      <c r="AD601" t="str">
        <f t="shared" si="62"/>
        <v>o</v>
      </c>
      <c r="AE601" t="str">
        <f t="shared" si="66"/>
        <v>Possession</v>
      </c>
      <c r="AF601" t="str">
        <f t="shared" si="64"/>
        <v>PuckRetrieval</v>
      </c>
      <c r="AG601" t="str">
        <f t="shared" si="65"/>
        <v/>
      </c>
      <c r="AN601" t="str">
        <f t="shared" si="67"/>
        <v>Defensive</v>
      </c>
      <c r="BD601" s="23"/>
      <c r="BF601" s="21"/>
    </row>
    <row r="602" spans="1:58" x14ac:dyDescent="0.2">
      <c r="A602">
        <v>306</v>
      </c>
      <c r="E602" s="5" t="s">
        <v>906</v>
      </c>
      <c r="F602" s="5" t="s">
        <v>446</v>
      </c>
      <c r="I602" t="s">
        <v>840</v>
      </c>
      <c r="J602">
        <v>8</v>
      </c>
      <c r="K602">
        <v>1</v>
      </c>
      <c r="L602" t="s">
        <v>401</v>
      </c>
      <c r="M602" t="s">
        <v>247</v>
      </c>
      <c r="N602" t="s">
        <v>422</v>
      </c>
      <c r="O602" t="s">
        <v>465</v>
      </c>
      <c r="P602" t="s">
        <v>689</v>
      </c>
      <c r="Q602" t="s">
        <v>695</v>
      </c>
      <c r="S602" t="s">
        <v>689</v>
      </c>
      <c r="T602">
        <v>1</v>
      </c>
      <c r="U602" s="8">
        <f t="shared" si="63"/>
        <v>1</v>
      </c>
      <c r="AD602" t="str">
        <f t="shared" si="62"/>
        <v>e</v>
      </c>
      <c r="AE602" t="str">
        <f t="shared" si="66"/>
        <v>Play</v>
      </c>
      <c r="AF602" t="str">
        <f t="shared" si="64"/>
        <v>Play_Defensive</v>
      </c>
      <c r="AG602" t="str">
        <f t="shared" si="65"/>
        <v>Play-PokeCheck</v>
      </c>
      <c r="AN602" t="str">
        <f t="shared" si="67"/>
        <v>Defensive</v>
      </c>
      <c r="BD602" s="23"/>
      <c r="BF602" s="21"/>
    </row>
    <row r="603" spans="1:58" x14ac:dyDescent="0.2">
      <c r="A603">
        <v>306</v>
      </c>
      <c r="J603">
        <v>9</v>
      </c>
      <c r="T603">
        <v>1</v>
      </c>
      <c r="U603" s="8">
        <f t="shared" si="63"/>
        <v>1</v>
      </c>
      <c r="AD603" t="str">
        <f t="shared" si="62"/>
        <v>o</v>
      </c>
      <c r="AE603" t="str">
        <f t="shared" si="66"/>
        <v>Play</v>
      </c>
      <c r="AF603" t="str">
        <f t="shared" si="64"/>
        <v>Play_Defensive</v>
      </c>
      <c r="AG603" t="str">
        <f t="shared" si="65"/>
        <v>Play-PokeCheck</v>
      </c>
      <c r="AN603" t="str">
        <f t="shared" si="67"/>
        <v>Offensive</v>
      </c>
      <c r="BD603" s="23"/>
      <c r="BF603" s="21"/>
    </row>
    <row r="604" spans="1:58" x14ac:dyDescent="0.2">
      <c r="A604">
        <v>307</v>
      </c>
      <c r="E604" s="5" t="s">
        <v>907</v>
      </c>
      <c r="F604" s="5" t="s">
        <v>872</v>
      </c>
      <c r="I604" t="s">
        <v>835</v>
      </c>
      <c r="J604">
        <v>84</v>
      </c>
      <c r="K604">
        <v>1</v>
      </c>
      <c r="L604" t="s">
        <v>845</v>
      </c>
      <c r="M604" t="s">
        <v>15</v>
      </c>
      <c r="N604" t="s">
        <v>681</v>
      </c>
      <c r="P604" t="s">
        <v>688</v>
      </c>
      <c r="Q604" t="s">
        <v>712</v>
      </c>
      <c r="S604" t="s">
        <v>688</v>
      </c>
      <c r="T604">
        <v>1</v>
      </c>
      <c r="U604" s="8">
        <f t="shared" si="63"/>
        <v>1</v>
      </c>
      <c r="AD604" t="str">
        <f t="shared" si="62"/>
        <v>e</v>
      </c>
      <c r="AE604" t="str">
        <f t="shared" si="66"/>
        <v>Possession</v>
      </c>
      <c r="AF604" t="str">
        <f t="shared" si="64"/>
        <v>PuckRecovery</v>
      </c>
      <c r="AG604" t="str">
        <f t="shared" si="65"/>
        <v/>
      </c>
      <c r="AN604" t="str">
        <f t="shared" si="67"/>
        <v>Offensive</v>
      </c>
      <c r="BD604" s="23"/>
      <c r="BF604" s="21"/>
    </row>
    <row r="605" spans="1:58" x14ac:dyDescent="0.2">
      <c r="A605">
        <v>307</v>
      </c>
      <c r="J605">
        <v>26</v>
      </c>
      <c r="Q605" t="s">
        <v>780</v>
      </c>
      <c r="S605" t="s">
        <v>688</v>
      </c>
      <c r="T605">
        <v>1</v>
      </c>
      <c r="U605" s="8">
        <f t="shared" si="63"/>
        <v>1</v>
      </c>
      <c r="AD605" t="str">
        <f t="shared" si="62"/>
        <v>o</v>
      </c>
      <c r="AE605" t="str">
        <f t="shared" si="66"/>
        <v>Possession</v>
      </c>
      <c r="AF605" t="str">
        <f t="shared" si="64"/>
        <v>PuckRecovery</v>
      </c>
      <c r="AG605" t="str">
        <f t="shared" si="65"/>
        <v/>
      </c>
      <c r="AN605" t="str">
        <f t="shared" si="67"/>
        <v>Defensive</v>
      </c>
      <c r="BD605" s="23"/>
      <c r="BF605" s="21"/>
    </row>
    <row r="606" spans="1:58" x14ac:dyDescent="0.2">
      <c r="A606">
        <v>307</v>
      </c>
      <c r="J606">
        <v>8</v>
      </c>
      <c r="T606">
        <v>1</v>
      </c>
      <c r="U606" s="8">
        <f t="shared" si="63"/>
        <v>1</v>
      </c>
      <c r="AD606" t="str">
        <f t="shared" si="62"/>
        <v>o</v>
      </c>
      <c r="AE606" t="str">
        <f t="shared" si="66"/>
        <v>Possession</v>
      </c>
      <c r="AF606" t="str">
        <f t="shared" si="64"/>
        <v>PuckRecovery</v>
      </c>
      <c r="AG606" t="str">
        <f t="shared" si="65"/>
        <v/>
      </c>
      <c r="AN606" t="str">
        <f t="shared" si="67"/>
        <v>Defensive</v>
      </c>
      <c r="BD606" s="23"/>
      <c r="BF606" s="21"/>
    </row>
    <row r="607" spans="1:58" x14ac:dyDescent="0.2">
      <c r="A607">
        <v>308</v>
      </c>
      <c r="E607" s="5" t="s">
        <v>907</v>
      </c>
      <c r="F607" s="5" t="s">
        <v>873</v>
      </c>
      <c r="I607" t="s">
        <v>835</v>
      </c>
      <c r="J607">
        <v>84</v>
      </c>
      <c r="K607">
        <v>1</v>
      </c>
      <c r="L607" t="s">
        <v>845</v>
      </c>
      <c r="M607" t="s">
        <v>8</v>
      </c>
      <c r="N607" t="s">
        <v>189</v>
      </c>
      <c r="O607" t="s">
        <v>68</v>
      </c>
      <c r="P607" t="s">
        <v>689</v>
      </c>
      <c r="Q607" t="s">
        <v>749</v>
      </c>
      <c r="S607" t="s">
        <v>689</v>
      </c>
      <c r="T607">
        <v>1</v>
      </c>
      <c r="U607" s="8">
        <f t="shared" si="63"/>
        <v>1</v>
      </c>
      <c r="AD607" t="str">
        <f t="shared" si="62"/>
        <v>e</v>
      </c>
      <c r="AE607" t="str">
        <f t="shared" si="66"/>
        <v>Pass</v>
      </c>
      <c r="AF607" t="str">
        <f t="shared" si="64"/>
        <v>Pass_Completed</v>
      </c>
      <c r="AG607" t="str">
        <f t="shared" si="65"/>
        <v>Pass-Rim/Wrap</v>
      </c>
      <c r="AN607" t="str">
        <f t="shared" si="67"/>
        <v>Offensive</v>
      </c>
      <c r="BD607" s="23"/>
      <c r="BF607" s="21"/>
    </row>
    <row r="608" spans="1:58" x14ac:dyDescent="0.2">
      <c r="A608">
        <v>308</v>
      </c>
      <c r="J608">
        <v>9</v>
      </c>
      <c r="K608">
        <v>1</v>
      </c>
      <c r="U608" s="8">
        <f t="shared" si="63"/>
        <v>1</v>
      </c>
      <c r="AD608" t="str">
        <f t="shared" si="62"/>
        <v>e</v>
      </c>
      <c r="AE608" t="str">
        <f t="shared" si="66"/>
        <v>Pass</v>
      </c>
      <c r="AF608" t="str">
        <f t="shared" si="64"/>
        <v>Pass_Completed</v>
      </c>
      <c r="AG608" t="str">
        <f t="shared" si="65"/>
        <v>Pass-Rim/Wrap</v>
      </c>
      <c r="AN608" t="str">
        <f t="shared" si="67"/>
        <v>Offensive</v>
      </c>
      <c r="BD608" s="23"/>
      <c r="BF608" s="21"/>
    </row>
    <row r="609" spans="1:58" x14ac:dyDescent="0.2">
      <c r="A609">
        <v>308</v>
      </c>
      <c r="J609">
        <v>26</v>
      </c>
      <c r="T609">
        <v>1</v>
      </c>
      <c r="U609" s="8">
        <f t="shared" si="63"/>
        <v>1</v>
      </c>
      <c r="AD609" t="str">
        <f t="shared" si="62"/>
        <v>o</v>
      </c>
      <c r="AE609" t="str">
        <f t="shared" si="66"/>
        <v>Pass</v>
      </c>
      <c r="AF609" t="str">
        <f t="shared" si="64"/>
        <v>Pass_Completed</v>
      </c>
      <c r="AG609" t="str">
        <f t="shared" si="65"/>
        <v>Pass-Rim/Wrap</v>
      </c>
      <c r="AN609" t="str">
        <f t="shared" si="67"/>
        <v>Defensive</v>
      </c>
      <c r="BD609" s="23"/>
      <c r="BF609" s="21"/>
    </row>
    <row r="610" spans="1:58" x14ac:dyDescent="0.2">
      <c r="A610">
        <v>308</v>
      </c>
      <c r="J610">
        <v>8</v>
      </c>
      <c r="T610">
        <v>1</v>
      </c>
      <c r="U610" s="8">
        <f t="shared" si="63"/>
        <v>1</v>
      </c>
      <c r="AD610" t="str">
        <f t="shared" si="62"/>
        <v>o</v>
      </c>
      <c r="AE610" t="str">
        <f t="shared" si="66"/>
        <v>Pass</v>
      </c>
      <c r="AF610" t="str">
        <f t="shared" si="64"/>
        <v>Pass_Completed</v>
      </c>
      <c r="AG610" t="str">
        <f t="shared" si="65"/>
        <v>Pass-Rim/Wrap</v>
      </c>
      <c r="AN610" t="str">
        <f t="shared" si="67"/>
        <v>Defensive</v>
      </c>
      <c r="BD610" s="23"/>
      <c r="BF610" s="21"/>
    </row>
    <row r="611" spans="1:58" x14ac:dyDescent="0.2">
      <c r="A611">
        <v>309</v>
      </c>
      <c r="E611" s="5" t="s">
        <v>907</v>
      </c>
      <c r="F611" s="5" t="s">
        <v>838</v>
      </c>
      <c r="I611" t="s">
        <v>835</v>
      </c>
      <c r="J611">
        <v>9</v>
      </c>
      <c r="K611">
        <v>1</v>
      </c>
      <c r="L611" t="s">
        <v>845</v>
      </c>
      <c r="M611" t="s">
        <v>10</v>
      </c>
      <c r="N611" t="s">
        <v>190</v>
      </c>
      <c r="O611" t="s">
        <v>398</v>
      </c>
      <c r="P611" t="s">
        <v>688</v>
      </c>
      <c r="Q611" t="s">
        <v>708</v>
      </c>
      <c r="S611" t="s">
        <v>688</v>
      </c>
      <c r="U611" s="8">
        <f t="shared" si="63"/>
        <v>1</v>
      </c>
      <c r="AD611" t="str">
        <f t="shared" si="62"/>
        <v>e</v>
      </c>
      <c r="AE611" t="str">
        <f t="shared" si="66"/>
        <v>Turnover</v>
      </c>
      <c r="AF611" t="str">
        <f t="shared" si="64"/>
        <v>Turnover_Giveaway</v>
      </c>
      <c r="AG611" t="str">
        <f t="shared" si="65"/>
        <v>Giveaway-AttemptedZoneClear/Dump</v>
      </c>
      <c r="AN611" t="str">
        <f t="shared" si="67"/>
        <v>Offensive</v>
      </c>
      <c r="BD611" s="23"/>
      <c r="BF611" s="21"/>
    </row>
    <row r="612" spans="1:58" x14ac:dyDescent="0.2">
      <c r="A612">
        <v>310</v>
      </c>
      <c r="B612">
        <v>51</v>
      </c>
      <c r="E612" s="5" t="s">
        <v>907</v>
      </c>
      <c r="F612" s="5" t="s">
        <v>875</v>
      </c>
      <c r="I612" t="s">
        <v>840</v>
      </c>
      <c r="J612">
        <v>17</v>
      </c>
      <c r="K612">
        <v>1</v>
      </c>
      <c r="L612" t="s">
        <v>401</v>
      </c>
      <c r="M612" t="s">
        <v>257</v>
      </c>
      <c r="N612" t="s">
        <v>210</v>
      </c>
      <c r="O612" t="s">
        <v>93</v>
      </c>
      <c r="P612" t="s">
        <v>688</v>
      </c>
      <c r="U612" s="8">
        <f t="shared" si="63"/>
        <v>1</v>
      </c>
      <c r="AD612" t="str">
        <f t="shared" si="62"/>
        <v>e</v>
      </c>
      <c r="AE612" t="str">
        <f t="shared" si="66"/>
        <v>Zone_Entry_Exit</v>
      </c>
      <c r="AF612" t="str">
        <f t="shared" si="64"/>
        <v>Zone_Keepin</v>
      </c>
      <c r="AG612" t="str">
        <f t="shared" si="65"/>
        <v>Zone-KeepIn</v>
      </c>
      <c r="AN612" t="str">
        <f t="shared" si="67"/>
        <v>Offensive</v>
      </c>
      <c r="BD612" s="23"/>
      <c r="BF612" s="21"/>
    </row>
    <row r="613" spans="1:58" x14ac:dyDescent="0.2">
      <c r="A613">
        <v>311</v>
      </c>
      <c r="B613">
        <v>51</v>
      </c>
      <c r="E613" s="5" t="s">
        <v>907</v>
      </c>
      <c r="F613" s="5" t="s">
        <v>875</v>
      </c>
      <c r="I613" t="s">
        <v>840</v>
      </c>
      <c r="J613">
        <v>17</v>
      </c>
      <c r="K613">
        <v>1</v>
      </c>
      <c r="L613" t="s">
        <v>401</v>
      </c>
      <c r="M613" t="s">
        <v>15</v>
      </c>
      <c r="N613" t="s">
        <v>680</v>
      </c>
      <c r="P613" t="s">
        <v>688</v>
      </c>
      <c r="Q613" t="s">
        <v>694</v>
      </c>
      <c r="S613" t="s">
        <v>688</v>
      </c>
      <c r="T613">
        <v>1</v>
      </c>
      <c r="U613" s="8">
        <f t="shared" si="63"/>
        <v>1</v>
      </c>
      <c r="AD613" t="str">
        <f t="shared" si="62"/>
        <v>e</v>
      </c>
      <c r="AE613" t="str">
        <f t="shared" si="66"/>
        <v>Possession</v>
      </c>
      <c r="AF613" t="str">
        <f t="shared" si="64"/>
        <v>PuckRetrieval</v>
      </c>
      <c r="AG613" t="str">
        <f t="shared" si="65"/>
        <v/>
      </c>
      <c r="AN613" t="str">
        <f t="shared" si="67"/>
        <v>Offensive</v>
      </c>
      <c r="BD613" s="23"/>
      <c r="BF613" s="21"/>
    </row>
    <row r="614" spans="1:58" x14ac:dyDescent="0.2">
      <c r="A614">
        <v>311</v>
      </c>
      <c r="J614">
        <v>49</v>
      </c>
      <c r="T614">
        <v>1</v>
      </c>
      <c r="U614" s="8">
        <f t="shared" si="63"/>
        <v>1</v>
      </c>
      <c r="AD614" t="str">
        <f t="shared" si="62"/>
        <v>o</v>
      </c>
      <c r="AE614" t="str">
        <f t="shared" si="66"/>
        <v>Possession</v>
      </c>
      <c r="AF614" t="str">
        <f t="shared" si="64"/>
        <v>PuckRetrieval</v>
      </c>
      <c r="AG614" t="str">
        <f t="shared" si="65"/>
        <v/>
      </c>
      <c r="AN614" t="str">
        <f t="shared" si="67"/>
        <v>Defensive</v>
      </c>
      <c r="BD614" s="23"/>
      <c r="BF614" s="21"/>
    </row>
    <row r="615" spans="1:58" x14ac:dyDescent="0.2">
      <c r="A615">
        <v>312</v>
      </c>
      <c r="E615" s="5" t="s">
        <v>907</v>
      </c>
      <c r="F615" s="5" t="s">
        <v>842</v>
      </c>
      <c r="I615" t="s">
        <v>840</v>
      </c>
      <c r="J615">
        <v>17</v>
      </c>
      <c r="K615">
        <v>1</v>
      </c>
      <c r="L615" t="s">
        <v>401</v>
      </c>
      <c r="M615" t="s">
        <v>10</v>
      </c>
      <c r="N615" t="s">
        <v>190</v>
      </c>
      <c r="O615" t="s">
        <v>424</v>
      </c>
      <c r="P615" t="s">
        <v>688</v>
      </c>
      <c r="Q615" t="s">
        <v>664</v>
      </c>
      <c r="S615" t="s">
        <v>688</v>
      </c>
      <c r="T615">
        <v>1</v>
      </c>
      <c r="U615" s="8">
        <f t="shared" si="63"/>
        <v>1</v>
      </c>
      <c r="AD615" t="str">
        <f t="shared" si="62"/>
        <v>e</v>
      </c>
      <c r="AE615" t="str">
        <f t="shared" si="66"/>
        <v>Turnover</v>
      </c>
      <c r="AF615" t="str">
        <f t="shared" si="64"/>
        <v>Turnover_Giveaway</v>
      </c>
      <c r="AG615" t="str">
        <f t="shared" si="65"/>
        <v>Giveaway-DumpInZone</v>
      </c>
      <c r="AN615" t="str">
        <f t="shared" si="67"/>
        <v>Offensive</v>
      </c>
      <c r="BD615" s="23"/>
      <c r="BF615" s="21"/>
    </row>
    <row r="616" spans="1:58" x14ac:dyDescent="0.2">
      <c r="A616">
        <v>312</v>
      </c>
      <c r="J616">
        <v>49</v>
      </c>
      <c r="Q616" t="s">
        <v>696</v>
      </c>
      <c r="T616">
        <v>1</v>
      </c>
      <c r="U616" s="8">
        <f t="shared" si="63"/>
        <v>1</v>
      </c>
      <c r="AD616" t="str">
        <f t="shared" si="62"/>
        <v>o</v>
      </c>
      <c r="AE616" t="str">
        <f t="shared" si="66"/>
        <v>Turnover</v>
      </c>
      <c r="AF616" t="str">
        <f t="shared" si="64"/>
        <v>Turnover_Giveaway</v>
      </c>
      <c r="AG616" t="str">
        <f t="shared" si="65"/>
        <v>Giveaway-DumpInZone</v>
      </c>
      <c r="AN616" t="str">
        <f t="shared" si="67"/>
        <v>Defensive</v>
      </c>
      <c r="BD616" s="23"/>
      <c r="BF616" s="21"/>
    </row>
    <row r="617" spans="1:58" x14ac:dyDescent="0.2">
      <c r="A617">
        <v>313</v>
      </c>
      <c r="B617">
        <v>52</v>
      </c>
      <c r="E617" s="5" t="s">
        <v>907</v>
      </c>
      <c r="F617" s="5" t="s">
        <v>886</v>
      </c>
      <c r="I617" t="s">
        <v>835</v>
      </c>
      <c r="J617">
        <v>61</v>
      </c>
      <c r="K617">
        <v>1</v>
      </c>
      <c r="L617" t="s">
        <v>845</v>
      </c>
      <c r="M617" t="s">
        <v>257</v>
      </c>
      <c r="N617" t="s">
        <v>201</v>
      </c>
      <c r="O617" t="s">
        <v>92</v>
      </c>
      <c r="P617" t="s">
        <v>688</v>
      </c>
      <c r="T617">
        <v>1</v>
      </c>
      <c r="U617" s="8">
        <f t="shared" si="63"/>
        <v>1</v>
      </c>
      <c r="AD617" t="str">
        <f t="shared" si="62"/>
        <v>e</v>
      </c>
      <c r="AE617" t="str">
        <f t="shared" si="66"/>
        <v>Zone_Entry_Exit</v>
      </c>
      <c r="AF617" t="str">
        <f t="shared" si="64"/>
        <v>Zone_Exit</v>
      </c>
      <c r="AG617" t="str">
        <f t="shared" si="65"/>
        <v>ZoneExit-Clear</v>
      </c>
      <c r="AN617" t="str">
        <f t="shared" si="67"/>
        <v>Offensive</v>
      </c>
      <c r="BD617" s="23"/>
      <c r="BF617" s="21"/>
    </row>
    <row r="618" spans="1:58" x14ac:dyDescent="0.2">
      <c r="A618">
        <v>313</v>
      </c>
      <c r="B618">
        <v>52</v>
      </c>
      <c r="J618">
        <v>17</v>
      </c>
      <c r="Q618" t="s">
        <v>704</v>
      </c>
      <c r="S618" t="s">
        <v>688</v>
      </c>
      <c r="T618">
        <v>1</v>
      </c>
      <c r="U618" s="8">
        <f t="shared" si="63"/>
        <v>1</v>
      </c>
      <c r="AD618" t="str">
        <f t="shared" si="62"/>
        <v>o</v>
      </c>
      <c r="AE618" t="str">
        <f t="shared" si="66"/>
        <v>Zone_Entry_Exit</v>
      </c>
      <c r="AF618" t="str">
        <f t="shared" si="64"/>
        <v>Zone_Exit</v>
      </c>
      <c r="AG618" t="str">
        <f t="shared" si="65"/>
        <v>ZoneExit-Clear</v>
      </c>
      <c r="AN618" t="str">
        <f t="shared" si="67"/>
        <v>Defensive</v>
      </c>
      <c r="BD618" s="23"/>
      <c r="BF618" s="21"/>
    </row>
    <row r="619" spans="1:58" x14ac:dyDescent="0.2">
      <c r="A619">
        <v>314</v>
      </c>
      <c r="B619">
        <v>52</v>
      </c>
      <c r="E619" s="5" t="s">
        <v>907</v>
      </c>
      <c r="F619" s="5" t="s">
        <v>886</v>
      </c>
      <c r="I619" t="s">
        <v>835</v>
      </c>
      <c r="J619">
        <v>61</v>
      </c>
      <c r="K619">
        <v>1</v>
      </c>
      <c r="L619" t="s">
        <v>845</v>
      </c>
      <c r="M619" t="s">
        <v>10</v>
      </c>
      <c r="N619" t="s">
        <v>190</v>
      </c>
      <c r="O619" t="s">
        <v>387</v>
      </c>
      <c r="P619" t="s">
        <v>688</v>
      </c>
      <c r="T619">
        <v>1</v>
      </c>
      <c r="U619" s="8">
        <f t="shared" si="63"/>
        <v>1</v>
      </c>
      <c r="AD619" t="str">
        <f t="shared" si="62"/>
        <v>e</v>
      </c>
      <c r="AE619" t="str">
        <f t="shared" si="66"/>
        <v>Turnover</v>
      </c>
      <c r="AF619" t="str">
        <f t="shared" si="64"/>
        <v>Turnover_Giveaway</v>
      </c>
      <c r="AG619" t="str">
        <f t="shared" si="65"/>
        <v>Giveaway-ZoneClear/Dump</v>
      </c>
      <c r="AN619" t="str">
        <f t="shared" si="67"/>
        <v>Offensive</v>
      </c>
      <c r="BD619" s="23"/>
      <c r="BF619" s="21"/>
    </row>
    <row r="620" spans="1:58" x14ac:dyDescent="0.2">
      <c r="A620">
        <v>314</v>
      </c>
      <c r="B620">
        <v>52</v>
      </c>
      <c r="J620">
        <v>17</v>
      </c>
      <c r="Q620" t="s">
        <v>704</v>
      </c>
      <c r="S620" t="s">
        <v>688</v>
      </c>
      <c r="T620">
        <v>1</v>
      </c>
      <c r="U620" s="8">
        <f t="shared" si="63"/>
        <v>1</v>
      </c>
      <c r="AD620" t="str">
        <f t="shared" si="62"/>
        <v>o</v>
      </c>
      <c r="AE620" t="str">
        <f t="shared" si="66"/>
        <v>Turnover</v>
      </c>
      <c r="AF620" t="str">
        <f t="shared" si="64"/>
        <v>Turnover_Giveaway</v>
      </c>
      <c r="AG620" t="str">
        <f t="shared" si="65"/>
        <v>Giveaway-ZoneClear/Dump</v>
      </c>
      <c r="AN620" t="str">
        <f t="shared" si="67"/>
        <v>Defensive</v>
      </c>
      <c r="BD620" s="23"/>
      <c r="BF620" s="21"/>
    </row>
    <row r="621" spans="1:58" x14ac:dyDescent="0.2">
      <c r="A621">
        <v>315</v>
      </c>
      <c r="E621" s="5" t="s">
        <v>907</v>
      </c>
      <c r="F621" s="5" t="s">
        <v>876</v>
      </c>
      <c r="I621" t="s">
        <v>840</v>
      </c>
      <c r="J621">
        <v>94</v>
      </c>
      <c r="K621">
        <v>1</v>
      </c>
      <c r="L621" t="s">
        <v>839</v>
      </c>
      <c r="M621" t="s">
        <v>15</v>
      </c>
      <c r="N621" t="s">
        <v>680</v>
      </c>
      <c r="P621" t="s">
        <v>688</v>
      </c>
      <c r="Q621" t="s">
        <v>694</v>
      </c>
      <c r="S621" t="s">
        <v>688</v>
      </c>
      <c r="U621" s="8">
        <f t="shared" si="63"/>
        <v>1</v>
      </c>
      <c r="AD621" t="str">
        <f t="shared" si="62"/>
        <v>e</v>
      </c>
      <c r="AE621" t="str">
        <f t="shared" si="66"/>
        <v>Possession</v>
      </c>
      <c r="AF621" t="str">
        <f t="shared" si="64"/>
        <v>PuckRetrieval</v>
      </c>
      <c r="AG621" t="str">
        <f t="shared" si="65"/>
        <v/>
      </c>
      <c r="AN621" t="str">
        <f t="shared" si="67"/>
        <v>Offensive</v>
      </c>
      <c r="BD621" s="23"/>
      <c r="BF621" s="21"/>
    </row>
    <row r="622" spans="1:58" x14ac:dyDescent="0.2">
      <c r="A622">
        <v>316</v>
      </c>
      <c r="E622" s="5" t="s">
        <v>907</v>
      </c>
      <c r="F622" s="5" t="s">
        <v>846</v>
      </c>
      <c r="I622" t="s">
        <v>840</v>
      </c>
      <c r="J622">
        <v>94</v>
      </c>
      <c r="K622">
        <v>1</v>
      </c>
      <c r="L622" t="s">
        <v>839</v>
      </c>
      <c r="M622" t="s">
        <v>8</v>
      </c>
      <c r="N622" t="s">
        <v>189</v>
      </c>
      <c r="O622" t="s">
        <v>70</v>
      </c>
      <c r="P622" t="s">
        <v>689</v>
      </c>
      <c r="Q622" t="s">
        <v>749</v>
      </c>
      <c r="S622" t="s">
        <v>689</v>
      </c>
      <c r="U622" s="8">
        <f t="shared" si="63"/>
        <v>1</v>
      </c>
      <c r="AD622" t="str">
        <f t="shared" si="62"/>
        <v>e</v>
      </c>
      <c r="AE622" t="str">
        <f t="shared" si="66"/>
        <v>Pass</v>
      </c>
      <c r="AF622" t="str">
        <f t="shared" si="64"/>
        <v>Pass_Completed</v>
      </c>
      <c r="AG622" t="str">
        <f t="shared" si="65"/>
        <v>Pass-Forehand</v>
      </c>
      <c r="AN622" t="str">
        <f t="shared" si="67"/>
        <v>Offensive</v>
      </c>
      <c r="BD622" s="23"/>
      <c r="BF622" s="21"/>
    </row>
    <row r="623" spans="1:58" x14ac:dyDescent="0.2">
      <c r="A623">
        <v>316</v>
      </c>
      <c r="J623">
        <v>19</v>
      </c>
      <c r="K623">
        <v>1</v>
      </c>
      <c r="T623">
        <v>1</v>
      </c>
      <c r="U623" s="8">
        <f t="shared" si="63"/>
        <v>1</v>
      </c>
      <c r="AD623" t="str">
        <f t="shared" si="62"/>
        <v>e</v>
      </c>
      <c r="AE623" t="str">
        <f t="shared" si="66"/>
        <v>Pass</v>
      </c>
      <c r="AF623" t="str">
        <f t="shared" si="64"/>
        <v>Pass_Completed</v>
      </c>
      <c r="AG623" t="str">
        <f t="shared" si="65"/>
        <v>Pass-Forehand</v>
      </c>
      <c r="AN623" t="str">
        <f t="shared" si="67"/>
        <v>Offensive</v>
      </c>
      <c r="BD623" s="23"/>
      <c r="BF623" s="21"/>
    </row>
    <row r="624" spans="1:58" x14ac:dyDescent="0.2">
      <c r="A624">
        <v>316</v>
      </c>
      <c r="J624">
        <v>9</v>
      </c>
      <c r="Q624" t="s">
        <v>765</v>
      </c>
      <c r="T624">
        <v>1</v>
      </c>
      <c r="U624" s="8">
        <f t="shared" si="63"/>
        <v>1</v>
      </c>
      <c r="AD624" t="str">
        <f t="shared" si="62"/>
        <v>o</v>
      </c>
      <c r="AE624" t="str">
        <f t="shared" si="66"/>
        <v>Pass</v>
      </c>
      <c r="AF624" t="str">
        <f t="shared" si="64"/>
        <v>Pass_Completed</v>
      </c>
      <c r="AG624" t="str">
        <f t="shared" si="65"/>
        <v>Pass-Forehand</v>
      </c>
      <c r="AN624" t="str">
        <f t="shared" si="67"/>
        <v>Defensive</v>
      </c>
      <c r="BD624" s="23"/>
      <c r="BF624" s="21"/>
    </row>
    <row r="625" spans="1:58" x14ac:dyDescent="0.2">
      <c r="A625">
        <v>317</v>
      </c>
      <c r="E625" s="5" t="s">
        <v>907</v>
      </c>
      <c r="F625" s="5" t="s">
        <v>844</v>
      </c>
      <c r="I625" t="s">
        <v>835</v>
      </c>
      <c r="J625">
        <v>9</v>
      </c>
      <c r="K625">
        <v>1</v>
      </c>
      <c r="L625" t="s">
        <v>839</v>
      </c>
      <c r="M625" t="s">
        <v>10</v>
      </c>
      <c r="N625" t="s">
        <v>200</v>
      </c>
      <c r="O625" t="s">
        <v>81</v>
      </c>
      <c r="P625" t="s">
        <v>689</v>
      </c>
      <c r="Q625" t="s">
        <v>775</v>
      </c>
      <c r="S625" t="s">
        <v>689</v>
      </c>
      <c r="T625">
        <v>1</v>
      </c>
      <c r="U625" s="8">
        <f t="shared" si="63"/>
        <v>1</v>
      </c>
      <c r="AD625" t="str">
        <f t="shared" si="62"/>
        <v>e</v>
      </c>
      <c r="AE625" t="str">
        <f t="shared" si="66"/>
        <v>Turnover</v>
      </c>
      <c r="AF625" t="str">
        <f t="shared" si="64"/>
        <v>Turnover_Takeaway</v>
      </c>
      <c r="AG625" t="str">
        <f t="shared" si="65"/>
        <v>Takeaway-BattleWon</v>
      </c>
      <c r="AN625" t="str">
        <f t="shared" si="67"/>
        <v>Defensive</v>
      </c>
      <c r="BD625" s="23"/>
      <c r="BF625" s="21"/>
    </row>
    <row r="626" spans="1:58" x14ac:dyDescent="0.2">
      <c r="A626">
        <v>317</v>
      </c>
      <c r="J626">
        <v>19</v>
      </c>
      <c r="Q626" t="s">
        <v>711</v>
      </c>
      <c r="S626" t="s">
        <v>688</v>
      </c>
      <c r="T626">
        <v>1</v>
      </c>
      <c r="U626" s="8">
        <f t="shared" si="63"/>
        <v>1</v>
      </c>
      <c r="AD626" t="str">
        <f t="shared" si="62"/>
        <v>o</v>
      </c>
      <c r="AE626" t="str">
        <f t="shared" si="66"/>
        <v>Turnover</v>
      </c>
      <c r="AF626" t="str">
        <f t="shared" si="64"/>
        <v>Turnover_Takeaway</v>
      </c>
      <c r="AG626" t="str">
        <f t="shared" si="65"/>
        <v>Takeaway-BattleWon</v>
      </c>
      <c r="AN626" t="str">
        <f t="shared" si="67"/>
        <v>Offensive</v>
      </c>
      <c r="BD626" s="23"/>
      <c r="BF626" s="21"/>
    </row>
    <row r="627" spans="1:58" x14ac:dyDescent="0.2">
      <c r="A627">
        <v>318</v>
      </c>
      <c r="E627" s="5" t="s">
        <v>907</v>
      </c>
      <c r="F627" s="5" t="s">
        <v>847</v>
      </c>
      <c r="I627" t="s">
        <v>835</v>
      </c>
      <c r="J627">
        <v>9</v>
      </c>
      <c r="K627">
        <v>1</v>
      </c>
      <c r="L627" t="s">
        <v>839</v>
      </c>
      <c r="M627" t="s">
        <v>8</v>
      </c>
      <c r="N627" t="s">
        <v>189</v>
      </c>
      <c r="O627" t="s">
        <v>70</v>
      </c>
      <c r="P627" t="s">
        <v>689</v>
      </c>
      <c r="Q627" t="s">
        <v>749</v>
      </c>
      <c r="U627" s="8">
        <f t="shared" si="63"/>
        <v>1</v>
      </c>
      <c r="AD627" t="str">
        <f t="shared" si="62"/>
        <v>e</v>
      </c>
      <c r="AE627" t="str">
        <f t="shared" si="66"/>
        <v>Pass</v>
      </c>
      <c r="AF627" t="str">
        <f t="shared" si="64"/>
        <v>Pass_Completed</v>
      </c>
      <c r="AG627" t="str">
        <f t="shared" si="65"/>
        <v>Pass-Forehand</v>
      </c>
      <c r="AN627" t="str">
        <f t="shared" si="67"/>
        <v>Offensive</v>
      </c>
      <c r="BD627" s="23"/>
      <c r="BF627" s="21"/>
    </row>
    <row r="628" spans="1:58" x14ac:dyDescent="0.2">
      <c r="A628">
        <v>318</v>
      </c>
      <c r="J628">
        <v>49</v>
      </c>
      <c r="K628">
        <v>1</v>
      </c>
      <c r="U628" s="8">
        <f t="shared" si="63"/>
        <v>1</v>
      </c>
      <c r="AD628" t="str">
        <f t="shared" si="62"/>
        <v>e</v>
      </c>
      <c r="AE628" t="str">
        <f t="shared" si="66"/>
        <v>Pass</v>
      </c>
      <c r="AF628" t="str">
        <f t="shared" si="64"/>
        <v>Pass_Completed</v>
      </c>
      <c r="AG628" t="str">
        <f t="shared" si="65"/>
        <v>Pass-Forehand</v>
      </c>
      <c r="AN628" t="str">
        <f t="shared" si="67"/>
        <v>Offensive</v>
      </c>
      <c r="BD628" s="23"/>
      <c r="BF628" s="21"/>
    </row>
    <row r="629" spans="1:58" x14ac:dyDescent="0.2">
      <c r="A629">
        <v>319</v>
      </c>
      <c r="E629" s="5" t="s">
        <v>907</v>
      </c>
      <c r="F629" s="5" t="s">
        <v>877</v>
      </c>
      <c r="G629" s="5" t="s">
        <v>907</v>
      </c>
      <c r="H629" s="7" t="s">
        <v>848</v>
      </c>
      <c r="I629" t="s">
        <v>835</v>
      </c>
      <c r="J629">
        <v>49</v>
      </c>
      <c r="K629">
        <v>1</v>
      </c>
      <c r="L629" t="s">
        <v>839</v>
      </c>
      <c r="M629" t="s">
        <v>15</v>
      </c>
      <c r="U629" s="8">
        <f t="shared" si="63"/>
        <v>1</v>
      </c>
      <c r="AD629" t="str">
        <f t="shared" si="62"/>
        <v>e</v>
      </c>
      <c r="AE629" t="str">
        <f t="shared" si="66"/>
        <v>Possession</v>
      </c>
      <c r="AF629" t="str">
        <f t="shared" si="64"/>
        <v/>
      </c>
      <c r="AG629" t="str">
        <f t="shared" si="65"/>
        <v/>
      </c>
      <c r="AN629" t="str">
        <f t="shared" si="67"/>
        <v>Offensive</v>
      </c>
      <c r="BD629" s="23"/>
      <c r="BF629" s="21"/>
    </row>
    <row r="630" spans="1:58" x14ac:dyDescent="0.2">
      <c r="A630">
        <v>320</v>
      </c>
      <c r="B630">
        <v>53</v>
      </c>
      <c r="E630" s="5" t="s">
        <v>907</v>
      </c>
      <c r="F630" s="5" t="s">
        <v>848</v>
      </c>
      <c r="I630" t="s">
        <v>835</v>
      </c>
      <c r="J630">
        <v>49</v>
      </c>
      <c r="K630">
        <v>1</v>
      </c>
      <c r="L630" t="s">
        <v>839</v>
      </c>
      <c r="M630" t="s">
        <v>8</v>
      </c>
      <c r="N630" t="s">
        <v>216</v>
      </c>
      <c r="O630" t="s">
        <v>69</v>
      </c>
      <c r="P630" t="s">
        <v>688</v>
      </c>
      <c r="Q630" t="s">
        <v>709</v>
      </c>
      <c r="S630" t="s">
        <v>688</v>
      </c>
      <c r="U630" s="8">
        <f t="shared" si="63"/>
        <v>1</v>
      </c>
      <c r="AD630" t="str">
        <f t="shared" si="62"/>
        <v>e</v>
      </c>
      <c r="AE630" t="str">
        <f t="shared" si="66"/>
        <v>Pass</v>
      </c>
      <c r="AF630" t="str">
        <f t="shared" si="64"/>
        <v>Pass_Intercepted</v>
      </c>
      <c r="AG630" t="str">
        <f t="shared" si="65"/>
        <v>Pass-Backhand</v>
      </c>
      <c r="AN630" t="str">
        <f t="shared" si="67"/>
        <v>Offensive</v>
      </c>
      <c r="BD630" s="23"/>
      <c r="BF630" s="21"/>
    </row>
    <row r="631" spans="1:58" x14ac:dyDescent="0.2">
      <c r="A631">
        <v>320</v>
      </c>
      <c r="B631">
        <v>53</v>
      </c>
      <c r="J631">
        <v>61</v>
      </c>
      <c r="K631">
        <v>1</v>
      </c>
      <c r="U631" s="8">
        <f t="shared" si="63"/>
        <v>1</v>
      </c>
      <c r="AD631" t="str">
        <f t="shared" si="62"/>
        <v>e</v>
      </c>
      <c r="AE631" t="str">
        <f t="shared" si="66"/>
        <v>Pass</v>
      </c>
      <c r="AF631" t="str">
        <f t="shared" si="64"/>
        <v>Pass_Intercepted</v>
      </c>
      <c r="AG631" t="str">
        <f t="shared" si="65"/>
        <v>Pass-Backhand</v>
      </c>
      <c r="AN631" t="str">
        <f t="shared" si="67"/>
        <v>Offensive</v>
      </c>
      <c r="BD631" s="23"/>
      <c r="BF631" s="21"/>
    </row>
    <row r="632" spans="1:58" x14ac:dyDescent="0.2">
      <c r="A632">
        <v>320</v>
      </c>
      <c r="B632">
        <v>53</v>
      </c>
      <c r="J632">
        <v>17</v>
      </c>
      <c r="Q632" t="s">
        <v>700</v>
      </c>
      <c r="S632" t="s">
        <v>689</v>
      </c>
      <c r="U632" s="8">
        <f t="shared" si="63"/>
        <v>1</v>
      </c>
      <c r="AD632" t="str">
        <f t="shared" si="62"/>
        <v>o</v>
      </c>
      <c r="AE632" t="str">
        <f t="shared" si="66"/>
        <v>Pass</v>
      </c>
      <c r="AF632" t="str">
        <f t="shared" si="64"/>
        <v>Pass_Intercepted</v>
      </c>
      <c r="AG632" t="str">
        <f t="shared" si="65"/>
        <v>Pass-Backhand</v>
      </c>
      <c r="AN632" t="str">
        <f t="shared" si="67"/>
        <v>Defensive</v>
      </c>
      <c r="BD632" s="23"/>
      <c r="BF632" s="21"/>
    </row>
    <row r="633" spans="1:58" x14ac:dyDescent="0.2">
      <c r="A633">
        <v>321</v>
      </c>
      <c r="B633">
        <v>53</v>
      </c>
      <c r="E633" s="5" t="s">
        <v>907</v>
      </c>
      <c r="F633" s="5" t="s">
        <v>848</v>
      </c>
      <c r="I633" t="s">
        <v>835</v>
      </c>
      <c r="J633">
        <v>49</v>
      </c>
      <c r="K633">
        <v>1</v>
      </c>
      <c r="L633" t="s">
        <v>839</v>
      </c>
      <c r="M633" t="s">
        <v>257</v>
      </c>
      <c r="N633" t="s">
        <v>191</v>
      </c>
      <c r="O633" t="s">
        <v>423</v>
      </c>
      <c r="P633" t="s">
        <v>688</v>
      </c>
      <c r="Q633" t="s">
        <v>709</v>
      </c>
      <c r="S633" t="s">
        <v>688</v>
      </c>
      <c r="U633" s="8">
        <f t="shared" si="63"/>
        <v>1</v>
      </c>
      <c r="AD633" t="str">
        <f t="shared" si="62"/>
        <v>e</v>
      </c>
      <c r="AE633" t="str">
        <f t="shared" si="66"/>
        <v>Zone_Entry_Exit</v>
      </c>
      <c r="AF633" t="str">
        <f t="shared" si="64"/>
        <v>Zone_Entry</v>
      </c>
      <c r="AG633" t="str">
        <f t="shared" si="65"/>
        <v>ZoneEntry-PassMiss/Misplay</v>
      </c>
      <c r="AN633" t="str">
        <f t="shared" si="67"/>
        <v>Offensive</v>
      </c>
      <c r="BD633" s="23"/>
      <c r="BF633" s="21"/>
    </row>
    <row r="634" spans="1:58" x14ac:dyDescent="0.2">
      <c r="A634">
        <v>321</v>
      </c>
      <c r="B634">
        <v>53</v>
      </c>
      <c r="J634">
        <v>61</v>
      </c>
      <c r="K634">
        <v>1</v>
      </c>
      <c r="U634" s="8">
        <f t="shared" si="63"/>
        <v>1</v>
      </c>
      <c r="AD634" t="str">
        <f t="shared" si="62"/>
        <v>e</v>
      </c>
      <c r="AE634" t="str">
        <f t="shared" si="66"/>
        <v>Zone_Entry_Exit</v>
      </c>
      <c r="AF634" t="str">
        <f t="shared" si="64"/>
        <v>Zone_Entry</v>
      </c>
      <c r="AG634" t="str">
        <f t="shared" si="65"/>
        <v>ZoneEntry-PassMiss/Misplay</v>
      </c>
      <c r="AN634" t="str">
        <f t="shared" si="67"/>
        <v>Offensive</v>
      </c>
      <c r="BD634" s="23"/>
      <c r="BF634" s="21"/>
    </row>
    <row r="635" spans="1:58" x14ac:dyDescent="0.2">
      <c r="A635">
        <v>321</v>
      </c>
      <c r="B635">
        <v>53</v>
      </c>
      <c r="J635">
        <v>17</v>
      </c>
      <c r="Q635" t="s">
        <v>700</v>
      </c>
      <c r="S635" t="s">
        <v>689</v>
      </c>
      <c r="U635" s="8">
        <f t="shared" si="63"/>
        <v>1</v>
      </c>
      <c r="AD635" t="str">
        <f t="shared" si="62"/>
        <v>o</v>
      </c>
      <c r="AE635" t="str">
        <f t="shared" si="66"/>
        <v>Zone_Entry_Exit</v>
      </c>
      <c r="AF635" t="str">
        <f t="shared" si="64"/>
        <v>Zone_Entry</v>
      </c>
      <c r="AG635" t="str">
        <f t="shared" si="65"/>
        <v>ZoneEntry-PassMiss/Misplay</v>
      </c>
      <c r="AN635" t="str">
        <f t="shared" si="67"/>
        <v>Defensive</v>
      </c>
      <c r="BD635" s="23"/>
      <c r="BF635" s="21"/>
    </row>
    <row r="636" spans="1:58" x14ac:dyDescent="0.2">
      <c r="A636">
        <v>322</v>
      </c>
      <c r="B636">
        <v>53</v>
      </c>
      <c r="E636" s="5" t="s">
        <v>907</v>
      </c>
      <c r="F636" s="5" t="s">
        <v>848</v>
      </c>
      <c r="I636" t="s">
        <v>835</v>
      </c>
      <c r="J636">
        <v>49</v>
      </c>
      <c r="K636">
        <v>1</v>
      </c>
      <c r="L636" t="s">
        <v>839</v>
      </c>
      <c r="M636" t="s">
        <v>10</v>
      </c>
      <c r="N636" t="s">
        <v>190</v>
      </c>
      <c r="O636" t="s">
        <v>75</v>
      </c>
      <c r="U636" s="8">
        <f t="shared" si="63"/>
        <v>1</v>
      </c>
      <c r="AD636" t="str">
        <f t="shared" si="62"/>
        <v>e</v>
      </c>
      <c r="AE636" t="str">
        <f t="shared" si="66"/>
        <v>Turnover</v>
      </c>
      <c r="AF636" t="str">
        <f t="shared" si="64"/>
        <v>Turnover_Giveaway</v>
      </c>
      <c r="AG636" t="str">
        <f t="shared" si="65"/>
        <v>Giveaway-PassIntercepted</v>
      </c>
      <c r="AN636" t="str">
        <f t="shared" si="67"/>
        <v>Offensive</v>
      </c>
      <c r="BD636" s="23"/>
      <c r="BF636" s="21"/>
    </row>
    <row r="637" spans="1:58" x14ac:dyDescent="0.2">
      <c r="A637">
        <v>322</v>
      </c>
      <c r="B637">
        <v>53</v>
      </c>
      <c r="J637">
        <v>61</v>
      </c>
      <c r="K637">
        <v>1</v>
      </c>
      <c r="U637" s="8">
        <f t="shared" si="63"/>
        <v>1</v>
      </c>
      <c r="AD637" t="str">
        <f t="shared" si="62"/>
        <v>e</v>
      </c>
      <c r="AE637" t="str">
        <f t="shared" si="66"/>
        <v>Turnover</v>
      </c>
      <c r="AF637" t="str">
        <f t="shared" si="64"/>
        <v>Turnover_Giveaway</v>
      </c>
      <c r="AG637" t="str">
        <f t="shared" si="65"/>
        <v>Giveaway-PassIntercepted</v>
      </c>
      <c r="AN637" t="str">
        <f t="shared" si="67"/>
        <v>Offensive</v>
      </c>
      <c r="BD637" s="23"/>
      <c r="BF637" s="21"/>
    </row>
    <row r="638" spans="1:58" x14ac:dyDescent="0.2">
      <c r="A638">
        <v>322</v>
      </c>
      <c r="B638">
        <v>53</v>
      </c>
      <c r="J638">
        <v>17</v>
      </c>
      <c r="Q638" t="s">
        <v>700</v>
      </c>
      <c r="S638" t="s">
        <v>689</v>
      </c>
      <c r="U638" s="8">
        <f t="shared" si="63"/>
        <v>1</v>
      </c>
      <c r="AD638" t="str">
        <f t="shared" si="62"/>
        <v>o</v>
      </c>
      <c r="AE638" t="str">
        <f t="shared" si="66"/>
        <v>Turnover</v>
      </c>
      <c r="AF638" t="str">
        <f t="shared" si="64"/>
        <v>Turnover_Giveaway</v>
      </c>
      <c r="AG638" t="str">
        <f t="shared" si="65"/>
        <v>Giveaway-PassIntercepted</v>
      </c>
      <c r="AN638" t="str">
        <f t="shared" si="67"/>
        <v>Defensive</v>
      </c>
      <c r="BD638" s="23"/>
      <c r="BF638" s="21"/>
    </row>
    <row r="639" spans="1:58" x14ac:dyDescent="0.2">
      <c r="A639">
        <v>323</v>
      </c>
      <c r="E639" s="5" t="s">
        <v>907</v>
      </c>
      <c r="F639" s="5" t="s">
        <v>878</v>
      </c>
      <c r="G639" s="5" t="s">
        <v>907</v>
      </c>
      <c r="H639" s="7" t="s">
        <v>897</v>
      </c>
      <c r="I639" t="s">
        <v>840</v>
      </c>
      <c r="J639">
        <v>17</v>
      </c>
      <c r="K639">
        <v>1</v>
      </c>
      <c r="L639" t="s">
        <v>845</v>
      </c>
      <c r="M639" t="s">
        <v>15</v>
      </c>
      <c r="T639">
        <v>1</v>
      </c>
      <c r="U639" s="8">
        <f t="shared" si="63"/>
        <v>1</v>
      </c>
      <c r="AD639" t="str">
        <f t="shared" si="62"/>
        <v>e</v>
      </c>
      <c r="AE639" t="str">
        <f t="shared" si="66"/>
        <v>Possession</v>
      </c>
      <c r="AF639" t="str">
        <f t="shared" si="64"/>
        <v/>
      </c>
      <c r="AG639" t="str">
        <f t="shared" si="65"/>
        <v/>
      </c>
      <c r="AN639" t="str">
        <f t="shared" si="67"/>
        <v>Offensive</v>
      </c>
      <c r="BD639" s="23"/>
      <c r="BF639" s="21"/>
    </row>
    <row r="640" spans="1:58" x14ac:dyDescent="0.2">
      <c r="A640">
        <v>323</v>
      </c>
      <c r="J640">
        <v>49</v>
      </c>
      <c r="T640">
        <v>1</v>
      </c>
      <c r="U640" s="8">
        <f t="shared" si="63"/>
        <v>1</v>
      </c>
      <c r="AD640" t="str">
        <f t="shared" si="62"/>
        <v>o</v>
      </c>
      <c r="AE640" t="str">
        <f t="shared" si="66"/>
        <v>Possession</v>
      </c>
      <c r="AF640" t="str">
        <f t="shared" si="64"/>
        <v/>
      </c>
      <c r="AG640" t="str">
        <f t="shared" si="65"/>
        <v/>
      </c>
      <c r="AN640" t="str">
        <f t="shared" si="67"/>
        <v>Defensive</v>
      </c>
      <c r="BD640" s="23"/>
      <c r="BF640" s="21"/>
    </row>
    <row r="641" spans="1:58" x14ac:dyDescent="0.2">
      <c r="A641">
        <v>324</v>
      </c>
      <c r="E641" s="5" t="s">
        <v>907</v>
      </c>
      <c r="F641" s="5" t="s">
        <v>897</v>
      </c>
      <c r="I641" t="s">
        <v>835</v>
      </c>
      <c r="J641">
        <v>49</v>
      </c>
      <c r="K641">
        <v>1</v>
      </c>
      <c r="L641" t="s">
        <v>401</v>
      </c>
      <c r="M641" t="s">
        <v>10</v>
      </c>
      <c r="N641" t="s">
        <v>200</v>
      </c>
      <c r="O641" t="s">
        <v>82</v>
      </c>
      <c r="P641" t="s">
        <v>689</v>
      </c>
      <c r="Q641" t="s">
        <v>695</v>
      </c>
      <c r="S641" t="s">
        <v>689</v>
      </c>
      <c r="T641">
        <v>1</v>
      </c>
      <c r="U641" s="8">
        <f t="shared" si="63"/>
        <v>1</v>
      </c>
      <c r="AD641" t="str">
        <f t="shared" si="62"/>
        <v>e</v>
      </c>
      <c r="AE641" t="str">
        <f t="shared" si="66"/>
        <v>Turnover</v>
      </c>
      <c r="AF641" t="str">
        <f t="shared" si="64"/>
        <v>Turnover_Takeaway</v>
      </c>
      <c r="AG641" t="str">
        <f t="shared" si="65"/>
        <v>Takeaway-PokeCheck</v>
      </c>
      <c r="AN641" t="str">
        <f t="shared" si="67"/>
        <v>Defensive</v>
      </c>
      <c r="BD641" s="23"/>
      <c r="BF641" s="21"/>
    </row>
    <row r="642" spans="1:58" x14ac:dyDescent="0.2">
      <c r="A642">
        <v>324</v>
      </c>
      <c r="J642">
        <v>17</v>
      </c>
      <c r="T642">
        <v>1</v>
      </c>
      <c r="U642" s="8">
        <f t="shared" si="63"/>
        <v>1</v>
      </c>
      <c r="AD642" t="str">
        <f t="shared" ref="AD642:AD705" si="68">IF(K642="x","",IF(K642=1,"e","o"))</f>
        <v>o</v>
      </c>
      <c r="AE642" t="str">
        <f t="shared" si="66"/>
        <v>Turnover</v>
      </c>
      <c r="AF642" t="str">
        <f t="shared" si="64"/>
        <v>Turnover_Takeaway</v>
      </c>
      <c r="AG642" t="str">
        <f t="shared" si="65"/>
        <v>Takeaway-PokeCheck</v>
      </c>
      <c r="AN642" t="str">
        <f t="shared" si="67"/>
        <v>Offensive</v>
      </c>
      <c r="BD642" s="23"/>
      <c r="BF642" s="21"/>
    </row>
    <row r="643" spans="1:58" x14ac:dyDescent="0.2">
      <c r="A643">
        <v>325</v>
      </c>
      <c r="E643" s="5" t="s">
        <v>907</v>
      </c>
      <c r="F643" s="5" t="s">
        <v>880</v>
      </c>
      <c r="G643" s="5" t="s">
        <v>907</v>
      </c>
      <c r="H643" s="7" t="s">
        <v>850</v>
      </c>
      <c r="I643" t="s">
        <v>835</v>
      </c>
      <c r="J643">
        <v>55</v>
      </c>
      <c r="K643">
        <v>1</v>
      </c>
      <c r="L643" t="s">
        <v>401</v>
      </c>
      <c r="M643" t="s">
        <v>15</v>
      </c>
      <c r="N643" t="s">
        <v>680</v>
      </c>
      <c r="P643" t="s">
        <v>689</v>
      </c>
      <c r="Q643" t="s">
        <v>694</v>
      </c>
      <c r="S643" t="s">
        <v>689</v>
      </c>
      <c r="U643" s="8">
        <f t="shared" ref="U643:U706" si="69">IF(M643="Intermission",U642+1,U642)</f>
        <v>1</v>
      </c>
      <c r="AD643" t="str">
        <f t="shared" si="68"/>
        <v>e</v>
      </c>
      <c r="AE643" t="str">
        <f t="shared" si="66"/>
        <v>Possession</v>
      </c>
      <c r="AF643" t="str">
        <f t="shared" ref="AF643:AF706" si="70">IF(N643&lt;&gt;"",N643,IF($A643=$A642,AF642,""))</f>
        <v>PuckRetrieval</v>
      </c>
      <c r="AG643" t="str">
        <f t="shared" ref="AG643:AG706" si="71">IF(O643&lt;&gt;"",O643,IF($A643=$A642,AG642,""))</f>
        <v/>
      </c>
      <c r="AN643" t="str">
        <f t="shared" si="67"/>
        <v>Offensive</v>
      </c>
      <c r="BD643" s="23"/>
      <c r="BF643" s="21"/>
    </row>
    <row r="644" spans="1:58" x14ac:dyDescent="0.2">
      <c r="A644">
        <v>326</v>
      </c>
      <c r="E644" s="5" t="s">
        <v>907</v>
      </c>
      <c r="F644" s="5" t="s">
        <v>850</v>
      </c>
      <c r="I644" t="s">
        <v>835</v>
      </c>
      <c r="J644">
        <v>55</v>
      </c>
      <c r="K644">
        <v>1</v>
      </c>
      <c r="L644" t="s">
        <v>401</v>
      </c>
      <c r="M644" t="s">
        <v>7</v>
      </c>
      <c r="N644" t="s">
        <v>208</v>
      </c>
      <c r="O644" t="s">
        <v>53</v>
      </c>
      <c r="P644" t="s">
        <v>688</v>
      </c>
      <c r="U644" s="8">
        <f t="shared" si="69"/>
        <v>1</v>
      </c>
      <c r="AD644" t="str">
        <f t="shared" si="68"/>
        <v>e</v>
      </c>
      <c r="AE644" t="str">
        <f t="shared" ref="AE644:AE707" si="72">IF(M644&lt;&gt;"",M644,IF($A644=$A643,AE643,""))</f>
        <v>Shot</v>
      </c>
      <c r="AF644" t="str">
        <f t="shared" si="70"/>
        <v>Shot_Blocked</v>
      </c>
      <c r="AG644" t="str">
        <f t="shared" si="71"/>
        <v>Shot-Wrist</v>
      </c>
      <c r="AN644" t="str">
        <f t="shared" si="67"/>
        <v>Offensive</v>
      </c>
      <c r="BD644" s="23"/>
      <c r="BF644" s="21"/>
    </row>
    <row r="645" spans="1:58" x14ac:dyDescent="0.2">
      <c r="A645">
        <v>326</v>
      </c>
      <c r="J645">
        <v>17</v>
      </c>
      <c r="Q645" t="s">
        <v>665</v>
      </c>
      <c r="S645" t="s">
        <v>689</v>
      </c>
      <c r="U645" s="8">
        <f t="shared" si="69"/>
        <v>1</v>
      </c>
      <c r="AD645" t="str">
        <f t="shared" si="68"/>
        <v>o</v>
      </c>
      <c r="AE645" t="str">
        <f t="shared" si="72"/>
        <v>Shot</v>
      </c>
      <c r="AF645" t="str">
        <f t="shared" si="70"/>
        <v>Shot_Blocked</v>
      </c>
      <c r="AG645" t="str">
        <f t="shared" si="71"/>
        <v>Shot-Wrist</v>
      </c>
      <c r="AN645" t="str">
        <f t="shared" si="67"/>
        <v>Defensive</v>
      </c>
      <c r="BD645" s="23"/>
      <c r="BF645" s="21"/>
    </row>
    <row r="646" spans="1:58" x14ac:dyDescent="0.2">
      <c r="A646">
        <v>327</v>
      </c>
      <c r="E646" s="5" t="s">
        <v>907</v>
      </c>
      <c r="F646" s="5" t="s">
        <v>855</v>
      </c>
      <c r="I646" t="s">
        <v>835</v>
      </c>
      <c r="J646">
        <v>49</v>
      </c>
      <c r="K646">
        <v>1</v>
      </c>
      <c r="L646" t="s">
        <v>401</v>
      </c>
      <c r="M646" t="s">
        <v>15</v>
      </c>
      <c r="N646" t="s">
        <v>681</v>
      </c>
      <c r="P646" t="s">
        <v>689</v>
      </c>
      <c r="Q646" t="s">
        <v>705</v>
      </c>
      <c r="S646" t="s">
        <v>689</v>
      </c>
      <c r="T646">
        <v>1</v>
      </c>
      <c r="U646" s="8">
        <f t="shared" si="69"/>
        <v>1</v>
      </c>
      <c r="AD646" t="str">
        <f t="shared" si="68"/>
        <v>e</v>
      </c>
      <c r="AE646" t="str">
        <f t="shared" si="72"/>
        <v>Possession</v>
      </c>
      <c r="AF646" t="str">
        <f t="shared" si="70"/>
        <v>PuckRecovery</v>
      </c>
      <c r="AG646" t="str">
        <f t="shared" si="71"/>
        <v/>
      </c>
      <c r="AN646" t="str">
        <f t="shared" si="67"/>
        <v>Offensive</v>
      </c>
      <c r="BD646" s="23"/>
      <c r="BF646" s="21"/>
    </row>
    <row r="647" spans="1:58" x14ac:dyDescent="0.2">
      <c r="A647">
        <v>327</v>
      </c>
      <c r="J647">
        <v>55</v>
      </c>
      <c r="K647">
        <v>1</v>
      </c>
      <c r="T647">
        <v>1</v>
      </c>
      <c r="U647" s="8">
        <f t="shared" si="69"/>
        <v>1</v>
      </c>
      <c r="AD647" t="str">
        <f t="shared" si="68"/>
        <v>e</v>
      </c>
      <c r="AE647" t="str">
        <f t="shared" si="72"/>
        <v>Possession</v>
      </c>
      <c r="AF647" t="str">
        <f t="shared" si="70"/>
        <v>PuckRecovery</v>
      </c>
      <c r="AG647" t="str">
        <f t="shared" si="71"/>
        <v/>
      </c>
      <c r="AN647" t="str">
        <f t="shared" si="67"/>
        <v>Offensive</v>
      </c>
      <c r="BD647" s="23"/>
      <c r="BF647" s="21"/>
    </row>
    <row r="648" spans="1:58" x14ac:dyDescent="0.2">
      <c r="A648">
        <v>327</v>
      </c>
      <c r="J648">
        <v>17</v>
      </c>
      <c r="T648">
        <v>1</v>
      </c>
      <c r="U648" s="8">
        <f t="shared" si="69"/>
        <v>1</v>
      </c>
      <c r="AD648" t="str">
        <f t="shared" si="68"/>
        <v>o</v>
      </c>
      <c r="AE648" t="str">
        <f t="shared" si="72"/>
        <v>Possession</v>
      </c>
      <c r="AF648" t="str">
        <f t="shared" si="70"/>
        <v>PuckRecovery</v>
      </c>
      <c r="AG648" t="str">
        <f t="shared" si="71"/>
        <v/>
      </c>
      <c r="AN648" t="str">
        <f t="shared" si="67"/>
        <v>Defensive</v>
      </c>
      <c r="BD648" s="23"/>
      <c r="BF648" s="21"/>
    </row>
    <row r="649" spans="1:58" x14ac:dyDescent="0.2">
      <c r="A649">
        <v>328</v>
      </c>
      <c r="E649" s="5" t="s">
        <v>907</v>
      </c>
      <c r="F649" s="5" t="s">
        <v>882</v>
      </c>
      <c r="I649" t="s">
        <v>835</v>
      </c>
      <c r="J649">
        <v>49</v>
      </c>
      <c r="K649">
        <v>1</v>
      </c>
      <c r="L649" t="s">
        <v>401</v>
      </c>
      <c r="M649" t="s">
        <v>8</v>
      </c>
      <c r="N649" t="s">
        <v>189</v>
      </c>
      <c r="O649" t="s">
        <v>69</v>
      </c>
      <c r="P649" t="s">
        <v>689</v>
      </c>
      <c r="Q649" t="s">
        <v>749</v>
      </c>
      <c r="S649" t="s">
        <v>689</v>
      </c>
      <c r="T649">
        <v>1</v>
      </c>
      <c r="U649" s="8">
        <f t="shared" si="69"/>
        <v>1</v>
      </c>
      <c r="AD649" t="str">
        <f t="shared" si="68"/>
        <v>e</v>
      </c>
      <c r="AE649" t="str">
        <f t="shared" si="72"/>
        <v>Pass</v>
      </c>
      <c r="AF649" t="str">
        <f t="shared" si="70"/>
        <v>Pass_Completed</v>
      </c>
      <c r="AG649" t="str">
        <f t="shared" si="71"/>
        <v>Pass-Backhand</v>
      </c>
      <c r="AN649" t="str">
        <f t="shared" ref="AN649:AN712" si="73">IF(AND(AD649="e",OR(AE649="Save",AF649="Turnover_Takeaway",AF649="Play_Defensive")),"Defensive",IF(AND(AD649="o",OR(AE649="Save",AF649="Turnover_Takeaway",AF649="Play_Defensive")),"Offensive",IF(OR(AE649="Deadice",AE649="Stoppage",AE649="Intermission"),"",IF(AD649="e","Offensive",IF(AD649="o","Defensive","")))))</f>
        <v>Offensive</v>
      </c>
      <c r="BD649" s="23"/>
      <c r="BF649" s="21"/>
    </row>
    <row r="650" spans="1:58" x14ac:dyDescent="0.2">
      <c r="A650">
        <v>328</v>
      </c>
      <c r="J650">
        <v>9</v>
      </c>
      <c r="K650">
        <v>1</v>
      </c>
      <c r="U650" s="8">
        <f t="shared" si="69"/>
        <v>1</v>
      </c>
      <c r="AD650" t="str">
        <f t="shared" si="68"/>
        <v>e</v>
      </c>
      <c r="AE650" t="str">
        <f t="shared" si="72"/>
        <v>Pass</v>
      </c>
      <c r="AF650" t="str">
        <f t="shared" si="70"/>
        <v>Pass_Completed</v>
      </c>
      <c r="AG650" t="str">
        <f t="shared" si="71"/>
        <v>Pass-Backhand</v>
      </c>
      <c r="AN650" t="str">
        <f t="shared" si="73"/>
        <v>Offensive</v>
      </c>
      <c r="BD650" s="23"/>
      <c r="BF650" s="21"/>
    </row>
    <row r="651" spans="1:58" x14ac:dyDescent="0.2">
      <c r="A651">
        <v>328</v>
      </c>
      <c r="J651">
        <v>19</v>
      </c>
      <c r="T651">
        <v>1</v>
      </c>
      <c r="U651" s="8">
        <f t="shared" si="69"/>
        <v>1</v>
      </c>
      <c r="AD651" t="str">
        <f t="shared" si="68"/>
        <v>o</v>
      </c>
      <c r="AE651" t="str">
        <f t="shared" si="72"/>
        <v>Pass</v>
      </c>
      <c r="AF651" t="str">
        <f t="shared" si="70"/>
        <v>Pass_Completed</v>
      </c>
      <c r="AG651" t="str">
        <f t="shared" si="71"/>
        <v>Pass-Backhand</v>
      </c>
      <c r="AN651" t="str">
        <f t="shared" si="73"/>
        <v>Defensive</v>
      </c>
      <c r="BD651" s="23"/>
      <c r="BF651" s="21"/>
    </row>
    <row r="652" spans="1:58" x14ac:dyDescent="0.2">
      <c r="A652">
        <v>329</v>
      </c>
      <c r="B652">
        <v>54</v>
      </c>
      <c r="E652" s="5" t="s">
        <v>907</v>
      </c>
      <c r="F652" s="5" t="s">
        <v>854</v>
      </c>
      <c r="I652" t="s">
        <v>835</v>
      </c>
      <c r="J652">
        <v>9</v>
      </c>
      <c r="K652">
        <v>1</v>
      </c>
      <c r="L652" t="s">
        <v>401</v>
      </c>
      <c r="M652" t="s">
        <v>7</v>
      </c>
      <c r="N652" t="s">
        <v>208</v>
      </c>
      <c r="O652" t="s">
        <v>53</v>
      </c>
      <c r="P652" t="s">
        <v>688</v>
      </c>
      <c r="T652">
        <v>1</v>
      </c>
      <c r="U652" s="8">
        <f t="shared" si="69"/>
        <v>1</v>
      </c>
      <c r="AD652" t="str">
        <f t="shared" si="68"/>
        <v>e</v>
      </c>
      <c r="AE652" t="str">
        <f t="shared" si="72"/>
        <v>Shot</v>
      </c>
      <c r="AF652" t="str">
        <f t="shared" si="70"/>
        <v>Shot_Blocked</v>
      </c>
      <c r="AG652" t="str">
        <f t="shared" si="71"/>
        <v>Shot-Wrist</v>
      </c>
      <c r="AN652" t="str">
        <f t="shared" si="73"/>
        <v>Offensive</v>
      </c>
      <c r="BD652" s="23"/>
      <c r="BF652" s="21"/>
    </row>
    <row r="653" spans="1:58" x14ac:dyDescent="0.2">
      <c r="A653">
        <v>329</v>
      </c>
      <c r="B653">
        <v>54</v>
      </c>
      <c r="J653">
        <v>17</v>
      </c>
      <c r="Q653" t="s">
        <v>665</v>
      </c>
      <c r="S653" t="s">
        <v>689</v>
      </c>
      <c r="T653">
        <v>1</v>
      </c>
      <c r="U653" s="8">
        <f t="shared" si="69"/>
        <v>1</v>
      </c>
      <c r="AD653" t="str">
        <f t="shared" si="68"/>
        <v>o</v>
      </c>
      <c r="AE653" t="str">
        <f t="shared" si="72"/>
        <v>Shot</v>
      </c>
      <c r="AF653" t="str">
        <f t="shared" si="70"/>
        <v>Shot_Blocked</v>
      </c>
      <c r="AG653" t="str">
        <f t="shared" si="71"/>
        <v>Shot-Wrist</v>
      </c>
      <c r="AN653" t="str">
        <f t="shared" si="73"/>
        <v>Defensive</v>
      </c>
      <c r="BD653" s="23"/>
      <c r="BF653" s="21"/>
    </row>
    <row r="654" spans="1:58" x14ac:dyDescent="0.2">
      <c r="A654">
        <v>330</v>
      </c>
      <c r="B654">
        <v>54</v>
      </c>
      <c r="E654" s="5" t="s">
        <v>907</v>
      </c>
      <c r="F654" s="5" t="s">
        <v>854</v>
      </c>
      <c r="I654" t="s">
        <v>835</v>
      </c>
      <c r="J654">
        <v>9</v>
      </c>
      <c r="K654">
        <v>1</v>
      </c>
      <c r="L654" t="s">
        <v>401</v>
      </c>
      <c r="M654" t="s">
        <v>10</v>
      </c>
      <c r="N654" t="s">
        <v>190</v>
      </c>
      <c r="O654" t="s">
        <v>78</v>
      </c>
      <c r="P654" t="s">
        <v>688</v>
      </c>
      <c r="T654">
        <v>1</v>
      </c>
      <c r="U654" s="8">
        <f t="shared" si="69"/>
        <v>1</v>
      </c>
      <c r="AD654" t="str">
        <f t="shared" si="68"/>
        <v>e</v>
      </c>
      <c r="AE654" t="str">
        <f t="shared" si="72"/>
        <v>Turnover</v>
      </c>
      <c r="AF654" t="str">
        <f t="shared" si="70"/>
        <v>Turnover_Giveaway</v>
      </c>
      <c r="AG654" t="str">
        <f t="shared" si="71"/>
        <v>Giveaway-ShotBlocked</v>
      </c>
      <c r="AN654" t="str">
        <f t="shared" si="73"/>
        <v>Offensive</v>
      </c>
      <c r="BD654" s="23"/>
      <c r="BF654" s="21"/>
    </row>
    <row r="655" spans="1:58" x14ac:dyDescent="0.2">
      <c r="A655">
        <v>330</v>
      </c>
      <c r="B655">
        <v>54</v>
      </c>
      <c r="J655">
        <v>17</v>
      </c>
      <c r="Q655" t="s">
        <v>665</v>
      </c>
      <c r="S655" t="s">
        <v>689</v>
      </c>
      <c r="T655">
        <v>1</v>
      </c>
      <c r="U655" s="8">
        <f t="shared" si="69"/>
        <v>1</v>
      </c>
      <c r="AD655" t="str">
        <f t="shared" si="68"/>
        <v>o</v>
      </c>
      <c r="AE655" t="str">
        <f t="shared" si="72"/>
        <v>Turnover</v>
      </c>
      <c r="AF655" t="str">
        <f t="shared" si="70"/>
        <v>Turnover_Giveaway</v>
      </c>
      <c r="AG655" t="str">
        <f t="shared" si="71"/>
        <v>Giveaway-ShotBlocked</v>
      </c>
      <c r="AN655" t="str">
        <f t="shared" si="73"/>
        <v>Defensive</v>
      </c>
      <c r="BD655" s="23"/>
      <c r="BF655" s="21"/>
    </row>
    <row r="656" spans="1:58" x14ac:dyDescent="0.2">
      <c r="A656">
        <v>331</v>
      </c>
      <c r="E656" s="5" t="s">
        <v>907</v>
      </c>
      <c r="F656" s="5" t="s">
        <v>859</v>
      </c>
      <c r="I656" t="s">
        <v>840</v>
      </c>
      <c r="J656">
        <v>94</v>
      </c>
      <c r="K656">
        <v>1</v>
      </c>
      <c r="L656" t="s">
        <v>845</v>
      </c>
      <c r="M656" t="s">
        <v>15</v>
      </c>
      <c r="N656" t="s">
        <v>680</v>
      </c>
      <c r="P656" t="s">
        <v>689</v>
      </c>
      <c r="Q656" t="s">
        <v>666</v>
      </c>
      <c r="S656" t="s">
        <v>689</v>
      </c>
      <c r="T656">
        <v>1</v>
      </c>
      <c r="U656" s="8">
        <f t="shared" si="69"/>
        <v>1</v>
      </c>
      <c r="AD656" t="str">
        <f t="shared" si="68"/>
        <v>e</v>
      </c>
      <c r="AE656" t="str">
        <f t="shared" si="72"/>
        <v>Possession</v>
      </c>
      <c r="AF656" t="str">
        <f t="shared" si="70"/>
        <v>PuckRetrieval</v>
      </c>
      <c r="AG656" t="str">
        <f t="shared" si="71"/>
        <v/>
      </c>
      <c r="AN656" t="str">
        <f t="shared" si="73"/>
        <v>Offensive</v>
      </c>
      <c r="BD656" s="23"/>
      <c r="BF656" s="21"/>
    </row>
    <row r="657" spans="1:58" x14ac:dyDescent="0.2">
      <c r="A657">
        <v>331</v>
      </c>
      <c r="J657">
        <v>55</v>
      </c>
      <c r="T657">
        <v>1</v>
      </c>
      <c r="U657" s="8">
        <f t="shared" si="69"/>
        <v>1</v>
      </c>
      <c r="AD657" t="str">
        <f t="shared" si="68"/>
        <v>o</v>
      </c>
      <c r="AE657" t="str">
        <f t="shared" si="72"/>
        <v>Possession</v>
      </c>
      <c r="AF657" t="str">
        <f t="shared" si="70"/>
        <v>PuckRetrieval</v>
      </c>
      <c r="AG657" t="str">
        <f t="shared" si="71"/>
        <v/>
      </c>
      <c r="AN657" t="str">
        <f t="shared" si="73"/>
        <v>Defensive</v>
      </c>
      <c r="BD657" s="23"/>
      <c r="BF657" s="21"/>
    </row>
    <row r="658" spans="1:58" x14ac:dyDescent="0.2">
      <c r="A658">
        <v>332</v>
      </c>
      <c r="E658" s="5" t="s">
        <v>907</v>
      </c>
      <c r="F658" s="5" t="s">
        <v>860</v>
      </c>
      <c r="I658" t="s">
        <v>840</v>
      </c>
      <c r="J658">
        <v>94</v>
      </c>
      <c r="K658">
        <v>1</v>
      </c>
      <c r="L658" t="s">
        <v>845</v>
      </c>
      <c r="M658" t="s">
        <v>8</v>
      </c>
      <c r="N658" t="s">
        <v>189</v>
      </c>
      <c r="O658" t="s">
        <v>69</v>
      </c>
      <c r="P658" t="s">
        <v>689</v>
      </c>
      <c r="Q658" t="s">
        <v>749</v>
      </c>
      <c r="S658" t="s">
        <v>689</v>
      </c>
      <c r="T658">
        <v>1</v>
      </c>
      <c r="U658" s="8">
        <f t="shared" si="69"/>
        <v>1</v>
      </c>
      <c r="AD658" t="str">
        <f t="shared" si="68"/>
        <v>e</v>
      </c>
      <c r="AE658" t="str">
        <f t="shared" si="72"/>
        <v>Pass</v>
      </c>
      <c r="AF658" t="str">
        <f t="shared" si="70"/>
        <v>Pass_Completed</v>
      </c>
      <c r="AG658" t="str">
        <f t="shared" si="71"/>
        <v>Pass-Backhand</v>
      </c>
      <c r="AN658" t="str">
        <f t="shared" si="73"/>
        <v>Offensive</v>
      </c>
      <c r="BD658" s="23"/>
      <c r="BF658" s="21"/>
    </row>
    <row r="659" spans="1:58" x14ac:dyDescent="0.2">
      <c r="A659">
        <v>332</v>
      </c>
      <c r="J659">
        <v>8</v>
      </c>
      <c r="K659">
        <v>1</v>
      </c>
      <c r="U659" s="8">
        <f t="shared" si="69"/>
        <v>1</v>
      </c>
      <c r="AD659" t="str">
        <f t="shared" si="68"/>
        <v>e</v>
      </c>
      <c r="AE659" t="str">
        <f t="shared" si="72"/>
        <v>Pass</v>
      </c>
      <c r="AF659" t="str">
        <f t="shared" si="70"/>
        <v>Pass_Completed</v>
      </c>
      <c r="AG659" t="str">
        <f t="shared" si="71"/>
        <v>Pass-Backhand</v>
      </c>
      <c r="AN659" t="str">
        <f t="shared" si="73"/>
        <v>Offensive</v>
      </c>
      <c r="BD659" s="23"/>
      <c r="BF659" s="21"/>
    </row>
    <row r="660" spans="1:58" x14ac:dyDescent="0.2">
      <c r="A660">
        <v>332</v>
      </c>
      <c r="J660">
        <v>55</v>
      </c>
      <c r="T660">
        <v>1</v>
      </c>
      <c r="U660" s="8">
        <f t="shared" si="69"/>
        <v>1</v>
      </c>
      <c r="AD660" t="str">
        <f t="shared" si="68"/>
        <v>o</v>
      </c>
      <c r="AE660" t="str">
        <f t="shared" si="72"/>
        <v>Pass</v>
      </c>
      <c r="AF660" t="str">
        <f t="shared" si="70"/>
        <v>Pass_Completed</v>
      </c>
      <c r="AG660" t="str">
        <f t="shared" si="71"/>
        <v>Pass-Backhand</v>
      </c>
      <c r="AN660" t="str">
        <f t="shared" si="73"/>
        <v>Defensive</v>
      </c>
      <c r="BD660" s="23"/>
      <c r="BF660" s="21"/>
    </row>
    <row r="661" spans="1:58" x14ac:dyDescent="0.2">
      <c r="A661">
        <v>333</v>
      </c>
      <c r="E661" s="5" t="s">
        <v>907</v>
      </c>
      <c r="F661" s="5" t="s">
        <v>860</v>
      </c>
      <c r="I661" t="s">
        <v>840</v>
      </c>
      <c r="J661">
        <v>8</v>
      </c>
      <c r="K661">
        <v>1</v>
      </c>
      <c r="L661" t="s">
        <v>845</v>
      </c>
      <c r="M661" t="s">
        <v>257</v>
      </c>
      <c r="N661" t="s">
        <v>201</v>
      </c>
      <c r="O661" t="s">
        <v>407</v>
      </c>
      <c r="P661" t="s">
        <v>689</v>
      </c>
      <c r="Q661" t="s">
        <v>662</v>
      </c>
      <c r="R661" t="s">
        <v>716</v>
      </c>
      <c r="S661" t="s">
        <v>689</v>
      </c>
      <c r="T661">
        <v>1</v>
      </c>
      <c r="U661" s="8">
        <f t="shared" si="69"/>
        <v>1</v>
      </c>
      <c r="AD661" t="str">
        <f t="shared" si="68"/>
        <v>e</v>
      </c>
      <c r="AE661" t="str">
        <f t="shared" si="72"/>
        <v>Zone_Entry_Exit</v>
      </c>
      <c r="AF661" t="str">
        <f t="shared" si="70"/>
        <v>Zone_Exit</v>
      </c>
      <c r="AG661" t="str">
        <f t="shared" si="71"/>
        <v>ZoneExit-Chip</v>
      </c>
      <c r="AN661" t="str">
        <f t="shared" si="73"/>
        <v>Offensive</v>
      </c>
      <c r="BD661" s="23"/>
      <c r="BF661" s="21"/>
    </row>
    <row r="662" spans="1:58" x14ac:dyDescent="0.2">
      <c r="A662">
        <v>333</v>
      </c>
      <c r="J662">
        <v>84</v>
      </c>
      <c r="Q662" t="s">
        <v>704</v>
      </c>
      <c r="S662" t="s">
        <v>688</v>
      </c>
      <c r="U662" s="8">
        <f t="shared" si="69"/>
        <v>1</v>
      </c>
      <c r="AD662" t="str">
        <f t="shared" si="68"/>
        <v>o</v>
      </c>
      <c r="AE662" t="str">
        <f t="shared" si="72"/>
        <v>Zone_Entry_Exit</v>
      </c>
      <c r="AF662" t="str">
        <f t="shared" si="70"/>
        <v>Zone_Exit</v>
      </c>
      <c r="AG662" t="str">
        <f t="shared" si="71"/>
        <v>ZoneExit-Chip</v>
      </c>
      <c r="AN662" t="str">
        <f t="shared" si="73"/>
        <v>Defensive</v>
      </c>
      <c r="BD662" s="23"/>
      <c r="BF662" s="21"/>
    </row>
    <row r="663" spans="1:58" x14ac:dyDescent="0.2">
      <c r="A663">
        <v>334</v>
      </c>
      <c r="E663" s="5" t="s">
        <v>907</v>
      </c>
      <c r="F663" s="5" t="s">
        <v>862</v>
      </c>
      <c r="I663" t="s">
        <v>840</v>
      </c>
      <c r="J663">
        <v>17</v>
      </c>
      <c r="K663">
        <v>1</v>
      </c>
      <c r="L663" t="s">
        <v>839</v>
      </c>
      <c r="M663" t="s">
        <v>15</v>
      </c>
      <c r="N663" t="s">
        <v>681</v>
      </c>
      <c r="P663" t="s">
        <v>688</v>
      </c>
      <c r="Q663" t="s">
        <v>829</v>
      </c>
      <c r="S663" t="s">
        <v>688</v>
      </c>
      <c r="U663" s="8">
        <f t="shared" si="69"/>
        <v>1</v>
      </c>
      <c r="AD663" t="str">
        <f t="shared" si="68"/>
        <v>e</v>
      </c>
      <c r="AE663" t="str">
        <f t="shared" si="72"/>
        <v>Possession</v>
      </c>
      <c r="AF663" t="str">
        <f t="shared" si="70"/>
        <v>PuckRecovery</v>
      </c>
      <c r="AG663" t="str">
        <f t="shared" si="71"/>
        <v/>
      </c>
      <c r="AN663" t="str">
        <f t="shared" si="73"/>
        <v>Offensive</v>
      </c>
      <c r="BD663" s="23"/>
      <c r="BF663" s="21"/>
    </row>
    <row r="664" spans="1:58" x14ac:dyDescent="0.2">
      <c r="A664">
        <v>335</v>
      </c>
      <c r="B664">
        <v>55</v>
      </c>
      <c r="E664" s="5" t="s">
        <v>907</v>
      </c>
      <c r="F664" s="5" t="s">
        <v>862</v>
      </c>
      <c r="I664" t="s">
        <v>840</v>
      </c>
      <c r="J664">
        <v>17</v>
      </c>
      <c r="K664">
        <v>1</v>
      </c>
      <c r="L664" t="s">
        <v>839</v>
      </c>
      <c r="M664" t="s">
        <v>8</v>
      </c>
      <c r="N664" t="s">
        <v>216</v>
      </c>
      <c r="O664" t="s">
        <v>69</v>
      </c>
      <c r="P664" t="s">
        <v>688</v>
      </c>
      <c r="Q664" t="s">
        <v>749</v>
      </c>
      <c r="S664" t="s">
        <v>688</v>
      </c>
      <c r="U664" s="8">
        <f t="shared" si="69"/>
        <v>1</v>
      </c>
      <c r="AD664" t="str">
        <f t="shared" si="68"/>
        <v>e</v>
      </c>
      <c r="AE664" t="str">
        <f t="shared" si="72"/>
        <v>Pass</v>
      </c>
      <c r="AF664" t="str">
        <f t="shared" si="70"/>
        <v>Pass_Intercepted</v>
      </c>
      <c r="AG664" t="str">
        <f t="shared" si="71"/>
        <v>Pass-Backhand</v>
      </c>
      <c r="AN664" t="str">
        <f t="shared" si="73"/>
        <v>Offensive</v>
      </c>
      <c r="BD664" s="23"/>
      <c r="BF664" s="21"/>
    </row>
    <row r="665" spans="1:58" x14ac:dyDescent="0.2">
      <c r="A665">
        <v>335</v>
      </c>
      <c r="B665">
        <v>55</v>
      </c>
      <c r="J665">
        <v>8</v>
      </c>
      <c r="K665">
        <v>1</v>
      </c>
      <c r="U665" s="8">
        <f t="shared" si="69"/>
        <v>1</v>
      </c>
      <c r="AD665" t="str">
        <f t="shared" si="68"/>
        <v>e</v>
      </c>
      <c r="AE665" t="str">
        <f t="shared" si="72"/>
        <v>Pass</v>
      </c>
      <c r="AF665" t="str">
        <f t="shared" si="70"/>
        <v>Pass_Intercepted</v>
      </c>
      <c r="AG665" t="str">
        <f t="shared" si="71"/>
        <v>Pass-Backhand</v>
      </c>
      <c r="AN665" t="str">
        <f t="shared" si="73"/>
        <v>Offensive</v>
      </c>
      <c r="BD665" s="23"/>
      <c r="BF665" s="21"/>
    </row>
    <row r="666" spans="1:58" x14ac:dyDescent="0.2">
      <c r="A666">
        <v>335</v>
      </c>
      <c r="B666">
        <v>55</v>
      </c>
      <c r="J666">
        <v>49</v>
      </c>
      <c r="Q666" t="s">
        <v>700</v>
      </c>
      <c r="S666" t="s">
        <v>689</v>
      </c>
      <c r="U666" s="8">
        <f t="shared" si="69"/>
        <v>1</v>
      </c>
      <c r="AD666" t="str">
        <f t="shared" si="68"/>
        <v>o</v>
      </c>
      <c r="AE666" t="str">
        <f t="shared" si="72"/>
        <v>Pass</v>
      </c>
      <c r="AF666" t="str">
        <f t="shared" si="70"/>
        <v>Pass_Intercepted</v>
      </c>
      <c r="AG666" t="str">
        <f t="shared" si="71"/>
        <v>Pass-Backhand</v>
      </c>
      <c r="AN666" t="str">
        <f t="shared" si="73"/>
        <v>Defensive</v>
      </c>
      <c r="BD666" s="23"/>
      <c r="BF666" s="21"/>
    </row>
    <row r="667" spans="1:58" x14ac:dyDescent="0.2">
      <c r="A667">
        <v>336</v>
      </c>
      <c r="B667">
        <v>55</v>
      </c>
      <c r="I667" t="s">
        <v>840</v>
      </c>
      <c r="J667">
        <v>17</v>
      </c>
      <c r="K667">
        <v>1</v>
      </c>
      <c r="L667" t="s">
        <v>839</v>
      </c>
      <c r="M667" t="s">
        <v>10</v>
      </c>
      <c r="N667" t="s">
        <v>190</v>
      </c>
      <c r="O667" t="s">
        <v>75</v>
      </c>
      <c r="P667" t="s">
        <v>688</v>
      </c>
      <c r="Q667" t="s">
        <v>749</v>
      </c>
      <c r="S667" t="s">
        <v>688</v>
      </c>
      <c r="U667" s="8">
        <f t="shared" si="69"/>
        <v>1</v>
      </c>
      <c r="AD667" t="str">
        <f t="shared" si="68"/>
        <v>e</v>
      </c>
      <c r="AE667" t="str">
        <f t="shared" si="72"/>
        <v>Turnover</v>
      </c>
      <c r="AF667" t="str">
        <f t="shared" si="70"/>
        <v>Turnover_Giveaway</v>
      </c>
      <c r="AG667" t="str">
        <f t="shared" si="71"/>
        <v>Giveaway-PassIntercepted</v>
      </c>
      <c r="AN667" t="str">
        <f t="shared" si="73"/>
        <v>Offensive</v>
      </c>
      <c r="BD667" s="23"/>
      <c r="BF667" s="21"/>
    </row>
    <row r="668" spans="1:58" x14ac:dyDescent="0.2">
      <c r="A668">
        <v>336</v>
      </c>
      <c r="B668">
        <v>55</v>
      </c>
      <c r="J668">
        <v>8</v>
      </c>
      <c r="K668">
        <v>1</v>
      </c>
      <c r="U668" s="8">
        <f t="shared" si="69"/>
        <v>1</v>
      </c>
      <c r="AD668" t="str">
        <f t="shared" si="68"/>
        <v>e</v>
      </c>
      <c r="AE668" t="str">
        <f t="shared" si="72"/>
        <v>Turnover</v>
      </c>
      <c r="AF668" t="str">
        <f t="shared" si="70"/>
        <v>Turnover_Giveaway</v>
      </c>
      <c r="AG668" t="str">
        <f t="shared" si="71"/>
        <v>Giveaway-PassIntercepted</v>
      </c>
      <c r="AN668" t="str">
        <f t="shared" si="73"/>
        <v>Offensive</v>
      </c>
      <c r="BD668" s="23"/>
      <c r="BF668" s="21"/>
    </row>
    <row r="669" spans="1:58" x14ac:dyDescent="0.2">
      <c r="A669">
        <v>336</v>
      </c>
      <c r="B669">
        <v>55</v>
      </c>
      <c r="J669">
        <v>49</v>
      </c>
      <c r="Q669" t="s">
        <v>700</v>
      </c>
      <c r="S669" t="s">
        <v>689</v>
      </c>
      <c r="U669" s="8">
        <f t="shared" si="69"/>
        <v>1</v>
      </c>
      <c r="AD669" t="str">
        <f t="shared" si="68"/>
        <v>o</v>
      </c>
      <c r="AE669" t="str">
        <f t="shared" si="72"/>
        <v>Turnover</v>
      </c>
      <c r="AF669" t="str">
        <f t="shared" si="70"/>
        <v>Turnover_Giveaway</v>
      </c>
      <c r="AG669" t="str">
        <f t="shared" si="71"/>
        <v>Giveaway-PassIntercepted</v>
      </c>
      <c r="AN669" t="str">
        <f t="shared" si="73"/>
        <v>Defensive</v>
      </c>
      <c r="BD669" s="23"/>
      <c r="BF669" s="21"/>
    </row>
    <row r="670" spans="1:58" x14ac:dyDescent="0.2">
      <c r="A670">
        <v>337</v>
      </c>
      <c r="E670" s="5" t="s">
        <v>907</v>
      </c>
      <c r="F670" s="5" t="s">
        <v>863</v>
      </c>
      <c r="G670" s="5" t="s">
        <v>907</v>
      </c>
      <c r="H670" s="7" t="s">
        <v>865</v>
      </c>
      <c r="I670" t="s">
        <v>835</v>
      </c>
      <c r="J670">
        <v>49</v>
      </c>
      <c r="K670">
        <v>1</v>
      </c>
      <c r="L670" t="s">
        <v>839</v>
      </c>
      <c r="M670" t="s">
        <v>15</v>
      </c>
      <c r="N670" t="s">
        <v>667</v>
      </c>
      <c r="Q670" t="s">
        <v>721</v>
      </c>
      <c r="S670" t="s">
        <v>689</v>
      </c>
      <c r="T670">
        <v>1</v>
      </c>
      <c r="U670" s="8">
        <f t="shared" si="69"/>
        <v>1</v>
      </c>
      <c r="AD670" t="str">
        <f t="shared" si="68"/>
        <v>e</v>
      </c>
      <c r="AE670" t="str">
        <f t="shared" si="72"/>
        <v>Possession</v>
      </c>
      <c r="AF670" t="str">
        <f t="shared" si="70"/>
        <v>Regroup</v>
      </c>
      <c r="AG670" t="str">
        <f t="shared" si="71"/>
        <v/>
      </c>
      <c r="AN670" t="str">
        <f t="shared" si="73"/>
        <v>Offensive</v>
      </c>
      <c r="BD670" s="23"/>
      <c r="BF670" s="21"/>
    </row>
    <row r="671" spans="1:58" x14ac:dyDescent="0.2">
      <c r="A671">
        <v>337</v>
      </c>
      <c r="J671">
        <v>8</v>
      </c>
      <c r="Q671" t="s">
        <v>719</v>
      </c>
      <c r="S671" t="s">
        <v>688</v>
      </c>
      <c r="U671" s="8">
        <f t="shared" si="69"/>
        <v>1</v>
      </c>
      <c r="AD671" t="str">
        <f t="shared" si="68"/>
        <v>o</v>
      </c>
      <c r="AE671" t="str">
        <f t="shared" si="72"/>
        <v>Possession</v>
      </c>
      <c r="AF671" t="str">
        <f t="shared" si="70"/>
        <v>Regroup</v>
      </c>
      <c r="AG671" t="str">
        <f t="shared" si="71"/>
        <v/>
      </c>
      <c r="AN671" t="str">
        <f t="shared" si="73"/>
        <v>Defensive</v>
      </c>
      <c r="BD671" s="23"/>
      <c r="BF671" s="21"/>
    </row>
    <row r="672" spans="1:58" x14ac:dyDescent="0.2">
      <c r="A672">
        <v>338</v>
      </c>
      <c r="E672" s="5" t="s">
        <v>907</v>
      </c>
      <c r="F672" s="5" t="s">
        <v>865</v>
      </c>
      <c r="G672" s="5" t="s">
        <v>907</v>
      </c>
      <c r="H672" s="7" t="s">
        <v>866</v>
      </c>
      <c r="I672" t="s">
        <v>835</v>
      </c>
      <c r="J672">
        <v>49</v>
      </c>
      <c r="K672">
        <v>1</v>
      </c>
      <c r="L672" t="s">
        <v>839</v>
      </c>
      <c r="M672" t="s">
        <v>15</v>
      </c>
      <c r="T672">
        <v>1</v>
      </c>
      <c r="U672" s="8">
        <f t="shared" si="69"/>
        <v>1</v>
      </c>
      <c r="AD672" t="str">
        <f t="shared" si="68"/>
        <v>e</v>
      </c>
      <c r="AE672" t="str">
        <f t="shared" si="72"/>
        <v>Possession</v>
      </c>
      <c r="AF672" t="str">
        <f t="shared" si="70"/>
        <v/>
      </c>
      <c r="AG672" t="str">
        <f t="shared" si="71"/>
        <v/>
      </c>
      <c r="AN672" t="str">
        <f t="shared" si="73"/>
        <v>Offensive</v>
      </c>
      <c r="BD672" s="23"/>
      <c r="BF672" s="21"/>
    </row>
    <row r="673" spans="1:58" x14ac:dyDescent="0.2">
      <c r="A673">
        <v>339</v>
      </c>
      <c r="I673" t="s">
        <v>835</v>
      </c>
      <c r="J673">
        <v>49</v>
      </c>
      <c r="K673">
        <v>1</v>
      </c>
      <c r="L673" t="s">
        <v>839</v>
      </c>
      <c r="M673" t="s">
        <v>8</v>
      </c>
      <c r="N673" t="s">
        <v>189</v>
      </c>
      <c r="O673" t="s">
        <v>70</v>
      </c>
      <c r="P673" t="s">
        <v>689</v>
      </c>
      <c r="U673" s="8">
        <f t="shared" si="69"/>
        <v>1</v>
      </c>
      <c r="AD673" t="str">
        <f t="shared" si="68"/>
        <v>e</v>
      </c>
      <c r="AE673" t="str">
        <f t="shared" si="72"/>
        <v>Pass</v>
      </c>
      <c r="AF673" t="str">
        <f t="shared" si="70"/>
        <v>Pass_Completed</v>
      </c>
      <c r="AG673" t="str">
        <f t="shared" si="71"/>
        <v>Pass-Forehand</v>
      </c>
      <c r="AN673" t="str">
        <f t="shared" si="73"/>
        <v>Offensive</v>
      </c>
      <c r="BD673" s="23"/>
      <c r="BF673" s="21"/>
    </row>
    <row r="674" spans="1:58" x14ac:dyDescent="0.2">
      <c r="A674">
        <v>339</v>
      </c>
      <c r="J674">
        <v>55</v>
      </c>
      <c r="K674">
        <v>1</v>
      </c>
      <c r="U674" s="8">
        <f t="shared" si="69"/>
        <v>1</v>
      </c>
      <c r="AD674" t="str">
        <f t="shared" si="68"/>
        <v>e</v>
      </c>
      <c r="AE674" t="str">
        <f t="shared" si="72"/>
        <v>Pass</v>
      </c>
      <c r="AF674" t="str">
        <f t="shared" si="70"/>
        <v>Pass_Completed</v>
      </c>
      <c r="AG674" t="str">
        <f t="shared" si="71"/>
        <v>Pass-Forehand</v>
      </c>
      <c r="AN674" t="str">
        <f t="shared" si="73"/>
        <v>Offensive</v>
      </c>
      <c r="BD674" s="23"/>
      <c r="BF674" s="21"/>
    </row>
    <row r="675" spans="1:58" x14ac:dyDescent="0.2">
      <c r="A675">
        <v>340</v>
      </c>
      <c r="E675" s="5" t="s">
        <v>907</v>
      </c>
      <c r="F675" s="5" t="s">
        <v>899</v>
      </c>
      <c r="G675" s="5" t="s">
        <v>907</v>
      </c>
      <c r="H675" s="7" t="s">
        <v>891</v>
      </c>
      <c r="I675" t="s">
        <v>835</v>
      </c>
      <c r="J675">
        <v>55</v>
      </c>
      <c r="K675">
        <v>1</v>
      </c>
      <c r="L675" t="s">
        <v>401</v>
      </c>
      <c r="M675" t="s">
        <v>257</v>
      </c>
      <c r="N675" t="s">
        <v>191</v>
      </c>
      <c r="O675" t="s">
        <v>87</v>
      </c>
      <c r="P675" t="s">
        <v>688</v>
      </c>
      <c r="T675">
        <v>1</v>
      </c>
      <c r="U675" s="8">
        <f t="shared" si="69"/>
        <v>1</v>
      </c>
      <c r="AD675" t="str">
        <f t="shared" si="68"/>
        <v>e</v>
      </c>
      <c r="AE675" t="str">
        <f t="shared" si="72"/>
        <v>Zone_Entry_Exit</v>
      </c>
      <c r="AF675" t="str">
        <f t="shared" si="70"/>
        <v>Zone_Entry</v>
      </c>
      <c r="AG675" t="str">
        <f t="shared" si="71"/>
        <v>ZoneEntry-Rush</v>
      </c>
      <c r="AN675" t="str">
        <f t="shared" si="73"/>
        <v>Offensive</v>
      </c>
      <c r="BD675" s="23"/>
      <c r="BF675" s="21"/>
    </row>
    <row r="676" spans="1:58" x14ac:dyDescent="0.2">
      <c r="A676">
        <v>340</v>
      </c>
      <c r="J676">
        <v>94</v>
      </c>
      <c r="Q676" t="s">
        <v>696</v>
      </c>
      <c r="T676">
        <v>1</v>
      </c>
      <c r="U676" s="8">
        <f t="shared" si="69"/>
        <v>1</v>
      </c>
      <c r="AD676" t="str">
        <f t="shared" si="68"/>
        <v>o</v>
      </c>
      <c r="AE676" t="str">
        <f t="shared" si="72"/>
        <v>Zone_Entry_Exit</v>
      </c>
      <c r="AF676" t="str">
        <f t="shared" si="70"/>
        <v>Zone_Entry</v>
      </c>
      <c r="AG676" t="str">
        <f t="shared" si="71"/>
        <v>ZoneEntry-Rush</v>
      </c>
      <c r="AN676" t="str">
        <f t="shared" si="73"/>
        <v>Defensive</v>
      </c>
      <c r="BD676" s="23"/>
      <c r="BF676" s="21"/>
    </row>
    <row r="677" spans="1:58" x14ac:dyDescent="0.2">
      <c r="A677">
        <v>341</v>
      </c>
      <c r="E677" s="5" t="s">
        <v>907</v>
      </c>
      <c r="F677" s="5" t="s">
        <v>891</v>
      </c>
      <c r="I677" t="s">
        <v>835</v>
      </c>
      <c r="J677">
        <v>55</v>
      </c>
      <c r="K677">
        <v>1</v>
      </c>
      <c r="L677" t="s">
        <v>401</v>
      </c>
      <c r="M677" t="s">
        <v>10</v>
      </c>
      <c r="N677" t="s">
        <v>190</v>
      </c>
      <c r="O677" t="s">
        <v>424</v>
      </c>
      <c r="P677" t="s">
        <v>688</v>
      </c>
      <c r="Q677" t="s">
        <v>697</v>
      </c>
      <c r="S677" t="s">
        <v>688</v>
      </c>
      <c r="T677">
        <v>1</v>
      </c>
      <c r="U677" s="8">
        <f t="shared" si="69"/>
        <v>1</v>
      </c>
      <c r="AD677" t="str">
        <f t="shared" si="68"/>
        <v>e</v>
      </c>
      <c r="AE677" t="str">
        <f t="shared" si="72"/>
        <v>Turnover</v>
      </c>
      <c r="AF677" t="str">
        <f t="shared" si="70"/>
        <v>Turnover_Giveaway</v>
      </c>
      <c r="AG677" t="str">
        <f t="shared" si="71"/>
        <v>Giveaway-DumpInZone</v>
      </c>
      <c r="AN677" t="str">
        <f t="shared" si="73"/>
        <v>Offensive</v>
      </c>
      <c r="BD677" s="23"/>
      <c r="BF677" s="21"/>
    </row>
    <row r="678" spans="1:58" x14ac:dyDescent="0.2">
      <c r="A678">
        <v>341</v>
      </c>
      <c r="J678">
        <v>94</v>
      </c>
      <c r="Q678" t="s">
        <v>696</v>
      </c>
      <c r="T678">
        <v>1</v>
      </c>
      <c r="U678" s="8">
        <f t="shared" si="69"/>
        <v>1</v>
      </c>
      <c r="AD678" t="str">
        <f t="shared" si="68"/>
        <v>o</v>
      </c>
      <c r="AE678" t="str">
        <f t="shared" si="72"/>
        <v>Turnover</v>
      </c>
      <c r="AF678" t="str">
        <f t="shared" si="70"/>
        <v>Turnover_Giveaway</v>
      </c>
      <c r="AG678" t="str">
        <f t="shared" si="71"/>
        <v>Giveaway-DumpInZone</v>
      </c>
      <c r="AN678" t="str">
        <f t="shared" si="73"/>
        <v>Defensive</v>
      </c>
      <c r="BD678" s="23"/>
      <c r="BF678" s="21"/>
    </row>
    <row r="679" spans="1:58" x14ac:dyDescent="0.2">
      <c r="A679">
        <v>342</v>
      </c>
      <c r="E679" s="5" t="s">
        <v>907</v>
      </c>
      <c r="F679" s="5" t="s">
        <v>902</v>
      </c>
      <c r="G679" s="5" t="s">
        <v>907</v>
      </c>
      <c r="H679" s="7" t="s">
        <v>884</v>
      </c>
      <c r="I679" t="s">
        <v>840</v>
      </c>
      <c r="J679">
        <v>94</v>
      </c>
      <c r="K679">
        <v>1</v>
      </c>
      <c r="L679" t="s">
        <v>845</v>
      </c>
      <c r="M679" t="s">
        <v>15</v>
      </c>
      <c r="N679" t="s">
        <v>680</v>
      </c>
      <c r="P679" t="s">
        <v>689</v>
      </c>
      <c r="Q679" t="s">
        <v>698</v>
      </c>
      <c r="S679" t="s">
        <v>689</v>
      </c>
      <c r="U679" s="8">
        <f t="shared" si="69"/>
        <v>1</v>
      </c>
      <c r="AD679" t="str">
        <f t="shared" si="68"/>
        <v>e</v>
      </c>
      <c r="AE679" t="str">
        <f t="shared" si="72"/>
        <v>Possession</v>
      </c>
      <c r="AF679" t="str">
        <f t="shared" si="70"/>
        <v>PuckRetrieval</v>
      </c>
      <c r="AG679" t="str">
        <f t="shared" si="71"/>
        <v/>
      </c>
      <c r="AN679" t="str">
        <f t="shared" si="73"/>
        <v>Offensive</v>
      </c>
      <c r="BD679" s="23"/>
      <c r="BF679" s="21"/>
    </row>
    <row r="680" spans="1:58" x14ac:dyDescent="0.2">
      <c r="A680">
        <v>343</v>
      </c>
      <c r="E680" s="5" t="s">
        <v>907</v>
      </c>
      <c r="F680" s="5" t="s">
        <v>884</v>
      </c>
      <c r="G680" s="5" t="s">
        <v>907</v>
      </c>
      <c r="H680" s="7" t="s">
        <v>894</v>
      </c>
      <c r="I680" t="s">
        <v>840</v>
      </c>
      <c r="J680">
        <v>94</v>
      </c>
      <c r="K680">
        <v>1</v>
      </c>
      <c r="L680" t="s">
        <v>845</v>
      </c>
      <c r="M680" t="s">
        <v>15</v>
      </c>
      <c r="Q680" t="s">
        <v>721</v>
      </c>
      <c r="S680" t="s">
        <v>689</v>
      </c>
      <c r="T680">
        <v>1</v>
      </c>
      <c r="U680" s="8">
        <f t="shared" si="69"/>
        <v>1</v>
      </c>
      <c r="AD680" t="str">
        <f t="shared" si="68"/>
        <v>e</v>
      </c>
      <c r="AE680" t="str">
        <f t="shared" si="72"/>
        <v>Possession</v>
      </c>
      <c r="AF680" t="str">
        <f t="shared" si="70"/>
        <v/>
      </c>
      <c r="AG680" t="str">
        <f t="shared" si="71"/>
        <v/>
      </c>
      <c r="AN680" t="str">
        <f t="shared" si="73"/>
        <v>Offensive</v>
      </c>
      <c r="BD680" s="23"/>
      <c r="BF680" s="21"/>
    </row>
    <row r="681" spans="1:58" x14ac:dyDescent="0.2">
      <c r="A681">
        <v>343</v>
      </c>
      <c r="J681">
        <v>16</v>
      </c>
      <c r="Q681" t="s">
        <v>719</v>
      </c>
      <c r="S681" t="s">
        <v>688</v>
      </c>
      <c r="T681">
        <v>1</v>
      </c>
      <c r="U681" s="8">
        <f t="shared" si="69"/>
        <v>1</v>
      </c>
      <c r="AD681" t="str">
        <f t="shared" si="68"/>
        <v>o</v>
      </c>
      <c r="AE681" t="str">
        <f t="shared" si="72"/>
        <v>Possession</v>
      </c>
      <c r="AF681" t="str">
        <f t="shared" si="70"/>
        <v/>
      </c>
      <c r="AG681" t="str">
        <f t="shared" si="71"/>
        <v/>
      </c>
      <c r="AN681" t="str">
        <f t="shared" si="73"/>
        <v>Defensive</v>
      </c>
      <c r="BD681" s="23"/>
      <c r="BF681" s="21"/>
    </row>
    <row r="682" spans="1:58" x14ac:dyDescent="0.2">
      <c r="A682">
        <v>344</v>
      </c>
      <c r="E682" s="5" t="s">
        <v>907</v>
      </c>
      <c r="F682" s="5" t="s">
        <v>894</v>
      </c>
      <c r="G682" s="5" t="s">
        <v>907</v>
      </c>
      <c r="H682" s="7" t="s">
        <v>870</v>
      </c>
      <c r="I682" t="s">
        <v>840</v>
      </c>
      <c r="J682">
        <v>94</v>
      </c>
      <c r="K682">
        <v>1</v>
      </c>
      <c r="L682" t="s">
        <v>845</v>
      </c>
      <c r="M682" t="s">
        <v>257</v>
      </c>
      <c r="N682" t="s">
        <v>201</v>
      </c>
      <c r="O682" t="s">
        <v>90</v>
      </c>
      <c r="P682" t="s">
        <v>688</v>
      </c>
      <c r="U682" s="8">
        <f t="shared" si="69"/>
        <v>1</v>
      </c>
      <c r="AD682" t="str">
        <f t="shared" si="68"/>
        <v>e</v>
      </c>
      <c r="AE682" t="str">
        <f t="shared" si="72"/>
        <v>Zone_Entry_Exit</v>
      </c>
      <c r="AF682" t="str">
        <f t="shared" si="70"/>
        <v>Zone_Exit</v>
      </c>
      <c r="AG682" t="str">
        <f t="shared" si="71"/>
        <v>ZoneExit-Rush</v>
      </c>
      <c r="AN682" t="str">
        <f t="shared" si="73"/>
        <v>Offensive</v>
      </c>
      <c r="BD682" s="23"/>
      <c r="BF682" s="21"/>
    </row>
    <row r="683" spans="1:58" x14ac:dyDescent="0.2">
      <c r="A683">
        <v>345</v>
      </c>
      <c r="B683">
        <v>56</v>
      </c>
      <c r="E683" s="5" t="s">
        <v>907</v>
      </c>
      <c r="F683" s="5" t="s">
        <v>870</v>
      </c>
      <c r="I683" t="s">
        <v>840</v>
      </c>
      <c r="J683">
        <v>94</v>
      </c>
      <c r="K683">
        <v>1</v>
      </c>
      <c r="L683" t="s">
        <v>839</v>
      </c>
      <c r="M683" t="s">
        <v>8</v>
      </c>
      <c r="N683" t="s">
        <v>199</v>
      </c>
      <c r="O683" t="s">
        <v>70</v>
      </c>
      <c r="P683" t="s">
        <v>688</v>
      </c>
      <c r="U683" s="8">
        <f t="shared" si="69"/>
        <v>1</v>
      </c>
      <c r="AD683" t="str">
        <f t="shared" si="68"/>
        <v>e</v>
      </c>
      <c r="AE683" t="str">
        <f t="shared" si="72"/>
        <v>Pass</v>
      </c>
      <c r="AF683" t="str">
        <f t="shared" si="70"/>
        <v>Pass_Missed</v>
      </c>
      <c r="AG683" t="str">
        <f t="shared" si="71"/>
        <v>Pass-Forehand</v>
      </c>
      <c r="AN683" t="str">
        <f t="shared" si="73"/>
        <v>Offensive</v>
      </c>
      <c r="BD683" s="23"/>
      <c r="BF683" s="21"/>
    </row>
    <row r="684" spans="1:58" x14ac:dyDescent="0.2">
      <c r="A684">
        <v>345</v>
      </c>
      <c r="B684">
        <v>56</v>
      </c>
      <c r="J684">
        <v>8</v>
      </c>
      <c r="K684">
        <v>1</v>
      </c>
      <c r="U684" s="8">
        <f t="shared" si="69"/>
        <v>1</v>
      </c>
      <c r="AD684" t="str">
        <f t="shared" si="68"/>
        <v>e</v>
      </c>
      <c r="AE684" t="str">
        <f t="shared" si="72"/>
        <v>Pass</v>
      </c>
      <c r="AF684" t="str">
        <f t="shared" si="70"/>
        <v>Pass_Missed</v>
      </c>
      <c r="AG684" t="str">
        <f t="shared" si="71"/>
        <v>Pass-Forehand</v>
      </c>
      <c r="AN684" t="str">
        <f t="shared" si="73"/>
        <v>Offensive</v>
      </c>
      <c r="BD684" s="23"/>
      <c r="BF684" s="21"/>
    </row>
    <row r="685" spans="1:58" x14ac:dyDescent="0.2">
      <c r="A685">
        <v>345</v>
      </c>
      <c r="B685">
        <v>56</v>
      </c>
      <c r="J685">
        <v>70</v>
      </c>
      <c r="U685" s="8">
        <f t="shared" si="69"/>
        <v>1</v>
      </c>
      <c r="AD685" t="str">
        <f t="shared" si="68"/>
        <v>o</v>
      </c>
      <c r="AE685" t="str">
        <f t="shared" si="72"/>
        <v>Pass</v>
      </c>
      <c r="AF685" t="str">
        <f t="shared" si="70"/>
        <v>Pass_Missed</v>
      </c>
      <c r="AG685" t="str">
        <f t="shared" si="71"/>
        <v>Pass-Forehand</v>
      </c>
      <c r="AN685" t="str">
        <f t="shared" si="73"/>
        <v>Defensive</v>
      </c>
      <c r="BD685" s="23"/>
      <c r="BF685" s="21"/>
    </row>
    <row r="686" spans="1:58" x14ac:dyDescent="0.2">
      <c r="A686">
        <v>346</v>
      </c>
      <c r="B686">
        <v>56</v>
      </c>
      <c r="E686" s="5" t="s">
        <v>907</v>
      </c>
      <c r="F686" s="5" t="s">
        <v>870</v>
      </c>
      <c r="I686" t="s">
        <v>840</v>
      </c>
      <c r="J686">
        <v>94</v>
      </c>
      <c r="K686">
        <v>1</v>
      </c>
      <c r="L686" t="s">
        <v>839</v>
      </c>
      <c r="M686" t="s">
        <v>10</v>
      </c>
      <c r="N686" t="s">
        <v>190</v>
      </c>
      <c r="O686" t="s">
        <v>76</v>
      </c>
      <c r="P686" t="s">
        <v>688</v>
      </c>
      <c r="U686" s="8">
        <f t="shared" si="69"/>
        <v>1</v>
      </c>
      <c r="AD686" t="str">
        <f t="shared" si="68"/>
        <v>e</v>
      </c>
      <c r="AE686" t="str">
        <f t="shared" si="72"/>
        <v>Turnover</v>
      </c>
      <c r="AF686" t="str">
        <f t="shared" si="70"/>
        <v>Turnover_Giveaway</v>
      </c>
      <c r="AG686" t="str">
        <f t="shared" si="71"/>
        <v>Giveaway-PassMissed</v>
      </c>
      <c r="AN686" t="str">
        <f t="shared" si="73"/>
        <v>Offensive</v>
      </c>
      <c r="BD686" s="23"/>
      <c r="BF686" s="21"/>
    </row>
    <row r="687" spans="1:58" x14ac:dyDescent="0.2">
      <c r="A687">
        <v>346</v>
      </c>
      <c r="B687">
        <v>56</v>
      </c>
      <c r="J687">
        <v>8</v>
      </c>
      <c r="K687">
        <v>1</v>
      </c>
      <c r="U687" s="8">
        <f t="shared" si="69"/>
        <v>1</v>
      </c>
      <c r="AD687" t="str">
        <f t="shared" si="68"/>
        <v>e</v>
      </c>
      <c r="AE687" t="str">
        <f t="shared" si="72"/>
        <v>Turnover</v>
      </c>
      <c r="AF687" t="str">
        <f t="shared" si="70"/>
        <v>Turnover_Giveaway</v>
      </c>
      <c r="AG687" t="str">
        <f t="shared" si="71"/>
        <v>Giveaway-PassMissed</v>
      </c>
      <c r="AN687" t="str">
        <f t="shared" si="73"/>
        <v>Offensive</v>
      </c>
      <c r="BD687" s="23"/>
      <c r="BF687" s="21"/>
    </row>
    <row r="688" spans="1:58" x14ac:dyDescent="0.2">
      <c r="A688">
        <v>346</v>
      </c>
      <c r="B688">
        <v>56</v>
      </c>
      <c r="J688">
        <v>70</v>
      </c>
      <c r="U688" s="8">
        <f t="shared" si="69"/>
        <v>1</v>
      </c>
      <c r="AD688" t="str">
        <f t="shared" si="68"/>
        <v>o</v>
      </c>
      <c r="AE688" t="str">
        <f t="shared" si="72"/>
        <v>Turnover</v>
      </c>
      <c r="AF688" t="str">
        <f t="shared" si="70"/>
        <v>Turnover_Giveaway</v>
      </c>
      <c r="AG688" t="str">
        <f t="shared" si="71"/>
        <v>Giveaway-PassMissed</v>
      </c>
      <c r="AN688" t="str">
        <f t="shared" si="73"/>
        <v>Defensive</v>
      </c>
      <c r="BD688" s="23"/>
      <c r="BF688" s="21"/>
    </row>
    <row r="689" spans="1:58" x14ac:dyDescent="0.2">
      <c r="A689">
        <v>347</v>
      </c>
      <c r="E689" s="5" t="s">
        <v>907</v>
      </c>
      <c r="F689" s="5" t="s">
        <v>446</v>
      </c>
      <c r="I689" t="s">
        <v>835</v>
      </c>
      <c r="J689">
        <v>70</v>
      </c>
      <c r="K689">
        <v>1</v>
      </c>
      <c r="L689" t="s">
        <v>839</v>
      </c>
      <c r="M689" t="s">
        <v>15</v>
      </c>
      <c r="N689" t="s">
        <v>680</v>
      </c>
      <c r="P689" t="s">
        <v>688</v>
      </c>
      <c r="Q689" t="s">
        <v>701</v>
      </c>
      <c r="S689" t="s">
        <v>688</v>
      </c>
      <c r="U689" s="8">
        <f t="shared" si="69"/>
        <v>1</v>
      </c>
      <c r="AD689" t="str">
        <f t="shared" si="68"/>
        <v>e</v>
      </c>
      <c r="AE689" t="str">
        <f t="shared" si="72"/>
        <v>Possession</v>
      </c>
      <c r="AF689" t="str">
        <f t="shared" si="70"/>
        <v>PuckRetrieval</v>
      </c>
      <c r="AG689" t="str">
        <f t="shared" si="71"/>
        <v/>
      </c>
      <c r="AN689" t="str">
        <f t="shared" si="73"/>
        <v>Offensive</v>
      </c>
      <c r="BD689" s="23"/>
      <c r="BF689" s="21"/>
    </row>
    <row r="690" spans="1:58" x14ac:dyDescent="0.2">
      <c r="A690">
        <v>348</v>
      </c>
      <c r="B690">
        <v>57</v>
      </c>
      <c r="E690" s="5" t="s">
        <v>907</v>
      </c>
      <c r="F690" s="5" t="s">
        <v>446</v>
      </c>
      <c r="J690">
        <v>70</v>
      </c>
      <c r="K690">
        <v>1</v>
      </c>
      <c r="L690" t="s">
        <v>839</v>
      </c>
      <c r="M690" t="s">
        <v>8</v>
      </c>
      <c r="N690" t="s">
        <v>199</v>
      </c>
      <c r="O690" t="s">
        <v>70</v>
      </c>
      <c r="P690" t="s">
        <v>688</v>
      </c>
      <c r="Q690" t="s">
        <v>749</v>
      </c>
      <c r="S690" t="s">
        <v>688</v>
      </c>
      <c r="U690" s="8">
        <f t="shared" si="69"/>
        <v>1</v>
      </c>
      <c r="AD690" t="str">
        <f t="shared" si="68"/>
        <v>e</v>
      </c>
      <c r="AE690" t="str">
        <f t="shared" si="72"/>
        <v>Pass</v>
      </c>
      <c r="AF690" t="str">
        <f t="shared" si="70"/>
        <v>Pass_Missed</v>
      </c>
      <c r="AG690" t="str">
        <f t="shared" si="71"/>
        <v>Pass-Forehand</v>
      </c>
      <c r="AN690" t="str">
        <f t="shared" si="73"/>
        <v>Offensive</v>
      </c>
      <c r="BD690" s="23"/>
      <c r="BF690" s="21"/>
    </row>
    <row r="691" spans="1:58" x14ac:dyDescent="0.2">
      <c r="A691">
        <v>348</v>
      </c>
      <c r="B691">
        <v>57</v>
      </c>
      <c r="J691">
        <v>55</v>
      </c>
      <c r="K691">
        <v>1</v>
      </c>
      <c r="U691" s="8">
        <f t="shared" si="69"/>
        <v>1</v>
      </c>
      <c r="AD691" t="str">
        <f t="shared" si="68"/>
        <v>e</v>
      </c>
      <c r="AE691" t="str">
        <f t="shared" si="72"/>
        <v>Pass</v>
      </c>
      <c r="AF691" t="str">
        <f t="shared" si="70"/>
        <v>Pass_Missed</v>
      </c>
      <c r="AG691" t="str">
        <f t="shared" si="71"/>
        <v>Pass-Forehand</v>
      </c>
      <c r="AN691" t="str">
        <f t="shared" si="73"/>
        <v>Offensive</v>
      </c>
      <c r="BD691" s="23"/>
      <c r="BF691" s="21"/>
    </row>
    <row r="692" spans="1:58" x14ac:dyDescent="0.2">
      <c r="A692">
        <v>349</v>
      </c>
      <c r="B692">
        <v>57</v>
      </c>
      <c r="E692" s="5" t="s">
        <v>907</v>
      </c>
      <c r="F692" s="5" t="s">
        <v>446</v>
      </c>
      <c r="I692" t="s">
        <v>835</v>
      </c>
      <c r="J692">
        <v>70</v>
      </c>
      <c r="K692">
        <v>1</v>
      </c>
      <c r="L692" t="s">
        <v>839</v>
      </c>
      <c r="M692" t="s">
        <v>10</v>
      </c>
      <c r="N692" t="s">
        <v>190</v>
      </c>
      <c r="O692" t="s">
        <v>76</v>
      </c>
      <c r="P692" t="s">
        <v>688</v>
      </c>
      <c r="Q692" t="s">
        <v>749</v>
      </c>
      <c r="S692" t="s">
        <v>688</v>
      </c>
      <c r="U692" s="8">
        <f t="shared" si="69"/>
        <v>1</v>
      </c>
      <c r="AD692" t="str">
        <f t="shared" si="68"/>
        <v>e</v>
      </c>
      <c r="AE692" t="str">
        <f t="shared" si="72"/>
        <v>Turnover</v>
      </c>
      <c r="AF692" t="str">
        <f t="shared" si="70"/>
        <v>Turnover_Giveaway</v>
      </c>
      <c r="AG692" t="str">
        <f t="shared" si="71"/>
        <v>Giveaway-PassMissed</v>
      </c>
      <c r="AN692" t="str">
        <f t="shared" si="73"/>
        <v>Offensive</v>
      </c>
      <c r="BD692" s="23"/>
      <c r="BF692" s="21"/>
    </row>
    <row r="693" spans="1:58" x14ac:dyDescent="0.2">
      <c r="A693">
        <v>349</v>
      </c>
      <c r="B693">
        <v>57</v>
      </c>
      <c r="J693">
        <v>55</v>
      </c>
      <c r="K693">
        <v>1</v>
      </c>
      <c r="U693" s="8">
        <f t="shared" si="69"/>
        <v>1</v>
      </c>
      <c r="AD693" t="str">
        <f t="shared" si="68"/>
        <v>e</v>
      </c>
      <c r="AE693" t="str">
        <f t="shared" si="72"/>
        <v>Turnover</v>
      </c>
      <c r="AF693" t="str">
        <f t="shared" si="70"/>
        <v>Turnover_Giveaway</v>
      </c>
      <c r="AG693" t="str">
        <f t="shared" si="71"/>
        <v>Giveaway-PassMissed</v>
      </c>
      <c r="AN693" t="str">
        <f t="shared" si="73"/>
        <v>Offensive</v>
      </c>
      <c r="BD693" s="23"/>
      <c r="BF693" s="21"/>
    </row>
    <row r="694" spans="1:58" x14ac:dyDescent="0.2">
      <c r="A694">
        <v>350</v>
      </c>
      <c r="E694" s="5" t="s">
        <v>908</v>
      </c>
      <c r="F694" s="5" t="s">
        <v>838</v>
      </c>
      <c r="I694" t="s">
        <v>840</v>
      </c>
      <c r="J694">
        <v>26</v>
      </c>
      <c r="K694">
        <v>1</v>
      </c>
      <c r="L694" t="s">
        <v>839</v>
      </c>
      <c r="M694" t="s">
        <v>15</v>
      </c>
      <c r="N694" t="s">
        <v>680</v>
      </c>
      <c r="P694" t="s">
        <v>688</v>
      </c>
      <c r="Q694" t="s">
        <v>701</v>
      </c>
      <c r="S694" t="s">
        <v>688</v>
      </c>
      <c r="U694" s="8">
        <f t="shared" si="69"/>
        <v>1</v>
      </c>
      <c r="AD694" t="str">
        <f t="shared" si="68"/>
        <v>e</v>
      </c>
      <c r="AE694" t="str">
        <f t="shared" si="72"/>
        <v>Possession</v>
      </c>
      <c r="AF694" t="str">
        <f t="shared" si="70"/>
        <v>PuckRetrieval</v>
      </c>
      <c r="AG694" t="str">
        <f t="shared" si="71"/>
        <v/>
      </c>
      <c r="AN694" t="str">
        <f t="shared" si="73"/>
        <v>Offensive</v>
      </c>
      <c r="BD694" s="23"/>
      <c r="BF694" s="21"/>
    </row>
    <row r="695" spans="1:58" x14ac:dyDescent="0.2">
      <c r="A695">
        <v>351</v>
      </c>
      <c r="E695" s="5" t="s">
        <v>908</v>
      </c>
      <c r="F695" s="5" t="s">
        <v>838</v>
      </c>
      <c r="I695" t="s">
        <v>840</v>
      </c>
      <c r="J695">
        <v>26</v>
      </c>
      <c r="K695">
        <v>1</v>
      </c>
      <c r="L695" t="s">
        <v>839</v>
      </c>
      <c r="M695" t="s">
        <v>8</v>
      </c>
      <c r="N695" t="s">
        <v>189</v>
      </c>
      <c r="O695" t="s">
        <v>69</v>
      </c>
      <c r="P695" t="s">
        <v>689</v>
      </c>
      <c r="Q695" t="s">
        <v>749</v>
      </c>
      <c r="S695" t="s">
        <v>689</v>
      </c>
      <c r="U695" s="8">
        <f t="shared" si="69"/>
        <v>1</v>
      </c>
      <c r="AD695" t="str">
        <f t="shared" si="68"/>
        <v>e</v>
      </c>
      <c r="AE695" t="str">
        <f t="shared" si="72"/>
        <v>Pass</v>
      </c>
      <c r="AF695" t="str">
        <f t="shared" si="70"/>
        <v>Pass_Completed</v>
      </c>
      <c r="AG695" t="str">
        <f t="shared" si="71"/>
        <v>Pass-Backhand</v>
      </c>
      <c r="AN695" t="str">
        <f t="shared" si="73"/>
        <v>Offensive</v>
      </c>
      <c r="BD695" s="23"/>
      <c r="BF695" s="21"/>
    </row>
    <row r="696" spans="1:58" x14ac:dyDescent="0.2">
      <c r="A696">
        <v>351</v>
      </c>
      <c r="J696">
        <v>94</v>
      </c>
      <c r="K696">
        <v>1</v>
      </c>
      <c r="U696" s="8">
        <f t="shared" si="69"/>
        <v>1</v>
      </c>
      <c r="AD696" t="str">
        <f t="shared" si="68"/>
        <v>e</v>
      </c>
      <c r="AE696" t="str">
        <f t="shared" si="72"/>
        <v>Pass</v>
      </c>
      <c r="AF696" t="str">
        <f t="shared" si="70"/>
        <v>Pass_Completed</v>
      </c>
      <c r="AG696" t="str">
        <f t="shared" si="71"/>
        <v>Pass-Backhand</v>
      </c>
      <c r="AN696" t="str">
        <f t="shared" si="73"/>
        <v>Offensive</v>
      </c>
      <c r="BD696" s="23"/>
      <c r="BF696" s="21"/>
    </row>
    <row r="697" spans="1:58" x14ac:dyDescent="0.2">
      <c r="A697">
        <v>352</v>
      </c>
      <c r="E697" s="5" t="s">
        <v>908</v>
      </c>
      <c r="F697" s="5" t="s">
        <v>838</v>
      </c>
      <c r="G697" s="5" t="s">
        <v>908</v>
      </c>
      <c r="H697" s="7" t="s">
        <v>895</v>
      </c>
      <c r="I697" t="s">
        <v>840</v>
      </c>
      <c r="J697">
        <v>94</v>
      </c>
      <c r="K697">
        <v>1</v>
      </c>
      <c r="L697" t="s">
        <v>839</v>
      </c>
      <c r="M697" t="s">
        <v>15</v>
      </c>
      <c r="T697">
        <v>1</v>
      </c>
      <c r="U697" s="8">
        <f t="shared" si="69"/>
        <v>1</v>
      </c>
      <c r="AD697" t="str">
        <f t="shared" si="68"/>
        <v>e</v>
      </c>
      <c r="AE697" t="str">
        <f t="shared" si="72"/>
        <v>Possession</v>
      </c>
      <c r="AF697" t="str">
        <f t="shared" si="70"/>
        <v/>
      </c>
      <c r="AG697" t="str">
        <f t="shared" si="71"/>
        <v/>
      </c>
      <c r="AN697" t="str">
        <f t="shared" si="73"/>
        <v>Offensive</v>
      </c>
      <c r="BD697" s="23"/>
      <c r="BF697" s="21"/>
    </row>
    <row r="698" spans="1:58" x14ac:dyDescent="0.2">
      <c r="A698">
        <v>352</v>
      </c>
      <c r="J698">
        <v>70</v>
      </c>
      <c r="Q698" t="s">
        <v>696</v>
      </c>
      <c r="S698" t="s">
        <v>689</v>
      </c>
      <c r="T698">
        <v>1</v>
      </c>
      <c r="U698" s="8">
        <f t="shared" si="69"/>
        <v>1</v>
      </c>
      <c r="AD698" t="str">
        <f t="shared" si="68"/>
        <v>o</v>
      </c>
      <c r="AE698" t="str">
        <f t="shared" si="72"/>
        <v>Possession</v>
      </c>
      <c r="AF698" t="str">
        <f t="shared" si="70"/>
        <v/>
      </c>
      <c r="AG698" t="str">
        <f t="shared" si="71"/>
        <v/>
      </c>
      <c r="AN698" t="str">
        <f t="shared" si="73"/>
        <v>Defensive</v>
      </c>
      <c r="BD698" s="23"/>
      <c r="BF698" s="21"/>
    </row>
    <row r="699" spans="1:58" x14ac:dyDescent="0.2">
      <c r="A699">
        <v>353</v>
      </c>
      <c r="B699">
        <v>58</v>
      </c>
      <c r="E699" s="5" t="s">
        <v>908</v>
      </c>
      <c r="F699" s="5" t="s">
        <v>895</v>
      </c>
      <c r="I699" t="s">
        <v>835</v>
      </c>
      <c r="J699">
        <v>70</v>
      </c>
      <c r="K699">
        <v>1</v>
      </c>
      <c r="L699" t="s">
        <v>839</v>
      </c>
      <c r="M699" t="s">
        <v>10</v>
      </c>
      <c r="N699" t="s">
        <v>200</v>
      </c>
      <c r="O699" t="s">
        <v>82</v>
      </c>
      <c r="P699" t="s">
        <v>689</v>
      </c>
      <c r="Q699" t="s">
        <v>695</v>
      </c>
      <c r="S699" t="s">
        <v>689</v>
      </c>
      <c r="T699">
        <v>1</v>
      </c>
      <c r="U699" s="8">
        <f t="shared" si="69"/>
        <v>1</v>
      </c>
      <c r="AD699" t="str">
        <f t="shared" si="68"/>
        <v>e</v>
      </c>
      <c r="AE699" t="str">
        <f t="shared" si="72"/>
        <v>Turnover</v>
      </c>
      <c r="AF699" t="str">
        <f t="shared" si="70"/>
        <v>Turnover_Takeaway</v>
      </c>
      <c r="AG699" t="str">
        <f t="shared" si="71"/>
        <v>Takeaway-PokeCheck</v>
      </c>
      <c r="AN699" t="str">
        <f t="shared" si="73"/>
        <v>Defensive</v>
      </c>
      <c r="BD699" s="23"/>
      <c r="BF699" s="21"/>
    </row>
    <row r="700" spans="1:58" x14ac:dyDescent="0.2">
      <c r="A700">
        <v>353</v>
      </c>
      <c r="B700">
        <v>58</v>
      </c>
      <c r="J700">
        <v>94</v>
      </c>
      <c r="T700">
        <v>1</v>
      </c>
      <c r="U700" s="8">
        <f t="shared" si="69"/>
        <v>1</v>
      </c>
      <c r="AD700" t="str">
        <f t="shared" si="68"/>
        <v>o</v>
      </c>
      <c r="AE700" t="str">
        <f t="shared" si="72"/>
        <v>Turnover</v>
      </c>
      <c r="AF700" t="str">
        <f t="shared" si="70"/>
        <v>Turnover_Takeaway</v>
      </c>
      <c r="AG700" t="str">
        <f t="shared" si="71"/>
        <v>Takeaway-PokeCheck</v>
      </c>
      <c r="AN700" t="str">
        <f t="shared" si="73"/>
        <v>Offensive</v>
      </c>
      <c r="BD700" s="23"/>
      <c r="BF700" s="21"/>
    </row>
    <row r="701" spans="1:58" x14ac:dyDescent="0.2">
      <c r="A701">
        <v>354</v>
      </c>
      <c r="B701">
        <v>58</v>
      </c>
      <c r="E701" s="5" t="s">
        <v>908</v>
      </c>
      <c r="F701" s="5" t="s">
        <v>895</v>
      </c>
      <c r="I701" t="s">
        <v>835</v>
      </c>
      <c r="J701">
        <v>70</v>
      </c>
      <c r="K701">
        <v>1</v>
      </c>
      <c r="L701" t="s">
        <v>839</v>
      </c>
      <c r="M701" t="s">
        <v>257</v>
      </c>
      <c r="N701" t="s">
        <v>191</v>
      </c>
      <c r="O701" t="s">
        <v>447</v>
      </c>
      <c r="P701" t="s">
        <v>689</v>
      </c>
      <c r="Q701" t="s">
        <v>695</v>
      </c>
      <c r="S701" t="s">
        <v>689</v>
      </c>
      <c r="T701">
        <v>1</v>
      </c>
      <c r="U701" s="8">
        <f t="shared" si="69"/>
        <v>1</v>
      </c>
      <c r="AD701" t="str">
        <f t="shared" si="68"/>
        <v>e</v>
      </c>
      <c r="AE701" t="str">
        <f t="shared" si="72"/>
        <v>Zone_Entry_Exit</v>
      </c>
      <c r="AF701" t="str">
        <f t="shared" si="70"/>
        <v>Zone_Entry</v>
      </c>
      <c r="AG701" t="str">
        <f t="shared" si="71"/>
        <v>ZoneEntry-CausedTurnover</v>
      </c>
      <c r="AN701" t="str">
        <f t="shared" si="73"/>
        <v>Offensive</v>
      </c>
      <c r="BD701" s="23"/>
      <c r="BF701" s="21"/>
    </row>
    <row r="702" spans="1:58" x14ac:dyDescent="0.2">
      <c r="A702">
        <v>354</v>
      </c>
      <c r="B702">
        <v>58</v>
      </c>
      <c r="J702">
        <v>94</v>
      </c>
      <c r="T702">
        <v>1</v>
      </c>
      <c r="U702" s="8">
        <f t="shared" si="69"/>
        <v>1</v>
      </c>
      <c r="AD702" t="str">
        <f t="shared" si="68"/>
        <v>o</v>
      </c>
      <c r="AE702" t="str">
        <f t="shared" si="72"/>
        <v>Zone_Entry_Exit</v>
      </c>
      <c r="AF702" t="str">
        <f t="shared" si="70"/>
        <v>Zone_Entry</v>
      </c>
      <c r="AG702" t="str">
        <f t="shared" si="71"/>
        <v>ZoneEntry-CausedTurnover</v>
      </c>
      <c r="AN702" t="str">
        <f t="shared" si="73"/>
        <v>Defensive</v>
      </c>
      <c r="BD702" s="23"/>
      <c r="BF702" s="21"/>
    </row>
    <row r="703" spans="1:58" x14ac:dyDescent="0.2">
      <c r="A703">
        <v>355</v>
      </c>
      <c r="E703" s="5" t="s">
        <v>908</v>
      </c>
      <c r="F703" s="5" t="s">
        <v>885</v>
      </c>
      <c r="G703" s="5" t="s">
        <v>908</v>
      </c>
      <c r="H703" s="7" t="s">
        <v>875</v>
      </c>
      <c r="I703" t="s">
        <v>835</v>
      </c>
      <c r="J703">
        <v>70</v>
      </c>
      <c r="K703">
        <v>1</v>
      </c>
      <c r="L703" t="s">
        <v>401</v>
      </c>
      <c r="M703" t="s">
        <v>15</v>
      </c>
      <c r="N703" t="s">
        <v>680</v>
      </c>
      <c r="P703" t="s">
        <v>689</v>
      </c>
      <c r="Q703" t="s">
        <v>661</v>
      </c>
      <c r="S703" t="s">
        <v>689</v>
      </c>
      <c r="T703">
        <v>1</v>
      </c>
      <c r="U703" s="8">
        <f t="shared" si="69"/>
        <v>1</v>
      </c>
      <c r="AD703" t="str">
        <f t="shared" si="68"/>
        <v>e</v>
      </c>
      <c r="AE703" t="str">
        <f t="shared" si="72"/>
        <v>Possession</v>
      </c>
      <c r="AF703" t="str">
        <f t="shared" si="70"/>
        <v>PuckRetrieval</v>
      </c>
      <c r="AG703" t="str">
        <f t="shared" si="71"/>
        <v/>
      </c>
      <c r="AN703" t="str">
        <f t="shared" si="73"/>
        <v>Offensive</v>
      </c>
      <c r="BD703" s="23"/>
      <c r="BF703" s="21"/>
    </row>
    <row r="704" spans="1:58" x14ac:dyDescent="0.2">
      <c r="A704">
        <v>355</v>
      </c>
      <c r="J704">
        <v>61</v>
      </c>
      <c r="K704">
        <v>1</v>
      </c>
      <c r="U704" s="8">
        <f t="shared" si="69"/>
        <v>1</v>
      </c>
      <c r="AD704" t="str">
        <f t="shared" si="68"/>
        <v>e</v>
      </c>
      <c r="AE704" t="str">
        <f t="shared" si="72"/>
        <v>Possession</v>
      </c>
      <c r="AF704" t="str">
        <f t="shared" si="70"/>
        <v>PuckRetrieval</v>
      </c>
      <c r="AG704" t="str">
        <f t="shared" si="71"/>
        <v/>
      </c>
      <c r="AN704" t="str">
        <f t="shared" si="73"/>
        <v>Offensive</v>
      </c>
      <c r="BD704" s="23"/>
      <c r="BF704" s="21"/>
    </row>
    <row r="705" spans="1:58" x14ac:dyDescent="0.2">
      <c r="A705">
        <v>355</v>
      </c>
      <c r="J705">
        <v>17</v>
      </c>
      <c r="Q705" t="s">
        <v>696</v>
      </c>
      <c r="S705" t="s">
        <v>688</v>
      </c>
      <c r="T705">
        <v>1</v>
      </c>
      <c r="U705" s="8">
        <f t="shared" si="69"/>
        <v>1</v>
      </c>
      <c r="AD705" t="str">
        <f t="shared" si="68"/>
        <v>o</v>
      </c>
      <c r="AE705" t="str">
        <f t="shared" si="72"/>
        <v>Possession</v>
      </c>
      <c r="AF705" t="str">
        <f t="shared" si="70"/>
        <v>PuckRetrieval</v>
      </c>
      <c r="AG705" t="str">
        <f t="shared" si="71"/>
        <v/>
      </c>
      <c r="AN705" t="str">
        <f t="shared" si="73"/>
        <v>Defensive</v>
      </c>
      <c r="BD705" s="23"/>
      <c r="BF705" s="21"/>
    </row>
    <row r="706" spans="1:58" x14ac:dyDescent="0.2">
      <c r="A706">
        <v>355</v>
      </c>
      <c r="J706">
        <v>94</v>
      </c>
      <c r="U706" s="8">
        <f t="shared" si="69"/>
        <v>1</v>
      </c>
      <c r="AD706" t="str">
        <f t="shared" ref="AD706:AD769" si="74">IF(K706="x","",IF(K706=1,"e","o"))</f>
        <v>o</v>
      </c>
      <c r="AE706" t="str">
        <f t="shared" si="72"/>
        <v>Possession</v>
      </c>
      <c r="AF706" t="str">
        <f t="shared" si="70"/>
        <v>PuckRetrieval</v>
      </c>
      <c r="AG706" t="str">
        <f t="shared" si="71"/>
        <v/>
      </c>
      <c r="AN706" t="str">
        <f t="shared" si="73"/>
        <v>Defensive</v>
      </c>
      <c r="BD706" s="23"/>
      <c r="BF706" s="21"/>
    </row>
    <row r="707" spans="1:58" x14ac:dyDescent="0.2">
      <c r="A707">
        <v>356</v>
      </c>
      <c r="E707" s="5" t="s">
        <v>908</v>
      </c>
      <c r="F707" s="5" t="s">
        <v>875</v>
      </c>
      <c r="I707" t="s">
        <v>835</v>
      </c>
      <c r="J707">
        <v>70</v>
      </c>
      <c r="K707">
        <v>1</v>
      </c>
      <c r="L707" t="s">
        <v>401</v>
      </c>
      <c r="M707" t="s">
        <v>8</v>
      </c>
      <c r="N707" t="s">
        <v>189</v>
      </c>
      <c r="O707" t="s">
        <v>69</v>
      </c>
      <c r="P707" t="s">
        <v>689</v>
      </c>
      <c r="T707">
        <v>1</v>
      </c>
      <c r="U707" s="8">
        <f t="shared" ref="U707:U770" si="75">IF(M707="Intermission",U706+1,U706)</f>
        <v>1</v>
      </c>
      <c r="AD707" t="str">
        <f t="shared" si="74"/>
        <v>e</v>
      </c>
      <c r="AE707" t="str">
        <f t="shared" si="72"/>
        <v>Pass</v>
      </c>
      <c r="AF707" t="str">
        <f t="shared" ref="AF707:AF770" si="76">IF(N707&lt;&gt;"",N707,IF($A707=$A706,AF706,""))</f>
        <v>Pass_Completed</v>
      </c>
      <c r="AG707" t="str">
        <f t="shared" ref="AG707:AG770" si="77">IF(O707&lt;&gt;"",O707,IF($A707=$A706,AG706,""))</f>
        <v>Pass-Backhand</v>
      </c>
      <c r="AN707" t="str">
        <f t="shared" si="73"/>
        <v>Offensive</v>
      </c>
      <c r="BD707" s="23"/>
      <c r="BF707" s="21"/>
    </row>
    <row r="708" spans="1:58" x14ac:dyDescent="0.2">
      <c r="A708">
        <v>356</v>
      </c>
      <c r="J708">
        <v>61</v>
      </c>
      <c r="K708">
        <v>1</v>
      </c>
      <c r="U708" s="8">
        <f t="shared" si="75"/>
        <v>1</v>
      </c>
      <c r="AD708" t="str">
        <f t="shared" si="74"/>
        <v>e</v>
      </c>
      <c r="AE708" t="str">
        <f t="shared" ref="AE708:AE771" si="78">IF(M708&lt;&gt;"",M708,IF($A708=$A707,AE707,""))</f>
        <v>Pass</v>
      </c>
      <c r="AF708" t="str">
        <f t="shared" si="76"/>
        <v>Pass_Completed</v>
      </c>
      <c r="AG708" t="str">
        <f t="shared" si="77"/>
        <v>Pass-Backhand</v>
      </c>
      <c r="AN708" t="str">
        <f t="shared" si="73"/>
        <v>Offensive</v>
      </c>
      <c r="BD708" s="23"/>
      <c r="BF708" s="21"/>
    </row>
    <row r="709" spans="1:58" x14ac:dyDescent="0.2">
      <c r="A709">
        <v>356</v>
      </c>
      <c r="J709">
        <v>17</v>
      </c>
      <c r="T709">
        <v>1</v>
      </c>
      <c r="U709" s="8">
        <f t="shared" si="75"/>
        <v>1</v>
      </c>
      <c r="AD709" t="str">
        <f t="shared" si="74"/>
        <v>o</v>
      </c>
      <c r="AE709" t="str">
        <f t="shared" si="78"/>
        <v>Pass</v>
      </c>
      <c r="AF709" t="str">
        <f t="shared" si="76"/>
        <v>Pass_Completed</v>
      </c>
      <c r="AG709" t="str">
        <f t="shared" si="77"/>
        <v>Pass-Backhand</v>
      </c>
      <c r="AN709" t="str">
        <f t="shared" si="73"/>
        <v>Defensive</v>
      </c>
      <c r="BD709" s="23"/>
      <c r="BF709" s="21"/>
    </row>
    <row r="710" spans="1:58" x14ac:dyDescent="0.2">
      <c r="A710">
        <v>357</v>
      </c>
      <c r="B710">
        <v>59</v>
      </c>
      <c r="E710" s="5" t="s">
        <v>908</v>
      </c>
      <c r="F710" s="5" t="s">
        <v>842</v>
      </c>
      <c r="I710" t="s">
        <v>835</v>
      </c>
      <c r="J710">
        <v>61</v>
      </c>
      <c r="K710">
        <v>1</v>
      </c>
      <c r="L710" t="s">
        <v>401</v>
      </c>
      <c r="M710" t="s">
        <v>7</v>
      </c>
      <c r="N710" t="s">
        <v>208</v>
      </c>
      <c r="O710" t="s">
        <v>53</v>
      </c>
      <c r="P710" t="s">
        <v>688</v>
      </c>
      <c r="T710">
        <v>1</v>
      </c>
      <c r="U710" s="8">
        <f t="shared" si="75"/>
        <v>1</v>
      </c>
      <c r="AD710" t="str">
        <f t="shared" si="74"/>
        <v>e</v>
      </c>
      <c r="AE710" t="str">
        <f t="shared" si="78"/>
        <v>Shot</v>
      </c>
      <c r="AF710" t="str">
        <f t="shared" si="76"/>
        <v>Shot_Blocked</v>
      </c>
      <c r="AG710" t="str">
        <f t="shared" si="77"/>
        <v>Shot-Wrist</v>
      </c>
      <c r="AN710" t="str">
        <f t="shared" si="73"/>
        <v>Offensive</v>
      </c>
      <c r="BD710" s="23"/>
      <c r="BF710" s="21"/>
    </row>
    <row r="711" spans="1:58" x14ac:dyDescent="0.2">
      <c r="A711">
        <v>357</v>
      </c>
      <c r="B711">
        <v>59</v>
      </c>
      <c r="J711">
        <v>17</v>
      </c>
      <c r="Q711" t="s">
        <v>665</v>
      </c>
      <c r="R711" t="s">
        <v>696</v>
      </c>
      <c r="S711" t="s">
        <v>689</v>
      </c>
      <c r="T711">
        <v>1</v>
      </c>
      <c r="U711" s="8">
        <f t="shared" si="75"/>
        <v>1</v>
      </c>
      <c r="AD711" t="str">
        <f t="shared" si="74"/>
        <v>o</v>
      </c>
      <c r="AE711" t="str">
        <f t="shared" si="78"/>
        <v>Shot</v>
      </c>
      <c r="AF711" t="str">
        <f t="shared" si="76"/>
        <v>Shot_Blocked</v>
      </c>
      <c r="AG711" t="str">
        <f t="shared" si="77"/>
        <v>Shot-Wrist</v>
      </c>
      <c r="AN711" t="str">
        <f t="shared" si="73"/>
        <v>Defensive</v>
      </c>
      <c r="BD711" s="23"/>
      <c r="BF711" s="21"/>
    </row>
    <row r="712" spans="1:58" x14ac:dyDescent="0.2">
      <c r="A712">
        <v>358</v>
      </c>
      <c r="B712">
        <v>59</v>
      </c>
      <c r="E712" s="5" t="s">
        <v>908</v>
      </c>
      <c r="F712" s="5" t="s">
        <v>842</v>
      </c>
      <c r="I712" t="s">
        <v>835</v>
      </c>
      <c r="J712">
        <v>61</v>
      </c>
      <c r="K712">
        <v>1</v>
      </c>
      <c r="L712" t="s">
        <v>401</v>
      </c>
      <c r="M712" t="s">
        <v>10</v>
      </c>
      <c r="N712" t="s">
        <v>190</v>
      </c>
      <c r="O712" t="s">
        <v>78</v>
      </c>
      <c r="P712" t="s">
        <v>688</v>
      </c>
      <c r="U712" s="8">
        <f t="shared" si="75"/>
        <v>1</v>
      </c>
      <c r="AD712" t="str">
        <f t="shared" si="74"/>
        <v>e</v>
      </c>
      <c r="AE712" t="str">
        <f t="shared" si="78"/>
        <v>Turnover</v>
      </c>
      <c r="AF712" t="str">
        <f t="shared" si="76"/>
        <v>Turnover_Giveaway</v>
      </c>
      <c r="AG712" t="str">
        <f t="shared" si="77"/>
        <v>Giveaway-ShotBlocked</v>
      </c>
      <c r="AN712" t="str">
        <f t="shared" si="73"/>
        <v>Offensive</v>
      </c>
      <c r="BD712" s="23"/>
      <c r="BF712" s="21"/>
    </row>
    <row r="713" spans="1:58" x14ac:dyDescent="0.2">
      <c r="A713">
        <v>358</v>
      </c>
      <c r="B713">
        <v>59</v>
      </c>
      <c r="J713">
        <v>17</v>
      </c>
      <c r="Q713" t="s">
        <v>665</v>
      </c>
      <c r="R713" t="s">
        <v>696</v>
      </c>
      <c r="S713" t="s">
        <v>689</v>
      </c>
      <c r="T713">
        <v>1</v>
      </c>
      <c r="U713" s="8">
        <f t="shared" si="75"/>
        <v>1</v>
      </c>
      <c r="AD713" t="str">
        <f t="shared" si="74"/>
        <v>o</v>
      </c>
      <c r="AE713" t="str">
        <f t="shared" si="78"/>
        <v>Turnover</v>
      </c>
      <c r="AF713" t="str">
        <f t="shared" si="76"/>
        <v>Turnover_Giveaway</v>
      </c>
      <c r="AG713" t="str">
        <f t="shared" si="77"/>
        <v>Giveaway-ShotBlocked</v>
      </c>
      <c r="AN713" t="str">
        <f t="shared" ref="AN713:AN776" si="79">IF(AND(AD713="e",OR(AE713="Save",AF713="Turnover_Takeaway",AF713="Play_Defensive")),"Defensive",IF(AND(AD713="o",OR(AE713="Save",AF713="Turnover_Takeaway",AF713="Play_Defensive")),"Offensive",IF(OR(AE713="Deadice",AE713="Stoppage",AE713="Intermission"),"",IF(AD713="e","Offensive",IF(AD713="o","Defensive","")))))</f>
        <v>Defensive</v>
      </c>
      <c r="BD713" s="23"/>
      <c r="BF713" s="21"/>
    </row>
    <row r="714" spans="1:58" x14ac:dyDescent="0.2">
      <c r="A714">
        <v>359</v>
      </c>
      <c r="E714" s="5" t="s">
        <v>908</v>
      </c>
      <c r="F714" s="5" t="s">
        <v>876</v>
      </c>
      <c r="I714" t="s">
        <v>840</v>
      </c>
      <c r="J714">
        <v>17</v>
      </c>
      <c r="K714">
        <v>1</v>
      </c>
      <c r="L714" t="s">
        <v>845</v>
      </c>
      <c r="M714" t="s">
        <v>15</v>
      </c>
      <c r="N714" t="s">
        <v>680</v>
      </c>
      <c r="P714" t="s">
        <v>689</v>
      </c>
      <c r="Q714" t="s">
        <v>666</v>
      </c>
      <c r="S714" t="s">
        <v>689</v>
      </c>
      <c r="U714" s="8">
        <f t="shared" si="75"/>
        <v>1</v>
      </c>
      <c r="AD714" t="str">
        <f t="shared" si="74"/>
        <v>e</v>
      </c>
      <c r="AE714" t="str">
        <f t="shared" si="78"/>
        <v>Possession</v>
      </c>
      <c r="AF714" t="str">
        <f t="shared" si="76"/>
        <v>PuckRetrieval</v>
      </c>
      <c r="AG714" t="str">
        <f t="shared" si="77"/>
        <v/>
      </c>
      <c r="AN714" t="str">
        <f t="shared" si="79"/>
        <v>Offensive</v>
      </c>
      <c r="BD714" s="23"/>
      <c r="BF714" s="21"/>
    </row>
    <row r="715" spans="1:58" x14ac:dyDescent="0.2">
      <c r="A715">
        <v>360</v>
      </c>
      <c r="E715" s="5" t="s">
        <v>908</v>
      </c>
      <c r="F715" s="5" t="s">
        <v>876</v>
      </c>
      <c r="I715" t="s">
        <v>840</v>
      </c>
      <c r="J715">
        <v>17</v>
      </c>
      <c r="K715">
        <v>1</v>
      </c>
      <c r="L715" t="s">
        <v>845</v>
      </c>
      <c r="M715" t="s">
        <v>8</v>
      </c>
      <c r="N715" t="s">
        <v>189</v>
      </c>
      <c r="O715" t="s">
        <v>68</v>
      </c>
      <c r="P715" t="s">
        <v>689</v>
      </c>
      <c r="Q715" t="s">
        <v>749</v>
      </c>
      <c r="S715" t="s">
        <v>689</v>
      </c>
      <c r="U715" s="8">
        <f t="shared" si="75"/>
        <v>1</v>
      </c>
      <c r="AD715" t="str">
        <f t="shared" si="74"/>
        <v>e</v>
      </c>
      <c r="AE715" t="str">
        <f t="shared" si="78"/>
        <v>Pass</v>
      </c>
      <c r="AF715" t="str">
        <f t="shared" si="76"/>
        <v>Pass_Completed</v>
      </c>
      <c r="AG715" t="str">
        <f t="shared" si="77"/>
        <v>Pass-Rim/Wrap</v>
      </c>
      <c r="AN715" t="str">
        <f t="shared" si="79"/>
        <v>Offensive</v>
      </c>
      <c r="BD715" s="23"/>
      <c r="BF715" s="21"/>
    </row>
    <row r="716" spans="1:58" x14ac:dyDescent="0.2">
      <c r="A716">
        <v>360</v>
      </c>
      <c r="J716">
        <v>19</v>
      </c>
      <c r="K716">
        <v>1</v>
      </c>
      <c r="U716" s="8">
        <f t="shared" si="75"/>
        <v>1</v>
      </c>
      <c r="AD716" t="str">
        <f t="shared" si="74"/>
        <v>e</v>
      </c>
      <c r="AE716" t="str">
        <f t="shared" si="78"/>
        <v>Pass</v>
      </c>
      <c r="AF716" t="str">
        <f t="shared" si="76"/>
        <v>Pass_Completed</v>
      </c>
      <c r="AG716" t="str">
        <f t="shared" si="77"/>
        <v>Pass-Rim/Wrap</v>
      </c>
      <c r="AN716" t="str">
        <f t="shared" si="79"/>
        <v>Offensive</v>
      </c>
      <c r="BD716" s="23"/>
      <c r="BF716" s="21"/>
    </row>
    <row r="717" spans="1:58" x14ac:dyDescent="0.2">
      <c r="A717">
        <v>361</v>
      </c>
      <c r="E717" s="5" t="s">
        <v>908</v>
      </c>
      <c r="F717" s="5" t="s">
        <v>846</v>
      </c>
      <c r="I717" t="s">
        <v>840</v>
      </c>
      <c r="J717">
        <v>19</v>
      </c>
      <c r="K717">
        <v>1</v>
      </c>
      <c r="L717" t="s">
        <v>845</v>
      </c>
      <c r="M717" t="s">
        <v>8</v>
      </c>
      <c r="N717" t="s">
        <v>189</v>
      </c>
      <c r="O717" t="s">
        <v>682</v>
      </c>
      <c r="P717" t="s">
        <v>689</v>
      </c>
      <c r="Q717" t="s">
        <v>749</v>
      </c>
      <c r="R717" t="s">
        <v>773</v>
      </c>
      <c r="S717" t="s">
        <v>689</v>
      </c>
      <c r="U717" s="8">
        <f t="shared" si="75"/>
        <v>1</v>
      </c>
      <c r="AD717" t="str">
        <f t="shared" si="74"/>
        <v>e</v>
      </c>
      <c r="AE717" t="str">
        <f t="shared" si="78"/>
        <v>Pass</v>
      </c>
      <c r="AF717" t="str">
        <f t="shared" si="76"/>
        <v>Pass_Completed</v>
      </c>
      <c r="AG717" t="str">
        <f t="shared" si="77"/>
        <v>Pass-OneTouch</v>
      </c>
      <c r="AN717" t="str">
        <f t="shared" si="79"/>
        <v>Offensive</v>
      </c>
      <c r="BD717" s="23"/>
      <c r="BF717" s="21"/>
    </row>
    <row r="718" spans="1:58" x14ac:dyDescent="0.2">
      <c r="A718">
        <v>361</v>
      </c>
      <c r="J718">
        <v>8</v>
      </c>
      <c r="K718">
        <v>1</v>
      </c>
      <c r="U718" s="8">
        <f t="shared" si="75"/>
        <v>1</v>
      </c>
      <c r="AD718" t="str">
        <f t="shared" si="74"/>
        <v>e</v>
      </c>
      <c r="AE718" t="str">
        <f t="shared" si="78"/>
        <v>Pass</v>
      </c>
      <c r="AF718" t="str">
        <f t="shared" si="76"/>
        <v>Pass_Completed</v>
      </c>
      <c r="AG718" t="str">
        <f t="shared" si="77"/>
        <v>Pass-OneTouch</v>
      </c>
      <c r="AN718" t="str">
        <f t="shared" si="79"/>
        <v>Offensive</v>
      </c>
      <c r="BD718" s="23"/>
      <c r="BF718" s="21"/>
    </row>
    <row r="719" spans="1:58" x14ac:dyDescent="0.2">
      <c r="A719">
        <v>362</v>
      </c>
      <c r="E719" s="5" t="s">
        <v>908</v>
      </c>
      <c r="F719" s="5" t="s">
        <v>846</v>
      </c>
      <c r="G719" s="5" t="s">
        <v>908</v>
      </c>
      <c r="H719" s="7" t="s">
        <v>844</v>
      </c>
      <c r="I719" t="s">
        <v>840</v>
      </c>
      <c r="J719">
        <v>8</v>
      </c>
      <c r="K719">
        <v>1</v>
      </c>
      <c r="L719" t="s">
        <v>845</v>
      </c>
      <c r="M719" t="s">
        <v>257</v>
      </c>
      <c r="N719" t="s">
        <v>201</v>
      </c>
      <c r="O719" t="s">
        <v>90</v>
      </c>
      <c r="P719" t="s">
        <v>689</v>
      </c>
      <c r="U719" s="8">
        <f t="shared" si="75"/>
        <v>1</v>
      </c>
      <c r="AD719" t="str">
        <f t="shared" si="74"/>
        <v>e</v>
      </c>
      <c r="AE719" t="str">
        <f t="shared" si="78"/>
        <v>Zone_Entry_Exit</v>
      </c>
      <c r="AF719" t="str">
        <f t="shared" si="76"/>
        <v>Zone_Exit</v>
      </c>
      <c r="AG719" t="str">
        <f t="shared" si="77"/>
        <v>ZoneExit-Rush</v>
      </c>
      <c r="AN719" t="str">
        <f t="shared" si="79"/>
        <v>Offensive</v>
      </c>
      <c r="BD719" s="23"/>
      <c r="BF719" s="21"/>
    </row>
    <row r="720" spans="1:58" x14ac:dyDescent="0.2">
      <c r="A720">
        <v>363</v>
      </c>
      <c r="E720" s="5" t="s">
        <v>908</v>
      </c>
      <c r="F720" s="5" t="s">
        <v>844</v>
      </c>
      <c r="G720" s="5" t="s">
        <v>908</v>
      </c>
      <c r="H720" s="7" t="s">
        <v>877</v>
      </c>
      <c r="I720" t="s">
        <v>840</v>
      </c>
      <c r="J720">
        <v>8</v>
      </c>
      <c r="K720">
        <v>1</v>
      </c>
      <c r="L720" t="s">
        <v>839</v>
      </c>
      <c r="M720" t="s">
        <v>15</v>
      </c>
      <c r="U720" s="8">
        <f t="shared" si="75"/>
        <v>1</v>
      </c>
      <c r="AD720" t="str">
        <f t="shared" si="74"/>
        <v>e</v>
      </c>
      <c r="AE720" t="str">
        <f t="shared" si="78"/>
        <v>Possession</v>
      </c>
      <c r="AF720" t="str">
        <f t="shared" si="76"/>
        <v/>
      </c>
      <c r="AG720" t="str">
        <f t="shared" si="77"/>
        <v/>
      </c>
      <c r="AN720" t="str">
        <f t="shared" si="79"/>
        <v>Offensive</v>
      </c>
      <c r="BD720" s="23"/>
      <c r="BF720" s="21"/>
    </row>
    <row r="721" spans="1:58" x14ac:dyDescent="0.2">
      <c r="A721">
        <v>364</v>
      </c>
      <c r="E721" s="5" t="s">
        <v>908</v>
      </c>
      <c r="F721" s="5" t="s">
        <v>877</v>
      </c>
      <c r="G721" s="5" t="s">
        <v>908</v>
      </c>
      <c r="H721" s="7" t="s">
        <v>889</v>
      </c>
      <c r="I721" t="s">
        <v>840</v>
      </c>
      <c r="J721">
        <v>8</v>
      </c>
      <c r="K721">
        <v>1</v>
      </c>
      <c r="L721" t="s">
        <v>401</v>
      </c>
      <c r="M721" t="s">
        <v>257</v>
      </c>
      <c r="N721" t="s">
        <v>191</v>
      </c>
      <c r="O721" t="s">
        <v>87</v>
      </c>
      <c r="P721" t="s">
        <v>689</v>
      </c>
      <c r="Q721" t="s">
        <v>661</v>
      </c>
      <c r="R721" t="s">
        <v>721</v>
      </c>
      <c r="S721" t="s">
        <v>689</v>
      </c>
      <c r="T721">
        <v>1</v>
      </c>
      <c r="U721" s="8">
        <f t="shared" si="75"/>
        <v>1</v>
      </c>
      <c r="AD721" t="str">
        <f t="shared" si="74"/>
        <v>e</v>
      </c>
      <c r="AE721" t="str">
        <f t="shared" si="78"/>
        <v>Zone_Entry_Exit</v>
      </c>
      <c r="AF721" t="str">
        <f t="shared" si="76"/>
        <v>Zone_Entry</v>
      </c>
      <c r="AG721" t="str">
        <f t="shared" si="77"/>
        <v>ZoneEntry-Rush</v>
      </c>
      <c r="AN721" t="str">
        <f t="shared" si="79"/>
        <v>Offensive</v>
      </c>
      <c r="BD721" s="23"/>
      <c r="BF721" s="21"/>
    </row>
    <row r="722" spans="1:58" x14ac:dyDescent="0.2">
      <c r="A722">
        <v>364</v>
      </c>
      <c r="J722">
        <v>22</v>
      </c>
      <c r="Q722" t="s">
        <v>728</v>
      </c>
      <c r="R722" t="s">
        <v>719</v>
      </c>
      <c r="S722" t="s">
        <v>688</v>
      </c>
      <c r="T722">
        <v>1</v>
      </c>
      <c r="U722" s="8">
        <f t="shared" si="75"/>
        <v>1</v>
      </c>
      <c r="AD722" t="str">
        <f t="shared" si="74"/>
        <v>o</v>
      </c>
      <c r="AE722" t="str">
        <f t="shared" si="78"/>
        <v>Zone_Entry_Exit</v>
      </c>
      <c r="AF722" t="str">
        <f t="shared" si="76"/>
        <v>Zone_Entry</v>
      </c>
      <c r="AG722" t="str">
        <f t="shared" si="77"/>
        <v>ZoneEntry-Rush</v>
      </c>
      <c r="AN722" t="str">
        <f t="shared" si="79"/>
        <v>Defensive</v>
      </c>
      <c r="BD722" s="23"/>
      <c r="BF722" s="21"/>
    </row>
    <row r="723" spans="1:58" x14ac:dyDescent="0.2">
      <c r="A723">
        <v>364</v>
      </c>
      <c r="J723">
        <v>84</v>
      </c>
      <c r="U723" s="8">
        <f t="shared" si="75"/>
        <v>1</v>
      </c>
      <c r="AD723" t="str">
        <f t="shared" si="74"/>
        <v>o</v>
      </c>
      <c r="AE723" t="str">
        <f t="shared" si="78"/>
        <v>Zone_Entry_Exit</v>
      </c>
      <c r="AF723" t="str">
        <f t="shared" si="76"/>
        <v>Zone_Entry</v>
      </c>
      <c r="AG723" t="str">
        <f t="shared" si="77"/>
        <v>ZoneEntry-Rush</v>
      </c>
      <c r="AN723" t="str">
        <f t="shared" si="79"/>
        <v>Defensive</v>
      </c>
      <c r="BD723" s="23"/>
      <c r="BF723" s="21"/>
    </row>
    <row r="724" spans="1:58" x14ac:dyDescent="0.2">
      <c r="A724">
        <v>365</v>
      </c>
      <c r="E724" s="5" t="s">
        <v>908</v>
      </c>
      <c r="F724" s="5" t="s">
        <v>889</v>
      </c>
      <c r="G724" s="5" t="s">
        <v>908</v>
      </c>
      <c r="H724" s="7" t="s">
        <v>848</v>
      </c>
      <c r="I724" t="s">
        <v>840</v>
      </c>
      <c r="J724">
        <v>8</v>
      </c>
      <c r="K724">
        <v>1</v>
      </c>
      <c r="L724" t="s">
        <v>401</v>
      </c>
      <c r="M724" t="s">
        <v>15</v>
      </c>
      <c r="Q724" t="s">
        <v>721</v>
      </c>
      <c r="R724" t="s">
        <v>689</v>
      </c>
      <c r="T724">
        <v>1</v>
      </c>
      <c r="U724" s="8">
        <f t="shared" si="75"/>
        <v>1</v>
      </c>
      <c r="AD724" t="str">
        <f t="shared" si="74"/>
        <v>e</v>
      </c>
      <c r="AE724" t="str">
        <f t="shared" si="78"/>
        <v>Possession</v>
      </c>
      <c r="AF724" t="str">
        <f t="shared" si="76"/>
        <v/>
      </c>
      <c r="AG724" t="str">
        <f t="shared" si="77"/>
        <v/>
      </c>
      <c r="AN724" t="str">
        <f t="shared" si="79"/>
        <v>Offensive</v>
      </c>
      <c r="BD724" s="23"/>
      <c r="BF724" s="21"/>
    </row>
    <row r="725" spans="1:58" x14ac:dyDescent="0.2">
      <c r="A725">
        <v>365</v>
      </c>
      <c r="J725">
        <v>84</v>
      </c>
      <c r="Q725" t="s">
        <v>719</v>
      </c>
      <c r="R725" t="s">
        <v>688</v>
      </c>
      <c r="T725">
        <v>1</v>
      </c>
      <c r="U725" s="8">
        <f t="shared" si="75"/>
        <v>1</v>
      </c>
      <c r="AD725" t="str">
        <f t="shared" si="74"/>
        <v>o</v>
      </c>
      <c r="AE725" t="str">
        <f t="shared" si="78"/>
        <v>Possession</v>
      </c>
      <c r="AF725" t="str">
        <f t="shared" si="76"/>
        <v/>
      </c>
      <c r="AG725" t="str">
        <f t="shared" si="77"/>
        <v/>
      </c>
      <c r="AN725" t="str">
        <f t="shared" si="79"/>
        <v>Defensive</v>
      </c>
      <c r="BD725" s="23"/>
      <c r="BF725" s="21"/>
    </row>
    <row r="726" spans="1:58" x14ac:dyDescent="0.2">
      <c r="A726">
        <v>366</v>
      </c>
      <c r="B726">
        <v>60</v>
      </c>
      <c r="E726" s="5" t="s">
        <v>908</v>
      </c>
      <c r="F726" s="5" t="s">
        <v>848</v>
      </c>
      <c r="I726" t="s">
        <v>840</v>
      </c>
      <c r="J726">
        <v>8</v>
      </c>
      <c r="K726">
        <v>1</v>
      </c>
      <c r="L726" t="s">
        <v>401</v>
      </c>
      <c r="M726" t="s">
        <v>7</v>
      </c>
      <c r="N726" t="s">
        <v>222</v>
      </c>
      <c r="O726" t="s">
        <v>53</v>
      </c>
      <c r="P726" t="s">
        <v>689</v>
      </c>
      <c r="U726" s="8">
        <f t="shared" si="75"/>
        <v>1</v>
      </c>
      <c r="AD726" t="str">
        <f t="shared" si="74"/>
        <v>e</v>
      </c>
      <c r="AE726" t="str">
        <f t="shared" si="78"/>
        <v>Shot</v>
      </c>
      <c r="AF726" t="str">
        <f t="shared" si="76"/>
        <v>Shot_OnNetSaved</v>
      </c>
      <c r="AG726" t="str">
        <f t="shared" si="77"/>
        <v>Shot-Wrist</v>
      </c>
      <c r="AN726" t="str">
        <f t="shared" si="79"/>
        <v>Offensive</v>
      </c>
      <c r="BD726" s="23"/>
      <c r="BF726" s="21"/>
    </row>
    <row r="727" spans="1:58" x14ac:dyDescent="0.2">
      <c r="A727">
        <v>366</v>
      </c>
      <c r="B727">
        <v>60</v>
      </c>
      <c r="J727">
        <v>39</v>
      </c>
      <c r="T727">
        <v>1</v>
      </c>
      <c r="U727" s="8">
        <f t="shared" si="75"/>
        <v>1</v>
      </c>
      <c r="AD727" t="str">
        <f t="shared" si="74"/>
        <v>o</v>
      </c>
      <c r="AE727" t="str">
        <f t="shared" si="78"/>
        <v>Shot</v>
      </c>
      <c r="AF727" t="str">
        <f t="shared" si="76"/>
        <v>Shot_OnNetSaved</v>
      </c>
      <c r="AG727" t="str">
        <f t="shared" si="77"/>
        <v>Shot-Wrist</v>
      </c>
      <c r="AN727" t="str">
        <f t="shared" si="79"/>
        <v>Defensive</v>
      </c>
      <c r="BD727" s="23"/>
      <c r="BF727" s="21"/>
    </row>
    <row r="728" spans="1:58" x14ac:dyDescent="0.2">
      <c r="A728">
        <v>366</v>
      </c>
      <c r="B728">
        <v>60</v>
      </c>
      <c r="J728">
        <v>84</v>
      </c>
      <c r="Q728" t="s">
        <v>696</v>
      </c>
      <c r="T728">
        <v>1</v>
      </c>
      <c r="U728" s="8">
        <f t="shared" si="75"/>
        <v>1</v>
      </c>
      <c r="AD728" t="str">
        <f t="shared" si="74"/>
        <v>o</v>
      </c>
      <c r="AE728" t="str">
        <f t="shared" si="78"/>
        <v>Shot</v>
      </c>
      <c r="AF728" t="str">
        <f t="shared" si="76"/>
        <v>Shot_OnNetSaved</v>
      </c>
      <c r="AG728" t="str">
        <f t="shared" si="77"/>
        <v>Shot-Wrist</v>
      </c>
      <c r="AN728" t="str">
        <f t="shared" si="79"/>
        <v>Defensive</v>
      </c>
      <c r="BD728" s="23"/>
      <c r="BF728" s="21"/>
    </row>
    <row r="729" spans="1:58" x14ac:dyDescent="0.2">
      <c r="A729">
        <v>367</v>
      </c>
      <c r="B729">
        <v>60</v>
      </c>
      <c r="E729" s="5" t="s">
        <v>908</v>
      </c>
      <c r="F729" s="5" t="s">
        <v>848</v>
      </c>
      <c r="I729" t="s">
        <v>835</v>
      </c>
      <c r="J729">
        <v>39</v>
      </c>
      <c r="K729">
        <v>1</v>
      </c>
      <c r="L729" t="s">
        <v>845</v>
      </c>
      <c r="M729" t="s">
        <v>17</v>
      </c>
      <c r="N729" t="s">
        <v>206</v>
      </c>
      <c r="O729" t="s">
        <v>102</v>
      </c>
      <c r="U729" s="8">
        <f t="shared" si="75"/>
        <v>1</v>
      </c>
      <c r="AD729" t="str">
        <f t="shared" si="74"/>
        <v>e</v>
      </c>
      <c r="AE729" t="str">
        <f t="shared" si="78"/>
        <v>Save</v>
      </c>
      <c r="AF729" t="str">
        <f t="shared" si="76"/>
        <v>Save_Freeze</v>
      </c>
      <c r="AG729" t="str">
        <f t="shared" si="77"/>
        <v>Save-Butterfly</v>
      </c>
      <c r="AN729" t="str">
        <f t="shared" si="79"/>
        <v>Defensive</v>
      </c>
      <c r="BD729" s="23"/>
      <c r="BF729" s="21"/>
    </row>
    <row r="730" spans="1:58" x14ac:dyDescent="0.2">
      <c r="A730">
        <v>367</v>
      </c>
      <c r="B730">
        <v>60</v>
      </c>
      <c r="J730">
        <v>84</v>
      </c>
      <c r="K730">
        <v>1</v>
      </c>
      <c r="Q730" t="s">
        <v>696</v>
      </c>
      <c r="T730">
        <v>1</v>
      </c>
      <c r="U730" s="8">
        <f t="shared" si="75"/>
        <v>1</v>
      </c>
      <c r="AD730" t="str">
        <f t="shared" si="74"/>
        <v>e</v>
      </c>
      <c r="AE730" t="str">
        <f t="shared" si="78"/>
        <v>Save</v>
      </c>
      <c r="AF730" t="str">
        <f t="shared" si="76"/>
        <v>Save_Freeze</v>
      </c>
      <c r="AG730" t="str">
        <f t="shared" si="77"/>
        <v>Save-Butterfly</v>
      </c>
      <c r="AN730" t="str">
        <f t="shared" si="79"/>
        <v>Defensive</v>
      </c>
      <c r="BD730" s="23"/>
      <c r="BF730" s="21"/>
    </row>
    <row r="731" spans="1:58" x14ac:dyDescent="0.2">
      <c r="A731">
        <v>367</v>
      </c>
      <c r="B731">
        <v>60</v>
      </c>
      <c r="J731">
        <v>8</v>
      </c>
      <c r="T731">
        <v>1</v>
      </c>
      <c r="U731" s="8">
        <f t="shared" si="75"/>
        <v>1</v>
      </c>
      <c r="AD731" t="str">
        <f t="shared" si="74"/>
        <v>o</v>
      </c>
      <c r="AE731" t="str">
        <f t="shared" si="78"/>
        <v>Save</v>
      </c>
      <c r="AF731" t="str">
        <f t="shared" si="76"/>
        <v>Save_Freeze</v>
      </c>
      <c r="AG731" t="str">
        <f t="shared" si="77"/>
        <v>Save-Butterfly</v>
      </c>
      <c r="AN731" t="str">
        <f t="shared" si="79"/>
        <v>Offensive</v>
      </c>
      <c r="BD731" s="23"/>
      <c r="BF731" s="21"/>
    </row>
    <row r="732" spans="1:58" x14ac:dyDescent="0.2">
      <c r="A732">
        <v>368</v>
      </c>
      <c r="B732">
        <v>60</v>
      </c>
      <c r="E732" s="5" t="s">
        <v>908</v>
      </c>
      <c r="F732" s="5" t="s">
        <v>849</v>
      </c>
      <c r="I732" t="s">
        <v>835</v>
      </c>
      <c r="J732">
        <v>39</v>
      </c>
      <c r="K732">
        <v>1</v>
      </c>
      <c r="L732" t="s">
        <v>845</v>
      </c>
      <c r="M732" t="s">
        <v>13</v>
      </c>
      <c r="N732" t="s">
        <v>204</v>
      </c>
      <c r="O732" t="s">
        <v>110</v>
      </c>
      <c r="U732" s="8">
        <f t="shared" si="75"/>
        <v>1</v>
      </c>
      <c r="AD732" t="str">
        <f t="shared" si="74"/>
        <v>e</v>
      </c>
      <c r="AE732" t="str">
        <f t="shared" si="78"/>
        <v>Stoppage</v>
      </c>
      <c r="AF732" t="str">
        <f t="shared" si="76"/>
        <v>Stoppage_Play</v>
      </c>
      <c r="AG732" t="str">
        <f t="shared" si="77"/>
        <v>Stoppage-GoalieStoppage</v>
      </c>
      <c r="AN732" t="str">
        <f t="shared" si="79"/>
        <v/>
      </c>
      <c r="BD732" s="23"/>
      <c r="BF732" s="21"/>
    </row>
    <row r="733" spans="1:58" x14ac:dyDescent="0.2">
      <c r="A733">
        <v>369</v>
      </c>
      <c r="B733">
        <v>60</v>
      </c>
      <c r="E733" s="5" t="s">
        <v>908</v>
      </c>
      <c r="F733" s="5" t="s">
        <v>849</v>
      </c>
      <c r="G733" s="5" t="s">
        <v>908</v>
      </c>
      <c r="H733" s="7" t="s">
        <v>862</v>
      </c>
      <c r="I733" t="s">
        <v>835</v>
      </c>
      <c r="J733">
        <v>39</v>
      </c>
      <c r="K733">
        <v>1</v>
      </c>
      <c r="L733" t="s">
        <v>845</v>
      </c>
      <c r="M733" t="s">
        <v>262</v>
      </c>
      <c r="U733" s="8">
        <f t="shared" si="75"/>
        <v>1</v>
      </c>
      <c r="AD733" t="str">
        <f t="shared" si="74"/>
        <v>e</v>
      </c>
      <c r="AE733" t="str">
        <f t="shared" si="78"/>
        <v>DeadIce</v>
      </c>
      <c r="AF733" t="str">
        <f t="shared" si="76"/>
        <v/>
      </c>
      <c r="AG733" t="str">
        <f t="shared" si="77"/>
        <v/>
      </c>
      <c r="AN733" t="str">
        <f t="shared" si="79"/>
        <v/>
      </c>
      <c r="BD733" s="23"/>
      <c r="BF733" s="21"/>
    </row>
    <row r="734" spans="1:58" x14ac:dyDescent="0.2">
      <c r="A734">
        <v>370</v>
      </c>
      <c r="E734" s="5" t="s">
        <v>908</v>
      </c>
      <c r="F734" s="5" t="s">
        <v>862</v>
      </c>
      <c r="I734" t="s">
        <v>835</v>
      </c>
      <c r="J734">
        <v>70</v>
      </c>
      <c r="K734">
        <v>1</v>
      </c>
      <c r="L734" t="s">
        <v>845</v>
      </c>
      <c r="M734" t="s">
        <v>6</v>
      </c>
      <c r="N734" t="s">
        <v>255</v>
      </c>
      <c r="U734" s="8">
        <f t="shared" si="75"/>
        <v>1</v>
      </c>
      <c r="AD734" t="str">
        <f t="shared" si="74"/>
        <v>e</v>
      </c>
      <c r="AE734" t="str">
        <f t="shared" si="78"/>
        <v>Faceoff</v>
      </c>
      <c r="AF734" t="str">
        <f t="shared" si="76"/>
        <v>Faceoff_AfterStoppage</v>
      </c>
      <c r="AG734" t="str">
        <f t="shared" si="77"/>
        <v/>
      </c>
      <c r="AN734" t="str">
        <f t="shared" si="79"/>
        <v>Offensive</v>
      </c>
      <c r="BD734" s="23"/>
      <c r="BF734" s="21"/>
    </row>
    <row r="735" spans="1:58" x14ac:dyDescent="0.2">
      <c r="A735">
        <v>370</v>
      </c>
      <c r="J735">
        <v>14</v>
      </c>
      <c r="K735">
        <v>1</v>
      </c>
      <c r="U735" s="8">
        <f t="shared" si="75"/>
        <v>1</v>
      </c>
      <c r="AD735" t="str">
        <f t="shared" si="74"/>
        <v>e</v>
      </c>
      <c r="AE735" t="str">
        <f t="shared" si="78"/>
        <v>Faceoff</v>
      </c>
      <c r="AF735" t="str">
        <f t="shared" si="76"/>
        <v>Faceoff_AfterStoppage</v>
      </c>
      <c r="AG735" t="str">
        <f t="shared" si="77"/>
        <v/>
      </c>
      <c r="AN735" t="str">
        <f t="shared" si="79"/>
        <v>Offensive</v>
      </c>
      <c r="BD735" s="23"/>
      <c r="BF735" s="21"/>
    </row>
    <row r="736" spans="1:58" x14ac:dyDescent="0.2">
      <c r="A736">
        <v>370</v>
      </c>
      <c r="J736">
        <v>46</v>
      </c>
      <c r="U736" s="8">
        <f t="shared" si="75"/>
        <v>1</v>
      </c>
      <c r="AD736" t="str">
        <f t="shared" si="74"/>
        <v>o</v>
      </c>
      <c r="AE736" t="str">
        <f t="shared" si="78"/>
        <v>Faceoff</v>
      </c>
      <c r="AF736" t="str">
        <f t="shared" si="76"/>
        <v>Faceoff_AfterStoppage</v>
      </c>
      <c r="AG736" t="str">
        <f t="shared" si="77"/>
        <v/>
      </c>
      <c r="AN736" t="str">
        <f t="shared" si="79"/>
        <v>Defensive</v>
      </c>
      <c r="BD736" s="23"/>
      <c r="BF736" s="21"/>
    </row>
    <row r="737" spans="1:58" x14ac:dyDescent="0.2">
      <c r="A737">
        <v>371</v>
      </c>
      <c r="E737" s="5" t="s">
        <v>908</v>
      </c>
      <c r="F737" s="5" t="s">
        <v>863</v>
      </c>
      <c r="I737" t="s">
        <v>835</v>
      </c>
      <c r="J737">
        <v>14</v>
      </c>
      <c r="K737">
        <v>1</v>
      </c>
      <c r="L737" t="s">
        <v>845</v>
      </c>
      <c r="M737" t="s">
        <v>8</v>
      </c>
      <c r="N737" t="s">
        <v>189</v>
      </c>
      <c r="O737" t="s">
        <v>70</v>
      </c>
      <c r="P737" t="s">
        <v>689</v>
      </c>
      <c r="Q737" t="s">
        <v>749</v>
      </c>
      <c r="S737" t="s">
        <v>689</v>
      </c>
      <c r="U737" s="8">
        <f t="shared" si="75"/>
        <v>1</v>
      </c>
      <c r="AD737" t="str">
        <f t="shared" si="74"/>
        <v>e</v>
      </c>
      <c r="AE737" t="str">
        <f t="shared" si="78"/>
        <v>Pass</v>
      </c>
      <c r="AF737" t="str">
        <f t="shared" si="76"/>
        <v>Pass_Completed</v>
      </c>
      <c r="AG737" t="str">
        <f t="shared" si="77"/>
        <v>Pass-Forehand</v>
      </c>
      <c r="AN737" t="str">
        <f t="shared" si="79"/>
        <v>Offensive</v>
      </c>
      <c r="BD737" s="23"/>
      <c r="BF737" s="21"/>
    </row>
    <row r="738" spans="1:58" x14ac:dyDescent="0.2">
      <c r="A738">
        <v>371</v>
      </c>
      <c r="J738">
        <v>22</v>
      </c>
      <c r="K738">
        <v>1</v>
      </c>
      <c r="U738" s="8">
        <f t="shared" si="75"/>
        <v>1</v>
      </c>
      <c r="AD738" t="str">
        <f t="shared" si="74"/>
        <v>e</v>
      </c>
      <c r="AE738" t="str">
        <f t="shared" si="78"/>
        <v>Pass</v>
      </c>
      <c r="AF738" t="str">
        <f t="shared" si="76"/>
        <v>Pass_Completed</v>
      </c>
      <c r="AG738" t="str">
        <f t="shared" si="77"/>
        <v>Pass-Forehand</v>
      </c>
      <c r="AN738" t="str">
        <f t="shared" si="79"/>
        <v>Offensive</v>
      </c>
      <c r="BD738" s="23"/>
      <c r="BF738" s="21"/>
    </row>
    <row r="739" spans="1:58" x14ac:dyDescent="0.2">
      <c r="A739">
        <v>372</v>
      </c>
      <c r="E739" s="5" t="s">
        <v>908</v>
      </c>
      <c r="F739" s="5" t="s">
        <v>836</v>
      </c>
      <c r="G739" s="5" t="s">
        <v>908</v>
      </c>
      <c r="H739" s="7" t="s">
        <v>864</v>
      </c>
      <c r="I739" t="s">
        <v>835</v>
      </c>
      <c r="J739">
        <v>22</v>
      </c>
      <c r="K739">
        <v>1</v>
      </c>
      <c r="L739" t="s">
        <v>845</v>
      </c>
      <c r="M739" t="s">
        <v>15</v>
      </c>
      <c r="U739" s="8">
        <f t="shared" si="75"/>
        <v>1</v>
      </c>
      <c r="AD739" t="str">
        <f t="shared" si="74"/>
        <v>e</v>
      </c>
      <c r="AE739" t="str">
        <f t="shared" si="78"/>
        <v>Possession</v>
      </c>
      <c r="AF739" t="str">
        <f t="shared" si="76"/>
        <v/>
      </c>
      <c r="AG739" t="str">
        <f t="shared" si="77"/>
        <v/>
      </c>
      <c r="AN739" t="str">
        <f t="shared" si="79"/>
        <v>Offensive</v>
      </c>
      <c r="BD739" s="23"/>
      <c r="BF739" s="21"/>
    </row>
    <row r="740" spans="1:58" x14ac:dyDescent="0.2">
      <c r="A740">
        <v>373</v>
      </c>
      <c r="E740" s="5" t="s">
        <v>908</v>
      </c>
      <c r="F740" s="5" t="s">
        <v>864</v>
      </c>
      <c r="I740" t="s">
        <v>835</v>
      </c>
      <c r="J740">
        <v>22</v>
      </c>
      <c r="K740">
        <v>1</v>
      </c>
      <c r="L740" t="s">
        <v>845</v>
      </c>
      <c r="M740" t="s">
        <v>8</v>
      </c>
      <c r="N740" t="s">
        <v>189</v>
      </c>
      <c r="O740" t="s">
        <v>70</v>
      </c>
      <c r="P740" t="s">
        <v>689</v>
      </c>
      <c r="U740" s="8">
        <f t="shared" si="75"/>
        <v>1</v>
      </c>
      <c r="AD740" t="str">
        <f t="shared" si="74"/>
        <v>e</v>
      </c>
      <c r="AE740" t="str">
        <f t="shared" si="78"/>
        <v>Pass</v>
      </c>
      <c r="AF740" t="str">
        <f t="shared" si="76"/>
        <v>Pass_Completed</v>
      </c>
      <c r="AG740" t="str">
        <f t="shared" si="77"/>
        <v>Pass-Forehand</v>
      </c>
      <c r="AN740" t="str">
        <f t="shared" si="79"/>
        <v>Offensive</v>
      </c>
      <c r="BD740" s="23"/>
      <c r="BF740" s="21"/>
    </row>
    <row r="741" spans="1:58" x14ac:dyDescent="0.2">
      <c r="A741">
        <v>373</v>
      </c>
      <c r="J741">
        <v>91</v>
      </c>
      <c r="K741">
        <v>1</v>
      </c>
      <c r="U741" s="8">
        <f t="shared" si="75"/>
        <v>1</v>
      </c>
      <c r="AD741" t="str">
        <f t="shared" si="74"/>
        <v>e</v>
      </c>
      <c r="AE741" t="str">
        <f t="shared" si="78"/>
        <v>Pass</v>
      </c>
      <c r="AF741" t="str">
        <f t="shared" si="76"/>
        <v>Pass_Completed</v>
      </c>
      <c r="AG741" t="str">
        <f t="shared" si="77"/>
        <v>Pass-Forehand</v>
      </c>
      <c r="AN741" t="str">
        <f t="shared" si="79"/>
        <v>Offensive</v>
      </c>
      <c r="BD741" s="23"/>
      <c r="BF741" s="21"/>
    </row>
    <row r="742" spans="1:58" x14ac:dyDescent="0.2">
      <c r="A742">
        <v>374</v>
      </c>
      <c r="E742" s="5" t="s">
        <v>908</v>
      </c>
      <c r="F742" s="5" t="s">
        <v>865</v>
      </c>
      <c r="G742" s="5" t="s">
        <v>908</v>
      </c>
      <c r="H742" s="7" t="s">
        <v>898</v>
      </c>
      <c r="I742" t="s">
        <v>835</v>
      </c>
      <c r="J742">
        <v>91</v>
      </c>
      <c r="K742">
        <v>1</v>
      </c>
      <c r="L742" t="s">
        <v>845</v>
      </c>
      <c r="M742" t="s">
        <v>15</v>
      </c>
      <c r="U742" s="8">
        <f t="shared" si="75"/>
        <v>1</v>
      </c>
      <c r="AD742" t="str">
        <f t="shared" si="74"/>
        <v>e</v>
      </c>
      <c r="AE742" t="str">
        <f t="shared" si="78"/>
        <v>Possession</v>
      </c>
      <c r="AF742" t="str">
        <f t="shared" si="76"/>
        <v/>
      </c>
      <c r="AG742" t="str">
        <f t="shared" si="77"/>
        <v/>
      </c>
      <c r="AN742" t="str">
        <f t="shared" si="79"/>
        <v>Offensive</v>
      </c>
      <c r="BD742" s="23"/>
      <c r="BF742" s="21"/>
    </row>
    <row r="743" spans="1:58" x14ac:dyDescent="0.2">
      <c r="A743">
        <v>375</v>
      </c>
      <c r="E743" s="5" t="s">
        <v>908</v>
      </c>
      <c r="F743" s="5" t="s">
        <v>898</v>
      </c>
      <c r="I743" t="s">
        <v>835</v>
      </c>
      <c r="J743">
        <v>91</v>
      </c>
      <c r="K743">
        <v>1</v>
      </c>
      <c r="L743" t="s">
        <v>845</v>
      </c>
      <c r="M743" t="s">
        <v>8</v>
      </c>
      <c r="N743" t="s">
        <v>209</v>
      </c>
      <c r="O743" t="s">
        <v>70</v>
      </c>
      <c r="P743" t="s">
        <v>688</v>
      </c>
      <c r="T743">
        <v>1</v>
      </c>
      <c r="U743" s="8">
        <f t="shared" si="75"/>
        <v>1</v>
      </c>
      <c r="AD743" t="str">
        <f t="shared" si="74"/>
        <v>e</v>
      </c>
      <c r="AE743" t="str">
        <f t="shared" si="78"/>
        <v>Pass</v>
      </c>
      <c r="AF743" t="str">
        <f t="shared" si="76"/>
        <v>Pass_Deflected</v>
      </c>
      <c r="AG743" t="str">
        <f t="shared" si="77"/>
        <v>Pass-Forehand</v>
      </c>
      <c r="AN743" t="str">
        <f t="shared" si="79"/>
        <v>Offensive</v>
      </c>
      <c r="BD743" s="23"/>
      <c r="BF743" s="21"/>
    </row>
    <row r="744" spans="1:58" x14ac:dyDescent="0.2">
      <c r="A744">
        <v>375</v>
      </c>
      <c r="J744">
        <v>14</v>
      </c>
      <c r="K744">
        <v>1</v>
      </c>
      <c r="U744" s="8">
        <f t="shared" si="75"/>
        <v>1</v>
      </c>
      <c r="AD744" t="str">
        <f t="shared" si="74"/>
        <v>e</v>
      </c>
      <c r="AE744" t="str">
        <f t="shared" si="78"/>
        <v>Pass</v>
      </c>
      <c r="AF744" t="str">
        <f t="shared" si="76"/>
        <v>Pass_Deflected</v>
      </c>
      <c r="AG744" t="str">
        <f t="shared" si="77"/>
        <v>Pass-Forehand</v>
      </c>
      <c r="AN744" t="str">
        <f t="shared" si="79"/>
        <v>Offensive</v>
      </c>
      <c r="BD744" s="23"/>
      <c r="BF744" s="21"/>
    </row>
    <row r="745" spans="1:58" x14ac:dyDescent="0.2">
      <c r="A745">
        <v>375</v>
      </c>
      <c r="J745">
        <v>92</v>
      </c>
      <c r="Q745" t="s">
        <v>696</v>
      </c>
      <c r="T745">
        <v>1</v>
      </c>
      <c r="U745" s="8">
        <f t="shared" si="75"/>
        <v>1</v>
      </c>
      <c r="AD745" t="str">
        <f t="shared" si="74"/>
        <v>o</v>
      </c>
      <c r="AE745" t="str">
        <f t="shared" si="78"/>
        <v>Pass</v>
      </c>
      <c r="AF745" t="str">
        <f t="shared" si="76"/>
        <v>Pass_Deflected</v>
      </c>
      <c r="AG745" t="str">
        <f t="shared" si="77"/>
        <v>Pass-Forehand</v>
      </c>
      <c r="AN745" t="str">
        <f t="shared" si="79"/>
        <v>Defensive</v>
      </c>
      <c r="BD745" s="23"/>
      <c r="BF745" s="21"/>
    </row>
    <row r="746" spans="1:58" x14ac:dyDescent="0.2">
      <c r="A746">
        <v>375</v>
      </c>
      <c r="J746">
        <v>46</v>
      </c>
      <c r="Q746" t="s">
        <v>833</v>
      </c>
      <c r="S746" t="s">
        <v>689</v>
      </c>
      <c r="U746" s="8">
        <f t="shared" si="75"/>
        <v>1</v>
      </c>
      <c r="AD746" t="str">
        <f t="shared" si="74"/>
        <v>o</v>
      </c>
      <c r="AE746" t="str">
        <f t="shared" si="78"/>
        <v>Pass</v>
      </c>
      <c r="AF746" t="str">
        <f t="shared" si="76"/>
        <v>Pass_Deflected</v>
      </c>
      <c r="AG746" t="str">
        <f t="shared" si="77"/>
        <v>Pass-Forehand</v>
      </c>
      <c r="AN746" t="str">
        <f t="shared" si="79"/>
        <v>Defensive</v>
      </c>
      <c r="BD746" s="23"/>
      <c r="BF746" s="21"/>
    </row>
    <row r="747" spans="1:58" x14ac:dyDescent="0.2">
      <c r="A747">
        <v>376</v>
      </c>
      <c r="E747" s="5" t="s">
        <v>908</v>
      </c>
      <c r="F747" s="5" t="s">
        <v>867</v>
      </c>
      <c r="I747" t="s">
        <v>835</v>
      </c>
      <c r="J747">
        <v>14</v>
      </c>
      <c r="K747">
        <v>1</v>
      </c>
      <c r="L747" t="s">
        <v>845</v>
      </c>
      <c r="M747" t="s">
        <v>15</v>
      </c>
      <c r="N747" t="s">
        <v>681</v>
      </c>
      <c r="P747" t="s">
        <v>688</v>
      </c>
      <c r="Q747" t="s">
        <v>714</v>
      </c>
      <c r="S747" t="s">
        <v>688</v>
      </c>
      <c r="T747">
        <v>1</v>
      </c>
      <c r="U747" s="8">
        <f t="shared" si="75"/>
        <v>1</v>
      </c>
      <c r="AD747" t="str">
        <f t="shared" si="74"/>
        <v>e</v>
      </c>
      <c r="AE747" t="str">
        <f t="shared" si="78"/>
        <v>Possession</v>
      </c>
      <c r="AF747" t="str">
        <f t="shared" si="76"/>
        <v>PuckRecovery</v>
      </c>
      <c r="AG747" t="str">
        <f t="shared" si="77"/>
        <v/>
      </c>
      <c r="AN747" t="str">
        <f t="shared" si="79"/>
        <v>Offensive</v>
      </c>
      <c r="BD747" s="23"/>
      <c r="BF747" s="21"/>
    </row>
    <row r="748" spans="1:58" x14ac:dyDescent="0.2">
      <c r="A748">
        <v>376</v>
      </c>
      <c r="J748">
        <v>92</v>
      </c>
      <c r="T748">
        <v>1</v>
      </c>
      <c r="U748" s="8">
        <f t="shared" si="75"/>
        <v>1</v>
      </c>
      <c r="AD748" t="str">
        <f t="shared" si="74"/>
        <v>o</v>
      </c>
      <c r="AE748" t="str">
        <f t="shared" si="78"/>
        <v>Possession</v>
      </c>
      <c r="AF748" t="str">
        <f t="shared" si="76"/>
        <v>PuckRecovery</v>
      </c>
      <c r="AG748" t="str">
        <f t="shared" si="77"/>
        <v/>
      </c>
      <c r="AN748" t="str">
        <f t="shared" si="79"/>
        <v>Defensive</v>
      </c>
      <c r="BD748" s="23"/>
      <c r="BF748" s="21"/>
    </row>
    <row r="749" spans="1:58" x14ac:dyDescent="0.2">
      <c r="A749">
        <v>377</v>
      </c>
      <c r="B749">
        <v>61</v>
      </c>
      <c r="E749" s="5" t="s">
        <v>908</v>
      </c>
      <c r="F749" s="5" t="s">
        <v>867</v>
      </c>
      <c r="I749" t="s">
        <v>835</v>
      </c>
      <c r="J749">
        <v>14</v>
      </c>
      <c r="K749">
        <v>1</v>
      </c>
      <c r="L749" t="s">
        <v>845</v>
      </c>
      <c r="M749" t="s">
        <v>257</v>
      </c>
      <c r="N749" t="s">
        <v>201</v>
      </c>
      <c r="O749" t="s">
        <v>92</v>
      </c>
      <c r="P749" t="s">
        <v>688</v>
      </c>
      <c r="T749">
        <v>1</v>
      </c>
      <c r="U749" s="8">
        <f t="shared" si="75"/>
        <v>1</v>
      </c>
      <c r="AD749" t="str">
        <f t="shared" si="74"/>
        <v>e</v>
      </c>
      <c r="AE749" t="str">
        <f t="shared" si="78"/>
        <v>Zone_Entry_Exit</v>
      </c>
      <c r="AF749" t="str">
        <f t="shared" si="76"/>
        <v>Zone_Exit</v>
      </c>
      <c r="AG749" t="str">
        <f t="shared" si="77"/>
        <v>ZoneExit-Clear</v>
      </c>
      <c r="AN749" t="str">
        <f t="shared" si="79"/>
        <v>Offensive</v>
      </c>
      <c r="BD749" s="23"/>
      <c r="BF749" s="21"/>
    </row>
    <row r="750" spans="1:58" x14ac:dyDescent="0.2">
      <c r="A750">
        <v>377</v>
      </c>
      <c r="B750">
        <v>61</v>
      </c>
      <c r="J750">
        <v>92</v>
      </c>
      <c r="T750">
        <v>1</v>
      </c>
      <c r="U750" s="8">
        <f t="shared" si="75"/>
        <v>1</v>
      </c>
      <c r="AD750" t="str">
        <f t="shared" si="74"/>
        <v>o</v>
      </c>
      <c r="AE750" t="str">
        <f t="shared" si="78"/>
        <v>Zone_Entry_Exit</v>
      </c>
      <c r="AF750" t="str">
        <f t="shared" si="76"/>
        <v>Zone_Exit</v>
      </c>
      <c r="AG750" t="str">
        <f t="shared" si="77"/>
        <v>ZoneExit-Clear</v>
      </c>
      <c r="AN750" t="str">
        <f t="shared" si="79"/>
        <v>Defensive</v>
      </c>
      <c r="BD750" s="23"/>
      <c r="BF750" s="21"/>
    </row>
    <row r="751" spans="1:58" x14ac:dyDescent="0.2">
      <c r="A751">
        <v>378</v>
      </c>
      <c r="B751">
        <v>61</v>
      </c>
      <c r="E751" s="5" t="s">
        <v>908</v>
      </c>
      <c r="F751" s="5" t="s">
        <v>867</v>
      </c>
      <c r="I751" t="s">
        <v>835</v>
      </c>
      <c r="J751">
        <v>14</v>
      </c>
      <c r="K751">
        <v>1</v>
      </c>
      <c r="L751" t="s">
        <v>845</v>
      </c>
      <c r="M751" t="s">
        <v>10</v>
      </c>
      <c r="N751" t="s">
        <v>190</v>
      </c>
      <c r="O751" t="s">
        <v>387</v>
      </c>
      <c r="P751" t="s">
        <v>688</v>
      </c>
      <c r="T751">
        <v>1</v>
      </c>
      <c r="U751" s="8">
        <f t="shared" si="75"/>
        <v>1</v>
      </c>
      <c r="AD751" t="str">
        <f t="shared" si="74"/>
        <v>e</v>
      </c>
      <c r="AE751" t="str">
        <f t="shared" si="78"/>
        <v>Turnover</v>
      </c>
      <c r="AF751" t="str">
        <f t="shared" si="76"/>
        <v>Turnover_Giveaway</v>
      </c>
      <c r="AG751" t="str">
        <f t="shared" si="77"/>
        <v>Giveaway-ZoneClear/Dump</v>
      </c>
      <c r="AN751" t="str">
        <f t="shared" si="79"/>
        <v>Offensive</v>
      </c>
      <c r="BD751" s="23"/>
      <c r="BF751" s="21"/>
    </row>
    <row r="752" spans="1:58" x14ac:dyDescent="0.2">
      <c r="A752">
        <v>378</v>
      </c>
      <c r="B752">
        <v>61</v>
      </c>
      <c r="J752">
        <v>92</v>
      </c>
      <c r="T752">
        <v>1</v>
      </c>
      <c r="U752" s="8">
        <f t="shared" si="75"/>
        <v>1</v>
      </c>
      <c r="AD752" t="str">
        <f t="shared" si="74"/>
        <v>o</v>
      </c>
      <c r="AE752" t="str">
        <f t="shared" si="78"/>
        <v>Turnover</v>
      </c>
      <c r="AF752" t="str">
        <f t="shared" si="76"/>
        <v>Turnover_Giveaway</v>
      </c>
      <c r="AG752" t="str">
        <f t="shared" si="77"/>
        <v>Giveaway-ZoneClear/Dump</v>
      </c>
      <c r="AN752" t="str">
        <f t="shared" si="79"/>
        <v>Defensive</v>
      </c>
      <c r="BD752" s="23"/>
      <c r="BF752" s="21"/>
    </row>
    <row r="753" spans="1:58" x14ac:dyDescent="0.2">
      <c r="A753">
        <v>379</v>
      </c>
      <c r="E753" s="5" t="s">
        <v>908</v>
      </c>
      <c r="F753" s="5" t="s">
        <v>892</v>
      </c>
      <c r="G753" s="5" t="s">
        <v>908</v>
      </c>
      <c r="H753" s="7" t="s">
        <v>884</v>
      </c>
      <c r="I753" t="s">
        <v>840</v>
      </c>
      <c r="J753">
        <v>7</v>
      </c>
      <c r="K753">
        <v>1</v>
      </c>
      <c r="L753" t="s">
        <v>839</v>
      </c>
      <c r="M753" t="s">
        <v>15</v>
      </c>
      <c r="N753" t="s">
        <v>680</v>
      </c>
      <c r="P753" t="s">
        <v>689</v>
      </c>
      <c r="Q753" t="s">
        <v>694</v>
      </c>
      <c r="S753" t="s">
        <v>689</v>
      </c>
      <c r="U753" s="8">
        <f t="shared" si="75"/>
        <v>1</v>
      </c>
      <c r="AD753" t="str">
        <f t="shared" si="74"/>
        <v>e</v>
      </c>
      <c r="AE753" t="str">
        <f t="shared" si="78"/>
        <v>Possession</v>
      </c>
      <c r="AF753" t="str">
        <f t="shared" si="76"/>
        <v>PuckRetrieval</v>
      </c>
      <c r="AG753" t="str">
        <f t="shared" si="77"/>
        <v/>
      </c>
      <c r="AN753" t="str">
        <f t="shared" si="79"/>
        <v>Offensive</v>
      </c>
      <c r="BD753" s="23"/>
      <c r="BF753" s="21"/>
    </row>
    <row r="754" spans="1:58" x14ac:dyDescent="0.2">
      <c r="A754">
        <v>380</v>
      </c>
      <c r="B754">
        <v>62</v>
      </c>
      <c r="E754" s="5" t="s">
        <v>908</v>
      </c>
      <c r="F754" s="5" t="s">
        <v>884</v>
      </c>
      <c r="I754" t="s">
        <v>840</v>
      </c>
      <c r="J754">
        <v>7</v>
      </c>
      <c r="K754">
        <v>1</v>
      </c>
      <c r="L754" t="s">
        <v>839</v>
      </c>
      <c r="M754" t="s">
        <v>8</v>
      </c>
      <c r="N754" t="s">
        <v>189</v>
      </c>
      <c r="O754" t="s">
        <v>70</v>
      </c>
      <c r="P754" t="s">
        <v>689</v>
      </c>
      <c r="U754" s="8">
        <f t="shared" si="75"/>
        <v>1</v>
      </c>
      <c r="AD754" t="str">
        <f t="shared" si="74"/>
        <v>e</v>
      </c>
      <c r="AE754" t="str">
        <f t="shared" si="78"/>
        <v>Pass</v>
      </c>
      <c r="AF754" t="str">
        <f t="shared" si="76"/>
        <v>Pass_Completed</v>
      </c>
      <c r="AG754" t="str">
        <f t="shared" si="77"/>
        <v>Pass-Forehand</v>
      </c>
      <c r="AN754" t="str">
        <f t="shared" si="79"/>
        <v>Offensive</v>
      </c>
      <c r="BD754" s="23"/>
      <c r="BF754" s="21"/>
    </row>
    <row r="755" spans="1:58" x14ac:dyDescent="0.2">
      <c r="A755">
        <v>380</v>
      </c>
      <c r="B755">
        <v>62</v>
      </c>
      <c r="J755">
        <v>9</v>
      </c>
      <c r="K755">
        <v>1</v>
      </c>
      <c r="U755" s="8">
        <f t="shared" si="75"/>
        <v>1</v>
      </c>
      <c r="AD755" t="str">
        <f t="shared" si="74"/>
        <v>e</v>
      </c>
      <c r="AE755" t="str">
        <f t="shared" si="78"/>
        <v>Pass</v>
      </c>
      <c r="AF755" t="str">
        <f t="shared" si="76"/>
        <v>Pass_Completed</v>
      </c>
      <c r="AG755" t="str">
        <f t="shared" si="77"/>
        <v>Pass-Forehand</v>
      </c>
      <c r="AN755" t="str">
        <f t="shared" si="79"/>
        <v>Offensive</v>
      </c>
      <c r="BD755" s="23"/>
      <c r="BF755" s="21"/>
    </row>
    <row r="756" spans="1:58" x14ac:dyDescent="0.2">
      <c r="A756">
        <v>380</v>
      </c>
      <c r="B756">
        <v>62</v>
      </c>
      <c r="J756">
        <v>70</v>
      </c>
      <c r="Q756" t="s">
        <v>696</v>
      </c>
      <c r="U756" s="8">
        <f t="shared" si="75"/>
        <v>1</v>
      </c>
      <c r="AD756" t="str">
        <f t="shared" si="74"/>
        <v>o</v>
      </c>
      <c r="AE756" t="str">
        <f t="shared" si="78"/>
        <v>Pass</v>
      </c>
      <c r="AF756" t="str">
        <f t="shared" si="76"/>
        <v>Pass_Completed</v>
      </c>
      <c r="AG756" t="str">
        <f t="shared" si="77"/>
        <v>Pass-Forehand</v>
      </c>
      <c r="AN756" t="str">
        <f t="shared" si="79"/>
        <v>Defensive</v>
      </c>
      <c r="BD756" s="23"/>
      <c r="BF756" s="21"/>
    </row>
    <row r="757" spans="1:58" x14ac:dyDescent="0.2">
      <c r="A757">
        <v>381</v>
      </c>
      <c r="B757">
        <v>62</v>
      </c>
      <c r="E757" s="5" t="s">
        <v>908</v>
      </c>
      <c r="F757" s="5" t="s">
        <v>884</v>
      </c>
      <c r="I757" t="s">
        <v>840</v>
      </c>
      <c r="J757">
        <v>7</v>
      </c>
      <c r="K757">
        <v>1</v>
      </c>
      <c r="L757" t="s">
        <v>839</v>
      </c>
      <c r="M757" t="s">
        <v>257</v>
      </c>
      <c r="N757" t="s">
        <v>191</v>
      </c>
      <c r="O757" t="s">
        <v>88</v>
      </c>
      <c r="P757" t="s">
        <v>689</v>
      </c>
      <c r="U757" s="8">
        <f t="shared" si="75"/>
        <v>1</v>
      </c>
      <c r="AD757" t="str">
        <f t="shared" si="74"/>
        <v>e</v>
      </c>
      <c r="AE757" t="str">
        <f t="shared" si="78"/>
        <v>Zone_Entry_Exit</v>
      </c>
      <c r="AF757" t="str">
        <f t="shared" si="76"/>
        <v>Zone_Entry</v>
      </c>
      <c r="AG757" t="str">
        <f t="shared" si="77"/>
        <v>ZoneEntry-Pass</v>
      </c>
      <c r="AN757" t="str">
        <f t="shared" si="79"/>
        <v>Offensive</v>
      </c>
      <c r="BD757" s="23"/>
      <c r="BF757" s="21"/>
    </row>
    <row r="758" spans="1:58" x14ac:dyDescent="0.2">
      <c r="A758">
        <v>381</v>
      </c>
      <c r="B758">
        <v>62</v>
      </c>
      <c r="J758">
        <v>9</v>
      </c>
      <c r="K758">
        <v>1</v>
      </c>
      <c r="U758" s="8">
        <f t="shared" si="75"/>
        <v>1</v>
      </c>
      <c r="AD758" t="str">
        <f t="shared" si="74"/>
        <v>e</v>
      </c>
      <c r="AE758" t="str">
        <f t="shared" si="78"/>
        <v>Zone_Entry_Exit</v>
      </c>
      <c r="AF758" t="str">
        <f t="shared" si="76"/>
        <v>Zone_Entry</v>
      </c>
      <c r="AG758" t="str">
        <f t="shared" si="77"/>
        <v>ZoneEntry-Pass</v>
      </c>
      <c r="AN758" t="str">
        <f t="shared" si="79"/>
        <v>Offensive</v>
      </c>
      <c r="BD758" s="23"/>
      <c r="BF758" s="21"/>
    </row>
    <row r="759" spans="1:58" x14ac:dyDescent="0.2">
      <c r="A759">
        <v>381</v>
      </c>
      <c r="B759">
        <v>62</v>
      </c>
      <c r="J759">
        <v>70</v>
      </c>
      <c r="Q759" t="s">
        <v>696</v>
      </c>
      <c r="U759" s="8">
        <f t="shared" si="75"/>
        <v>1</v>
      </c>
      <c r="AD759" t="str">
        <f t="shared" si="74"/>
        <v>o</v>
      </c>
      <c r="AE759" t="str">
        <f t="shared" si="78"/>
        <v>Zone_Entry_Exit</v>
      </c>
      <c r="AF759" t="str">
        <f t="shared" si="76"/>
        <v>Zone_Entry</v>
      </c>
      <c r="AG759" t="str">
        <f t="shared" si="77"/>
        <v>ZoneEntry-Pass</v>
      </c>
      <c r="AN759" t="str">
        <f t="shared" si="79"/>
        <v>Defensive</v>
      </c>
      <c r="BD759" s="23"/>
      <c r="BF759" s="21"/>
    </row>
    <row r="760" spans="1:58" x14ac:dyDescent="0.2">
      <c r="A760">
        <v>382</v>
      </c>
      <c r="E760" s="5" t="s">
        <v>908</v>
      </c>
      <c r="F760" s="5" t="s">
        <v>884</v>
      </c>
      <c r="G760" s="5" t="s">
        <v>908</v>
      </c>
      <c r="H760" s="7" t="s">
        <v>894</v>
      </c>
      <c r="I760" t="s">
        <v>840</v>
      </c>
      <c r="J760">
        <v>9</v>
      </c>
      <c r="K760">
        <v>1</v>
      </c>
      <c r="L760" t="s">
        <v>401</v>
      </c>
      <c r="M760" t="s">
        <v>15</v>
      </c>
      <c r="Q760" t="s">
        <v>721</v>
      </c>
      <c r="S760" t="s">
        <v>689</v>
      </c>
      <c r="T760">
        <v>1</v>
      </c>
      <c r="U760" s="8">
        <f t="shared" si="75"/>
        <v>1</v>
      </c>
      <c r="AD760" t="str">
        <f t="shared" si="74"/>
        <v>e</v>
      </c>
      <c r="AE760" t="str">
        <f t="shared" si="78"/>
        <v>Possession</v>
      </c>
      <c r="AF760" t="str">
        <f t="shared" si="76"/>
        <v/>
      </c>
      <c r="AG760" t="str">
        <f t="shared" si="77"/>
        <v/>
      </c>
      <c r="AN760" t="str">
        <f t="shared" si="79"/>
        <v>Offensive</v>
      </c>
      <c r="BD760" s="23"/>
      <c r="BF760" s="21"/>
    </row>
    <row r="761" spans="1:58" x14ac:dyDescent="0.2">
      <c r="A761">
        <v>382</v>
      </c>
      <c r="J761">
        <v>91</v>
      </c>
      <c r="Q761" t="s">
        <v>719</v>
      </c>
      <c r="S761" t="s">
        <v>688</v>
      </c>
      <c r="T761">
        <v>1</v>
      </c>
      <c r="U761" s="8">
        <f t="shared" si="75"/>
        <v>1</v>
      </c>
      <c r="AD761" t="str">
        <f t="shared" si="74"/>
        <v>o</v>
      </c>
      <c r="AE761" t="str">
        <f t="shared" si="78"/>
        <v>Possession</v>
      </c>
      <c r="AF761" t="str">
        <f t="shared" si="76"/>
        <v/>
      </c>
      <c r="AG761" t="str">
        <f t="shared" si="77"/>
        <v/>
      </c>
      <c r="AN761" t="str">
        <f t="shared" si="79"/>
        <v>Defensive</v>
      </c>
      <c r="BD761" s="23"/>
      <c r="BF761" s="21"/>
    </row>
    <row r="762" spans="1:58" x14ac:dyDescent="0.2">
      <c r="A762">
        <v>383</v>
      </c>
      <c r="B762">
        <v>63</v>
      </c>
      <c r="E762" s="5" t="s">
        <v>908</v>
      </c>
      <c r="F762" s="5" t="s">
        <v>894</v>
      </c>
      <c r="I762" t="s">
        <v>840</v>
      </c>
      <c r="J762">
        <v>9</v>
      </c>
      <c r="K762">
        <v>1</v>
      </c>
      <c r="L762" t="s">
        <v>401</v>
      </c>
      <c r="M762" t="s">
        <v>8</v>
      </c>
      <c r="N762" t="s">
        <v>216</v>
      </c>
      <c r="O762" t="s">
        <v>70</v>
      </c>
      <c r="P762" t="s">
        <v>688</v>
      </c>
      <c r="U762" s="8">
        <f t="shared" si="75"/>
        <v>1</v>
      </c>
      <c r="AD762" t="str">
        <f t="shared" si="74"/>
        <v>e</v>
      </c>
      <c r="AE762" t="str">
        <f t="shared" si="78"/>
        <v>Pass</v>
      </c>
      <c r="AF762" t="str">
        <f t="shared" si="76"/>
        <v>Pass_Intercepted</v>
      </c>
      <c r="AG762" t="str">
        <f t="shared" si="77"/>
        <v>Pass-Forehand</v>
      </c>
      <c r="AN762" t="str">
        <f t="shared" si="79"/>
        <v>Offensive</v>
      </c>
      <c r="BD762" s="23"/>
      <c r="BF762" s="21"/>
    </row>
    <row r="763" spans="1:58" x14ac:dyDescent="0.2">
      <c r="A763">
        <v>383</v>
      </c>
      <c r="B763">
        <v>63</v>
      </c>
      <c r="J763">
        <v>46</v>
      </c>
      <c r="K763">
        <v>1</v>
      </c>
      <c r="U763" s="8">
        <f t="shared" si="75"/>
        <v>1</v>
      </c>
      <c r="AD763" t="str">
        <f t="shared" si="74"/>
        <v>e</v>
      </c>
      <c r="AE763" t="str">
        <f t="shared" si="78"/>
        <v>Pass</v>
      </c>
      <c r="AF763" t="str">
        <f t="shared" si="76"/>
        <v>Pass_Intercepted</v>
      </c>
      <c r="AG763" t="str">
        <f t="shared" si="77"/>
        <v>Pass-Forehand</v>
      </c>
      <c r="AN763" t="str">
        <f t="shared" si="79"/>
        <v>Offensive</v>
      </c>
      <c r="BD763" s="23"/>
      <c r="BF763" s="21"/>
    </row>
    <row r="764" spans="1:58" x14ac:dyDescent="0.2">
      <c r="A764">
        <v>383</v>
      </c>
      <c r="B764">
        <v>63</v>
      </c>
      <c r="J764">
        <v>22</v>
      </c>
      <c r="Q764" t="s">
        <v>700</v>
      </c>
      <c r="S764" t="s">
        <v>689</v>
      </c>
      <c r="U764" s="8">
        <f t="shared" si="75"/>
        <v>1</v>
      </c>
      <c r="AD764" t="str">
        <f t="shared" si="74"/>
        <v>o</v>
      </c>
      <c r="AE764" t="str">
        <f t="shared" si="78"/>
        <v>Pass</v>
      </c>
      <c r="AF764" t="str">
        <f t="shared" si="76"/>
        <v>Pass_Intercepted</v>
      </c>
      <c r="AG764" t="str">
        <f t="shared" si="77"/>
        <v>Pass-Forehand</v>
      </c>
      <c r="AN764" t="str">
        <f t="shared" si="79"/>
        <v>Defensive</v>
      </c>
      <c r="BD764" s="23"/>
      <c r="BF764" s="21"/>
    </row>
    <row r="765" spans="1:58" x14ac:dyDescent="0.2">
      <c r="A765">
        <v>384</v>
      </c>
      <c r="B765">
        <v>63</v>
      </c>
      <c r="E765" s="5" t="s">
        <v>908</v>
      </c>
      <c r="F765" s="5" t="s">
        <v>894</v>
      </c>
      <c r="I765" t="s">
        <v>840</v>
      </c>
      <c r="J765">
        <v>9</v>
      </c>
      <c r="K765">
        <v>1</v>
      </c>
      <c r="L765" t="s">
        <v>401</v>
      </c>
      <c r="M765" t="s">
        <v>10</v>
      </c>
      <c r="N765" t="s">
        <v>190</v>
      </c>
      <c r="O765" t="s">
        <v>75</v>
      </c>
      <c r="P765" t="s">
        <v>688</v>
      </c>
      <c r="U765" s="8">
        <f t="shared" si="75"/>
        <v>1</v>
      </c>
      <c r="AD765" t="str">
        <f t="shared" si="74"/>
        <v>e</v>
      </c>
      <c r="AE765" t="str">
        <f t="shared" si="78"/>
        <v>Turnover</v>
      </c>
      <c r="AF765" t="str">
        <f t="shared" si="76"/>
        <v>Turnover_Giveaway</v>
      </c>
      <c r="AG765" t="str">
        <f t="shared" si="77"/>
        <v>Giveaway-PassIntercepted</v>
      </c>
      <c r="AN765" t="str">
        <f t="shared" si="79"/>
        <v>Offensive</v>
      </c>
      <c r="BD765" s="23"/>
      <c r="BF765" s="21"/>
    </row>
    <row r="766" spans="1:58" x14ac:dyDescent="0.2">
      <c r="A766">
        <v>384</v>
      </c>
      <c r="B766">
        <v>63</v>
      </c>
      <c r="J766">
        <v>46</v>
      </c>
      <c r="K766">
        <v>1</v>
      </c>
      <c r="U766" s="8">
        <f t="shared" si="75"/>
        <v>1</v>
      </c>
      <c r="AD766" t="str">
        <f t="shared" si="74"/>
        <v>e</v>
      </c>
      <c r="AE766" t="str">
        <f t="shared" si="78"/>
        <v>Turnover</v>
      </c>
      <c r="AF766" t="str">
        <f t="shared" si="76"/>
        <v>Turnover_Giveaway</v>
      </c>
      <c r="AG766" t="str">
        <f t="shared" si="77"/>
        <v>Giveaway-PassIntercepted</v>
      </c>
      <c r="AN766" t="str">
        <f t="shared" si="79"/>
        <v>Offensive</v>
      </c>
      <c r="BD766" s="23"/>
      <c r="BF766" s="21"/>
    </row>
    <row r="767" spans="1:58" x14ac:dyDescent="0.2">
      <c r="A767">
        <v>384</v>
      </c>
      <c r="B767">
        <v>63</v>
      </c>
      <c r="J767">
        <v>22</v>
      </c>
      <c r="Q767" t="s">
        <v>700</v>
      </c>
      <c r="S767" t="s">
        <v>689</v>
      </c>
      <c r="U767" s="8">
        <f t="shared" si="75"/>
        <v>1</v>
      </c>
      <c r="AD767" t="str">
        <f t="shared" si="74"/>
        <v>o</v>
      </c>
      <c r="AE767" t="str">
        <f t="shared" si="78"/>
        <v>Turnover</v>
      </c>
      <c r="AF767" t="str">
        <f t="shared" si="76"/>
        <v>Turnover_Giveaway</v>
      </c>
      <c r="AG767" t="str">
        <f t="shared" si="77"/>
        <v>Giveaway-PassIntercepted</v>
      </c>
      <c r="AN767" t="str">
        <f t="shared" si="79"/>
        <v>Defensive</v>
      </c>
      <c r="BD767" s="23"/>
      <c r="BF767" s="21"/>
    </row>
    <row r="768" spans="1:58" x14ac:dyDescent="0.2">
      <c r="A768">
        <v>385</v>
      </c>
      <c r="E768" s="5" t="s">
        <v>908</v>
      </c>
      <c r="F768" s="5" t="s">
        <v>870</v>
      </c>
      <c r="G768" s="5" t="s">
        <v>890</v>
      </c>
      <c r="H768" s="7" t="s">
        <v>837</v>
      </c>
      <c r="I768" t="s">
        <v>835</v>
      </c>
      <c r="J768">
        <v>22</v>
      </c>
      <c r="K768">
        <v>1</v>
      </c>
      <c r="L768" t="s">
        <v>845</v>
      </c>
      <c r="M768" t="s">
        <v>15</v>
      </c>
      <c r="U768" s="8">
        <f t="shared" si="75"/>
        <v>1</v>
      </c>
      <c r="AD768" t="str">
        <f t="shared" si="74"/>
        <v>e</v>
      </c>
      <c r="AE768" t="str">
        <f t="shared" si="78"/>
        <v>Possession</v>
      </c>
      <c r="AF768" t="str">
        <f t="shared" si="76"/>
        <v/>
      </c>
      <c r="AG768" t="str">
        <f t="shared" si="77"/>
        <v/>
      </c>
      <c r="AN768" t="str">
        <f t="shared" si="79"/>
        <v>Offensive</v>
      </c>
      <c r="BD768" s="23"/>
      <c r="BF768" s="21"/>
    </row>
    <row r="769" spans="1:58" x14ac:dyDescent="0.2">
      <c r="A769">
        <v>386</v>
      </c>
      <c r="B769">
        <v>64</v>
      </c>
      <c r="E769" s="5" t="s">
        <v>890</v>
      </c>
      <c r="F769" s="5" t="s">
        <v>872</v>
      </c>
      <c r="I769" t="s">
        <v>835</v>
      </c>
      <c r="J769">
        <v>22</v>
      </c>
      <c r="K769">
        <v>1</v>
      </c>
      <c r="L769" t="s">
        <v>845</v>
      </c>
      <c r="M769" t="s">
        <v>8</v>
      </c>
      <c r="N769" t="s">
        <v>189</v>
      </c>
      <c r="O769" t="s">
        <v>71</v>
      </c>
      <c r="P769" t="s">
        <v>689</v>
      </c>
      <c r="Q769" t="s">
        <v>662</v>
      </c>
      <c r="S769" t="s">
        <v>689</v>
      </c>
      <c r="U769" s="8">
        <f t="shared" si="75"/>
        <v>1</v>
      </c>
      <c r="AD769" t="str">
        <f t="shared" si="74"/>
        <v>e</v>
      </c>
      <c r="AE769" t="str">
        <f t="shared" si="78"/>
        <v>Pass</v>
      </c>
      <c r="AF769" t="str">
        <f t="shared" si="76"/>
        <v>Pass_Completed</v>
      </c>
      <c r="AG769" t="str">
        <f t="shared" si="77"/>
        <v>Pass-Bank</v>
      </c>
      <c r="AN769" t="str">
        <f t="shared" si="79"/>
        <v>Offensive</v>
      </c>
      <c r="BD769" s="23"/>
      <c r="BF769" s="21"/>
    </row>
    <row r="770" spans="1:58" x14ac:dyDescent="0.2">
      <c r="A770">
        <v>386</v>
      </c>
      <c r="B770">
        <v>64</v>
      </c>
      <c r="J770">
        <v>70</v>
      </c>
      <c r="K770">
        <v>1</v>
      </c>
      <c r="U770" s="8">
        <f t="shared" si="75"/>
        <v>1</v>
      </c>
      <c r="AD770" t="str">
        <f t="shared" ref="AD770:AD833" si="80">IF(K770="x","",IF(K770=1,"e","o"))</f>
        <v>e</v>
      </c>
      <c r="AE770" t="str">
        <f t="shared" si="78"/>
        <v>Pass</v>
      </c>
      <c r="AF770" t="str">
        <f t="shared" si="76"/>
        <v>Pass_Completed</v>
      </c>
      <c r="AG770" t="str">
        <f t="shared" si="77"/>
        <v>Pass-Bank</v>
      </c>
      <c r="AN770" t="str">
        <f t="shared" si="79"/>
        <v>Offensive</v>
      </c>
      <c r="BD770" s="23"/>
      <c r="BF770" s="21"/>
    </row>
    <row r="771" spans="1:58" x14ac:dyDescent="0.2">
      <c r="A771">
        <v>387</v>
      </c>
      <c r="B771">
        <v>64</v>
      </c>
      <c r="E771" s="5" t="s">
        <v>890</v>
      </c>
      <c r="F771" s="5" t="s">
        <v>872</v>
      </c>
      <c r="I771" t="s">
        <v>835</v>
      </c>
      <c r="J771">
        <v>22</v>
      </c>
      <c r="K771">
        <v>1</v>
      </c>
      <c r="L771" t="s">
        <v>845</v>
      </c>
      <c r="M771" t="s">
        <v>257</v>
      </c>
      <c r="N771" t="s">
        <v>201</v>
      </c>
      <c r="O771" t="s">
        <v>91</v>
      </c>
      <c r="P771" t="s">
        <v>689</v>
      </c>
      <c r="U771" s="8">
        <f t="shared" ref="U771:U834" si="81">IF(M771="Intermission",U770+1,U770)</f>
        <v>1</v>
      </c>
      <c r="AD771" t="str">
        <f t="shared" si="80"/>
        <v>e</v>
      </c>
      <c r="AE771" t="str">
        <f t="shared" si="78"/>
        <v>Zone_Entry_Exit</v>
      </c>
      <c r="AF771" t="str">
        <f t="shared" ref="AF771:AF834" si="82">IF(N771&lt;&gt;"",N771,IF($A771=$A770,AF770,""))</f>
        <v>Zone_Exit</v>
      </c>
      <c r="AG771" t="str">
        <f t="shared" ref="AG771:AG834" si="83">IF(O771&lt;&gt;"",O771,IF($A771=$A770,AG770,""))</f>
        <v>ZoneExit-Pass</v>
      </c>
      <c r="AN771" t="str">
        <f t="shared" si="79"/>
        <v>Offensive</v>
      </c>
      <c r="BD771" s="23"/>
      <c r="BF771" s="21"/>
    </row>
    <row r="772" spans="1:58" x14ac:dyDescent="0.2">
      <c r="A772">
        <v>387</v>
      </c>
      <c r="B772">
        <v>64</v>
      </c>
      <c r="J772">
        <v>70</v>
      </c>
      <c r="K772">
        <v>1</v>
      </c>
      <c r="U772" s="8">
        <f t="shared" si="81"/>
        <v>1</v>
      </c>
      <c r="AD772" t="str">
        <f t="shared" si="80"/>
        <v>e</v>
      </c>
      <c r="AE772" t="str">
        <f t="shared" ref="AE772:AE835" si="84">IF(M772&lt;&gt;"",M772,IF($A772=$A771,AE771,""))</f>
        <v>Zone_Entry_Exit</v>
      </c>
      <c r="AF772" t="str">
        <f t="shared" si="82"/>
        <v>Zone_Exit</v>
      </c>
      <c r="AG772" t="str">
        <f t="shared" si="83"/>
        <v>ZoneExit-Pass</v>
      </c>
      <c r="AN772" t="str">
        <f t="shared" si="79"/>
        <v>Offensive</v>
      </c>
      <c r="BD772" s="23"/>
      <c r="BF772" s="21"/>
    </row>
    <row r="773" spans="1:58" x14ac:dyDescent="0.2">
      <c r="A773">
        <v>388</v>
      </c>
      <c r="E773" s="5" t="s">
        <v>890</v>
      </c>
      <c r="F773" s="5" t="s">
        <v>873</v>
      </c>
      <c r="G773" s="5" t="s">
        <v>890</v>
      </c>
      <c r="H773" s="7" t="s">
        <v>838</v>
      </c>
      <c r="I773" t="s">
        <v>835</v>
      </c>
      <c r="J773">
        <v>70</v>
      </c>
      <c r="K773">
        <v>1</v>
      </c>
      <c r="L773" t="s">
        <v>839</v>
      </c>
      <c r="M773" t="s">
        <v>15</v>
      </c>
      <c r="U773" s="8">
        <f t="shared" si="81"/>
        <v>1</v>
      </c>
      <c r="AD773" t="str">
        <f t="shared" si="80"/>
        <v>e</v>
      </c>
      <c r="AE773" t="str">
        <f t="shared" si="84"/>
        <v>Possession</v>
      </c>
      <c r="AF773" t="str">
        <f t="shared" si="82"/>
        <v/>
      </c>
      <c r="AG773" t="str">
        <f t="shared" si="83"/>
        <v/>
      </c>
      <c r="AN773" t="str">
        <f t="shared" si="79"/>
        <v>Offensive</v>
      </c>
      <c r="BD773" s="23"/>
      <c r="BF773" s="21"/>
    </row>
    <row r="774" spans="1:58" x14ac:dyDescent="0.2">
      <c r="A774">
        <v>389</v>
      </c>
      <c r="B774">
        <v>65</v>
      </c>
      <c r="E774" s="5" t="s">
        <v>890</v>
      </c>
      <c r="F774" s="5" t="s">
        <v>838</v>
      </c>
      <c r="I774" t="s">
        <v>835</v>
      </c>
      <c r="J774">
        <v>70</v>
      </c>
      <c r="K774">
        <v>1</v>
      </c>
      <c r="L774" t="s">
        <v>839</v>
      </c>
      <c r="M774" t="s">
        <v>8</v>
      </c>
      <c r="N774" t="s">
        <v>216</v>
      </c>
      <c r="O774" t="s">
        <v>70</v>
      </c>
      <c r="P774" t="s">
        <v>688</v>
      </c>
      <c r="Q774" t="s">
        <v>709</v>
      </c>
      <c r="S774" t="s">
        <v>688</v>
      </c>
      <c r="U774" s="8">
        <f t="shared" si="81"/>
        <v>1</v>
      </c>
      <c r="AD774" t="str">
        <f t="shared" si="80"/>
        <v>e</v>
      </c>
      <c r="AE774" t="str">
        <f t="shared" si="84"/>
        <v>Pass</v>
      </c>
      <c r="AF774" t="str">
        <f t="shared" si="82"/>
        <v>Pass_Intercepted</v>
      </c>
      <c r="AG774" t="str">
        <f t="shared" si="83"/>
        <v>Pass-Forehand</v>
      </c>
      <c r="AN774" t="str">
        <f t="shared" si="79"/>
        <v>Offensive</v>
      </c>
      <c r="BD774" s="23"/>
      <c r="BF774" s="21"/>
    </row>
    <row r="775" spans="1:58" x14ac:dyDescent="0.2">
      <c r="A775">
        <v>389</v>
      </c>
      <c r="B775">
        <v>65</v>
      </c>
      <c r="J775">
        <v>75</v>
      </c>
      <c r="K775">
        <v>1</v>
      </c>
      <c r="U775" s="8">
        <f t="shared" si="81"/>
        <v>1</v>
      </c>
      <c r="AD775" t="str">
        <f t="shared" si="80"/>
        <v>e</v>
      </c>
      <c r="AE775" t="str">
        <f t="shared" si="84"/>
        <v>Pass</v>
      </c>
      <c r="AF775" t="str">
        <f t="shared" si="82"/>
        <v>Pass_Intercepted</v>
      </c>
      <c r="AG775" t="str">
        <f t="shared" si="83"/>
        <v>Pass-Forehand</v>
      </c>
      <c r="AN775" t="str">
        <f t="shared" si="79"/>
        <v>Offensive</v>
      </c>
      <c r="BD775" s="23"/>
      <c r="BF775" s="21"/>
    </row>
    <row r="776" spans="1:58" x14ac:dyDescent="0.2">
      <c r="A776">
        <v>389</v>
      </c>
      <c r="B776">
        <v>65</v>
      </c>
      <c r="J776">
        <v>83</v>
      </c>
      <c r="Q776" t="s">
        <v>700</v>
      </c>
      <c r="R776" t="s">
        <v>775</v>
      </c>
      <c r="S776" t="s">
        <v>689</v>
      </c>
      <c r="U776" s="8">
        <f t="shared" si="81"/>
        <v>1</v>
      </c>
      <c r="AD776" t="str">
        <f t="shared" si="80"/>
        <v>o</v>
      </c>
      <c r="AE776" t="str">
        <f t="shared" si="84"/>
        <v>Pass</v>
      </c>
      <c r="AF776" t="str">
        <f t="shared" si="82"/>
        <v>Pass_Intercepted</v>
      </c>
      <c r="AG776" t="str">
        <f t="shared" si="83"/>
        <v>Pass-Forehand</v>
      </c>
      <c r="AN776" t="str">
        <f t="shared" si="79"/>
        <v>Defensive</v>
      </c>
      <c r="BD776" s="23"/>
      <c r="BF776" s="21"/>
    </row>
    <row r="777" spans="1:58" x14ac:dyDescent="0.2">
      <c r="A777">
        <v>390</v>
      </c>
      <c r="B777">
        <v>65</v>
      </c>
      <c r="E777" s="5" t="s">
        <v>890</v>
      </c>
      <c r="F777" s="5" t="s">
        <v>838</v>
      </c>
      <c r="I777" t="s">
        <v>835</v>
      </c>
      <c r="J777">
        <v>70</v>
      </c>
      <c r="K777">
        <v>1</v>
      </c>
      <c r="L777" t="s">
        <v>839</v>
      </c>
      <c r="M777" t="s">
        <v>10</v>
      </c>
      <c r="N777" t="s">
        <v>190</v>
      </c>
      <c r="O777" t="s">
        <v>75</v>
      </c>
      <c r="P777" t="s">
        <v>688</v>
      </c>
      <c r="Q777" t="s">
        <v>709</v>
      </c>
      <c r="S777" t="s">
        <v>688</v>
      </c>
      <c r="U777" s="8">
        <f t="shared" si="81"/>
        <v>1</v>
      </c>
      <c r="AD777" t="str">
        <f t="shared" si="80"/>
        <v>e</v>
      </c>
      <c r="AE777" t="str">
        <f t="shared" si="84"/>
        <v>Turnover</v>
      </c>
      <c r="AF777" t="str">
        <f t="shared" si="82"/>
        <v>Turnover_Giveaway</v>
      </c>
      <c r="AG777" t="str">
        <f t="shared" si="83"/>
        <v>Giveaway-PassIntercepted</v>
      </c>
      <c r="AN777" t="str">
        <f t="shared" ref="AN777:AN840" si="85">IF(AND(AD777="e",OR(AE777="Save",AF777="Turnover_Takeaway",AF777="Play_Defensive")),"Defensive",IF(AND(AD777="o",OR(AE777="Save",AF777="Turnover_Takeaway",AF777="Play_Defensive")),"Offensive",IF(OR(AE777="Deadice",AE777="Stoppage",AE777="Intermission"),"",IF(AD777="e","Offensive",IF(AD777="o","Defensive","")))))</f>
        <v>Offensive</v>
      </c>
      <c r="BD777" s="23"/>
      <c r="BF777" s="21"/>
    </row>
    <row r="778" spans="1:58" x14ac:dyDescent="0.2">
      <c r="A778">
        <v>390</v>
      </c>
      <c r="B778">
        <v>65</v>
      </c>
      <c r="J778">
        <v>75</v>
      </c>
      <c r="K778">
        <v>1</v>
      </c>
      <c r="U778" s="8">
        <f t="shared" si="81"/>
        <v>1</v>
      </c>
      <c r="AD778" t="str">
        <f t="shared" si="80"/>
        <v>e</v>
      </c>
      <c r="AE778" t="str">
        <f t="shared" si="84"/>
        <v>Turnover</v>
      </c>
      <c r="AF778" t="str">
        <f t="shared" si="82"/>
        <v>Turnover_Giveaway</v>
      </c>
      <c r="AG778" t="str">
        <f t="shared" si="83"/>
        <v>Giveaway-PassIntercepted</v>
      </c>
      <c r="AN778" t="str">
        <f t="shared" si="85"/>
        <v>Offensive</v>
      </c>
      <c r="BD778" s="23"/>
      <c r="BF778" s="21"/>
    </row>
    <row r="779" spans="1:58" x14ac:dyDescent="0.2">
      <c r="A779">
        <v>390</v>
      </c>
      <c r="B779">
        <v>65</v>
      </c>
      <c r="J779">
        <v>83</v>
      </c>
      <c r="Q779" t="s">
        <v>700</v>
      </c>
      <c r="R779" t="s">
        <v>775</v>
      </c>
      <c r="S779" t="s">
        <v>689</v>
      </c>
      <c r="U779" s="8">
        <f t="shared" si="81"/>
        <v>1</v>
      </c>
      <c r="AD779" t="str">
        <f t="shared" si="80"/>
        <v>o</v>
      </c>
      <c r="AE779" t="str">
        <f t="shared" si="84"/>
        <v>Turnover</v>
      </c>
      <c r="AF779" t="str">
        <f t="shared" si="82"/>
        <v>Turnover_Giveaway</v>
      </c>
      <c r="AG779" t="str">
        <f t="shared" si="83"/>
        <v>Giveaway-PassIntercepted</v>
      </c>
      <c r="AN779" t="str">
        <f t="shared" si="85"/>
        <v>Defensive</v>
      </c>
      <c r="BD779" s="23"/>
      <c r="BF779" s="21"/>
    </row>
    <row r="780" spans="1:58" x14ac:dyDescent="0.2">
      <c r="A780">
        <v>391</v>
      </c>
      <c r="E780" s="5" t="s">
        <v>890</v>
      </c>
      <c r="F780" s="5" t="s">
        <v>885</v>
      </c>
      <c r="G780" s="5" t="s">
        <v>890</v>
      </c>
      <c r="H780" s="7" t="s">
        <v>842</v>
      </c>
      <c r="I780" t="s">
        <v>840</v>
      </c>
      <c r="J780">
        <v>83</v>
      </c>
      <c r="K780">
        <v>1</v>
      </c>
      <c r="L780" t="s">
        <v>839</v>
      </c>
      <c r="M780" t="s">
        <v>15</v>
      </c>
      <c r="U780" s="8">
        <f t="shared" si="81"/>
        <v>1</v>
      </c>
      <c r="AD780" t="str">
        <f t="shared" si="80"/>
        <v>e</v>
      </c>
      <c r="AE780" t="str">
        <f t="shared" si="84"/>
        <v>Possession</v>
      </c>
      <c r="AF780" t="str">
        <f t="shared" si="82"/>
        <v/>
      </c>
      <c r="AG780" t="str">
        <f t="shared" si="83"/>
        <v/>
      </c>
      <c r="AN780" t="str">
        <f t="shared" si="85"/>
        <v>Offensive</v>
      </c>
      <c r="BD780" s="23"/>
      <c r="BF780" s="21"/>
    </row>
    <row r="781" spans="1:58" x14ac:dyDescent="0.2">
      <c r="A781">
        <v>392</v>
      </c>
      <c r="E781" s="5" t="s">
        <v>890</v>
      </c>
      <c r="F781" s="5" t="s">
        <v>842</v>
      </c>
      <c r="G781" s="5" t="s">
        <v>890</v>
      </c>
      <c r="H781" s="7" t="s">
        <v>843</v>
      </c>
      <c r="I781" t="s">
        <v>840</v>
      </c>
      <c r="J781">
        <v>83</v>
      </c>
      <c r="K781">
        <v>1</v>
      </c>
      <c r="L781" t="s">
        <v>401</v>
      </c>
      <c r="M781" t="s">
        <v>257</v>
      </c>
      <c r="N781" t="s">
        <v>191</v>
      </c>
      <c r="O781" t="s">
        <v>87</v>
      </c>
      <c r="P781" t="s">
        <v>689</v>
      </c>
      <c r="Q781" t="s">
        <v>702</v>
      </c>
      <c r="S781" t="s">
        <v>689</v>
      </c>
      <c r="T781">
        <v>1</v>
      </c>
      <c r="U781" s="8">
        <f t="shared" si="81"/>
        <v>1</v>
      </c>
      <c r="AD781" t="str">
        <f t="shared" si="80"/>
        <v>e</v>
      </c>
      <c r="AE781" t="str">
        <f t="shared" si="84"/>
        <v>Zone_Entry_Exit</v>
      </c>
      <c r="AF781" t="str">
        <f t="shared" si="82"/>
        <v>Zone_Entry</v>
      </c>
      <c r="AG781" t="str">
        <f t="shared" si="83"/>
        <v>ZoneEntry-Rush</v>
      </c>
      <c r="AN781" t="str">
        <f t="shared" si="85"/>
        <v>Offensive</v>
      </c>
      <c r="BD781" s="23"/>
      <c r="BF781" s="21"/>
    </row>
    <row r="782" spans="1:58" x14ac:dyDescent="0.2">
      <c r="A782">
        <v>392</v>
      </c>
      <c r="J782">
        <v>91</v>
      </c>
      <c r="Q782" t="s">
        <v>731</v>
      </c>
      <c r="S782" t="s">
        <v>688</v>
      </c>
      <c r="T782">
        <v>1</v>
      </c>
      <c r="U782" s="8">
        <f t="shared" si="81"/>
        <v>1</v>
      </c>
      <c r="AD782" t="str">
        <f t="shared" si="80"/>
        <v>o</v>
      </c>
      <c r="AE782" t="str">
        <f t="shared" si="84"/>
        <v>Zone_Entry_Exit</v>
      </c>
      <c r="AF782" t="str">
        <f t="shared" si="82"/>
        <v>Zone_Entry</v>
      </c>
      <c r="AG782" t="str">
        <f t="shared" si="83"/>
        <v>ZoneEntry-Rush</v>
      </c>
      <c r="AN782" t="str">
        <f t="shared" si="85"/>
        <v>Defensive</v>
      </c>
      <c r="BD782" s="23"/>
      <c r="BF782" s="21"/>
    </row>
    <row r="783" spans="1:58" x14ac:dyDescent="0.2">
      <c r="A783">
        <v>392</v>
      </c>
      <c r="J783">
        <v>70</v>
      </c>
      <c r="T783">
        <v>1</v>
      </c>
      <c r="U783" s="8">
        <f t="shared" si="81"/>
        <v>1</v>
      </c>
      <c r="AD783" t="str">
        <f t="shared" si="80"/>
        <v>o</v>
      </c>
      <c r="AE783" t="str">
        <f t="shared" si="84"/>
        <v>Zone_Entry_Exit</v>
      </c>
      <c r="AF783" t="str">
        <f t="shared" si="82"/>
        <v>Zone_Entry</v>
      </c>
      <c r="AG783" t="str">
        <f t="shared" si="83"/>
        <v>ZoneEntry-Rush</v>
      </c>
      <c r="AN783" t="str">
        <f t="shared" si="85"/>
        <v>Defensive</v>
      </c>
      <c r="BD783" s="23"/>
      <c r="BF783" s="21"/>
    </row>
    <row r="784" spans="1:58" x14ac:dyDescent="0.2">
      <c r="A784">
        <v>393</v>
      </c>
      <c r="E784" s="5" t="s">
        <v>890</v>
      </c>
      <c r="F784" s="5" t="s">
        <v>843</v>
      </c>
      <c r="G784" s="5" t="s">
        <v>890</v>
      </c>
      <c r="H784" s="7" t="s">
        <v>847</v>
      </c>
      <c r="I784" t="s">
        <v>840</v>
      </c>
      <c r="J784">
        <v>83</v>
      </c>
      <c r="K784">
        <v>1</v>
      </c>
      <c r="L784" t="s">
        <v>401</v>
      </c>
      <c r="M784" t="s">
        <v>15</v>
      </c>
      <c r="U784" s="8">
        <f t="shared" si="81"/>
        <v>1</v>
      </c>
      <c r="AD784" t="str">
        <f t="shared" si="80"/>
        <v>e</v>
      </c>
      <c r="AE784" t="str">
        <f t="shared" si="84"/>
        <v>Possession</v>
      </c>
      <c r="AF784" t="str">
        <f t="shared" si="82"/>
        <v/>
      </c>
      <c r="AG784" t="str">
        <f t="shared" si="83"/>
        <v/>
      </c>
      <c r="AN784" t="str">
        <f t="shared" si="85"/>
        <v>Offensive</v>
      </c>
      <c r="BD784" s="23"/>
      <c r="BF784" s="21"/>
    </row>
    <row r="785" spans="1:58" x14ac:dyDescent="0.2">
      <c r="A785">
        <v>394</v>
      </c>
      <c r="E785" s="5" t="s">
        <v>890</v>
      </c>
      <c r="F785" s="5" t="s">
        <v>847</v>
      </c>
      <c r="I785" t="s">
        <v>840</v>
      </c>
      <c r="J785">
        <v>83</v>
      </c>
      <c r="K785">
        <v>1</v>
      </c>
      <c r="L785" t="s">
        <v>401</v>
      </c>
      <c r="M785" t="s">
        <v>8</v>
      </c>
      <c r="N785" t="s">
        <v>189</v>
      </c>
      <c r="O785" t="s">
        <v>70</v>
      </c>
      <c r="P785" t="s">
        <v>689</v>
      </c>
      <c r="U785" s="8">
        <f t="shared" si="81"/>
        <v>1</v>
      </c>
      <c r="AD785" t="str">
        <f t="shared" si="80"/>
        <v>e</v>
      </c>
      <c r="AE785" t="str">
        <f t="shared" si="84"/>
        <v>Pass</v>
      </c>
      <c r="AF785" t="str">
        <f t="shared" si="82"/>
        <v>Pass_Completed</v>
      </c>
      <c r="AG785" t="str">
        <f t="shared" si="83"/>
        <v>Pass-Forehand</v>
      </c>
      <c r="AN785" t="str">
        <f t="shared" si="85"/>
        <v>Offensive</v>
      </c>
      <c r="BD785" s="23"/>
      <c r="BF785" s="21"/>
    </row>
    <row r="786" spans="1:58" x14ac:dyDescent="0.2">
      <c r="A786">
        <v>394</v>
      </c>
      <c r="J786">
        <v>7</v>
      </c>
      <c r="K786">
        <v>1</v>
      </c>
      <c r="U786" s="8">
        <f t="shared" si="81"/>
        <v>1</v>
      </c>
      <c r="AD786" t="str">
        <f t="shared" si="80"/>
        <v>e</v>
      </c>
      <c r="AE786" t="str">
        <f t="shared" si="84"/>
        <v>Pass</v>
      </c>
      <c r="AF786" t="str">
        <f t="shared" si="82"/>
        <v>Pass_Completed</v>
      </c>
      <c r="AG786" t="str">
        <f t="shared" si="83"/>
        <v>Pass-Forehand</v>
      </c>
      <c r="AN786" t="str">
        <f t="shared" si="85"/>
        <v>Offensive</v>
      </c>
      <c r="BD786" s="23"/>
      <c r="BF786" s="21"/>
    </row>
    <row r="787" spans="1:58" x14ac:dyDescent="0.2">
      <c r="A787">
        <v>394</v>
      </c>
      <c r="J787">
        <v>14</v>
      </c>
      <c r="U787" s="8">
        <f t="shared" si="81"/>
        <v>1</v>
      </c>
      <c r="AD787" t="str">
        <f t="shared" si="80"/>
        <v>o</v>
      </c>
      <c r="AE787" t="str">
        <f t="shared" si="84"/>
        <v>Pass</v>
      </c>
      <c r="AF787" t="str">
        <f t="shared" si="82"/>
        <v>Pass_Completed</v>
      </c>
      <c r="AG787" t="str">
        <f t="shared" si="83"/>
        <v>Pass-Forehand</v>
      </c>
      <c r="AN787" t="str">
        <f t="shared" si="85"/>
        <v>Defensive</v>
      </c>
      <c r="BD787" s="23"/>
      <c r="BF787" s="21"/>
    </row>
    <row r="788" spans="1:58" x14ac:dyDescent="0.2">
      <c r="A788">
        <v>395</v>
      </c>
      <c r="B788">
        <v>66</v>
      </c>
      <c r="E788" s="5" t="s">
        <v>890</v>
      </c>
      <c r="F788" s="5" t="s">
        <v>877</v>
      </c>
      <c r="I788" t="s">
        <v>840</v>
      </c>
      <c r="J788">
        <v>7</v>
      </c>
      <c r="K788">
        <v>1</v>
      </c>
      <c r="L788" t="s">
        <v>401</v>
      </c>
      <c r="M788" t="s">
        <v>7</v>
      </c>
      <c r="N788" t="s">
        <v>222</v>
      </c>
      <c r="O788" t="s">
        <v>53</v>
      </c>
      <c r="P788" t="s">
        <v>689</v>
      </c>
      <c r="U788" s="8">
        <f t="shared" si="81"/>
        <v>1</v>
      </c>
      <c r="AD788" t="str">
        <f t="shared" si="80"/>
        <v>e</v>
      </c>
      <c r="AE788" t="str">
        <f t="shared" si="84"/>
        <v>Shot</v>
      </c>
      <c r="AF788" t="str">
        <f t="shared" si="82"/>
        <v>Shot_OnNetSaved</v>
      </c>
      <c r="AG788" t="str">
        <f t="shared" si="83"/>
        <v>Shot-Wrist</v>
      </c>
      <c r="AN788" t="str">
        <f t="shared" si="85"/>
        <v>Offensive</v>
      </c>
      <c r="BD788" s="23"/>
      <c r="BF788" s="21"/>
    </row>
    <row r="789" spans="1:58" x14ac:dyDescent="0.2">
      <c r="A789">
        <v>395</v>
      </c>
      <c r="B789">
        <v>66</v>
      </c>
      <c r="J789">
        <v>92</v>
      </c>
      <c r="K789">
        <v>1</v>
      </c>
      <c r="Q789" t="s">
        <v>779</v>
      </c>
      <c r="T789">
        <v>1</v>
      </c>
      <c r="U789" s="8">
        <f t="shared" si="81"/>
        <v>1</v>
      </c>
      <c r="AD789" t="str">
        <f t="shared" si="80"/>
        <v>e</v>
      </c>
      <c r="AE789" t="str">
        <f t="shared" si="84"/>
        <v>Shot</v>
      </c>
      <c r="AF789" t="str">
        <f t="shared" si="82"/>
        <v>Shot_OnNetSaved</v>
      </c>
      <c r="AG789" t="str">
        <f t="shared" si="83"/>
        <v>Shot-Wrist</v>
      </c>
      <c r="AN789" t="str">
        <f t="shared" si="85"/>
        <v>Offensive</v>
      </c>
      <c r="BD789" s="23"/>
      <c r="BF789" s="21"/>
    </row>
    <row r="790" spans="1:58" x14ac:dyDescent="0.2">
      <c r="A790">
        <v>395</v>
      </c>
      <c r="B790">
        <v>66</v>
      </c>
      <c r="J790">
        <v>39</v>
      </c>
      <c r="U790" s="8">
        <f t="shared" si="81"/>
        <v>1</v>
      </c>
      <c r="AD790" t="str">
        <f t="shared" si="80"/>
        <v>o</v>
      </c>
      <c r="AE790" t="str">
        <f t="shared" si="84"/>
        <v>Shot</v>
      </c>
      <c r="AF790" t="str">
        <f t="shared" si="82"/>
        <v>Shot_OnNetSaved</v>
      </c>
      <c r="AG790" t="str">
        <f t="shared" si="83"/>
        <v>Shot-Wrist</v>
      </c>
      <c r="AN790" t="str">
        <f t="shared" si="85"/>
        <v>Defensive</v>
      </c>
      <c r="BD790" s="23"/>
      <c r="BF790" s="21"/>
    </row>
    <row r="791" spans="1:58" x14ac:dyDescent="0.2">
      <c r="A791">
        <v>395</v>
      </c>
      <c r="B791">
        <v>66</v>
      </c>
      <c r="J791">
        <v>91</v>
      </c>
      <c r="Q791" t="s">
        <v>745</v>
      </c>
      <c r="T791">
        <v>1</v>
      </c>
      <c r="U791" s="8">
        <f t="shared" si="81"/>
        <v>1</v>
      </c>
      <c r="AD791" t="str">
        <f t="shared" si="80"/>
        <v>o</v>
      </c>
      <c r="AE791" t="str">
        <f t="shared" si="84"/>
        <v>Shot</v>
      </c>
      <c r="AF791" t="str">
        <f t="shared" si="82"/>
        <v>Shot_OnNetSaved</v>
      </c>
      <c r="AG791" t="str">
        <f t="shared" si="83"/>
        <v>Shot-Wrist</v>
      </c>
      <c r="AN791" t="str">
        <f t="shared" si="85"/>
        <v>Defensive</v>
      </c>
      <c r="BD791" s="23"/>
      <c r="BF791" s="21"/>
    </row>
    <row r="792" spans="1:58" x14ac:dyDescent="0.2">
      <c r="A792">
        <v>396</v>
      </c>
      <c r="B792">
        <v>66</v>
      </c>
      <c r="E792" s="5" t="s">
        <v>890</v>
      </c>
      <c r="F792" s="5" t="s">
        <v>877</v>
      </c>
      <c r="I792" t="s">
        <v>835</v>
      </c>
      <c r="J792">
        <v>39</v>
      </c>
      <c r="K792">
        <v>1</v>
      </c>
      <c r="L792" t="s">
        <v>845</v>
      </c>
      <c r="M792" t="s">
        <v>17</v>
      </c>
      <c r="N792" t="s">
        <v>206</v>
      </c>
      <c r="O792" t="s">
        <v>103</v>
      </c>
      <c r="U792" s="8">
        <f t="shared" si="81"/>
        <v>1</v>
      </c>
      <c r="AD792" t="str">
        <f t="shared" si="80"/>
        <v>e</v>
      </c>
      <c r="AE792" t="str">
        <f t="shared" si="84"/>
        <v>Save</v>
      </c>
      <c r="AF792" t="str">
        <f t="shared" si="82"/>
        <v>Save_Freeze</v>
      </c>
      <c r="AG792" t="str">
        <f t="shared" si="83"/>
        <v>Save-Chest</v>
      </c>
      <c r="AN792" t="str">
        <f t="shared" si="85"/>
        <v>Defensive</v>
      </c>
      <c r="BD792" s="23"/>
      <c r="BF792" s="21"/>
    </row>
    <row r="793" spans="1:58" x14ac:dyDescent="0.2">
      <c r="A793">
        <v>396</v>
      </c>
      <c r="B793">
        <v>66</v>
      </c>
      <c r="J793">
        <v>91</v>
      </c>
      <c r="K793">
        <v>1</v>
      </c>
      <c r="Q793" t="s">
        <v>745</v>
      </c>
      <c r="T793">
        <v>1</v>
      </c>
      <c r="U793" s="8">
        <f t="shared" si="81"/>
        <v>1</v>
      </c>
      <c r="AD793" t="str">
        <f t="shared" si="80"/>
        <v>e</v>
      </c>
      <c r="AE793" t="str">
        <f t="shared" si="84"/>
        <v>Save</v>
      </c>
      <c r="AF793" t="str">
        <f t="shared" si="82"/>
        <v>Save_Freeze</v>
      </c>
      <c r="AG793" t="str">
        <f t="shared" si="83"/>
        <v>Save-Chest</v>
      </c>
      <c r="AN793" t="str">
        <f t="shared" si="85"/>
        <v>Defensive</v>
      </c>
      <c r="BD793" s="23"/>
      <c r="BF793" s="21"/>
    </row>
    <row r="794" spans="1:58" x14ac:dyDescent="0.2">
      <c r="A794">
        <v>396</v>
      </c>
      <c r="B794">
        <v>66</v>
      </c>
      <c r="J794">
        <v>7</v>
      </c>
      <c r="U794" s="8">
        <f t="shared" si="81"/>
        <v>1</v>
      </c>
      <c r="AD794" t="str">
        <f t="shared" si="80"/>
        <v>o</v>
      </c>
      <c r="AE794" t="str">
        <f t="shared" si="84"/>
        <v>Save</v>
      </c>
      <c r="AF794" t="str">
        <f t="shared" si="82"/>
        <v>Save_Freeze</v>
      </c>
      <c r="AG794" t="str">
        <f t="shared" si="83"/>
        <v>Save-Chest</v>
      </c>
      <c r="AN794" t="str">
        <f t="shared" si="85"/>
        <v>Offensive</v>
      </c>
      <c r="BD794" s="23"/>
      <c r="BF794" s="21"/>
    </row>
    <row r="795" spans="1:58" x14ac:dyDescent="0.2">
      <c r="A795">
        <v>396</v>
      </c>
      <c r="B795">
        <v>66</v>
      </c>
      <c r="J795">
        <v>92</v>
      </c>
      <c r="Q795" t="s">
        <v>779</v>
      </c>
      <c r="T795">
        <v>1</v>
      </c>
      <c r="U795" s="8">
        <f t="shared" si="81"/>
        <v>1</v>
      </c>
      <c r="AD795" t="str">
        <f t="shared" si="80"/>
        <v>o</v>
      </c>
      <c r="AE795" t="str">
        <f t="shared" si="84"/>
        <v>Save</v>
      </c>
      <c r="AF795" t="str">
        <f t="shared" si="82"/>
        <v>Save_Freeze</v>
      </c>
      <c r="AG795" t="str">
        <f t="shared" si="83"/>
        <v>Save-Chest</v>
      </c>
      <c r="AN795" t="str">
        <f t="shared" si="85"/>
        <v>Offensive</v>
      </c>
      <c r="BD795" s="23"/>
      <c r="BF795" s="21"/>
    </row>
    <row r="796" spans="1:58" x14ac:dyDescent="0.2">
      <c r="A796">
        <v>397</v>
      </c>
      <c r="B796">
        <v>66</v>
      </c>
      <c r="E796" s="5" t="s">
        <v>890</v>
      </c>
      <c r="F796" s="5" t="s">
        <v>888</v>
      </c>
      <c r="I796" t="s">
        <v>835</v>
      </c>
      <c r="J796">
        <v>39</v>
      </c>
      <c r="K796">
        <v>1</v>
      </c>
      <c r="L796" t="s">
        <v>845</v>
      </c>
      <c r="M796" t="s">
        <v>13</v>
      </c>
      <c r="N796" t="s">
        <v>204</v>
      </c>
      <c r="O796" t="s">
        <v>110</v>
      </c>
      <c r="U796" s="8">
        <f t="shared" si="81"/>
        <v>1</v>
      </c>
      <c r="AD796" t="str">
        <f t="shared" si="80"/>
        <v>e</v>
      </c>
      <c r="AE796" t="str">
        <f t="shared" si="84"/>
        <v>Stoppage</v>
      </c>
      <c r="AF796" t="str">
        <f t="shared" si="82"/>
        <v>Stoppage_Play</v>
      </c>
      <c r="AG796" t="str">
        <f t="shared" si="83"/>
        <v>Stoppage-GoalieStoppage</v>
      </c>
      <c r="AN796" t="str">
        <f t="shared" si="85"/>
        <v/>
      </c>
      <c r="BD796" s="23"/>
      <c r="BF796" s="21"/>
    </row>
    <row r="797" spans="1:58" x14ac:dyDescent="0.2">
      <c r="A797">
        <v>398</v>
      </c>
      <c r="B797">
        <v>66</v>
      </c>
      <c r="E797" s="5" t="s">
        <v>890</v>
      </c>
      <c r="F797" s="5" t="s">
        <v>888</v>
      </c>
      <c r="G797" s="5" t="s">
        <v>890</v>
      </c>
      <c r="H797" s="7" t="s">
        <v>854</v>
      </c>
      <c r="I797" t="s">
        <v>835</v>
      </c>
      <c r="J797">
        <v>39</v>
      </c>
      <c r="K797">
        <v>1</v>
      </c>
      <c r="L797" t="s">
        <v>845</v>
      </c>
      <c r="M797" t="s">
        <v>262</v>
      </c>
      <c r="U797" s="8">
        <f t="shared" si="81"/>
        <v>1</v>
      </c>
      <c r="AD797" t="str">
        <f t="shared" si="80"/>
        <v>e</v>
      </c>
      <c r="AE797" t="str">
        <f t="shared" si="84"/>
        <v>DeadIce</v>
      </c>
      <c r="AF797" t="str">
        <f t="shared" si="82"/>
        <v/>
      </c>
      <c r="AG797" t="str">
        <f t="shared" si="83"/>
        <v/>
      </c>
      <c r="AN797" t="str">
        <f t="shared" si="85"/>
        <v/>
      </c>
      <c r="BD797" s="23"/>
      <c r="BF797" s="21"/>
    </row>
    <row r="798" spans="1:58" x14ac:dyDescent="0.2">
      <c r="A798">
        <v>399</v>
      </c>
      <c r="E798" s="5" t="s">
        <v>890</v>
      </c>
      <c r="F798" s="5" t="s">
        <v>854</v>
      </c>
      <c r="I798" t="s">
        <v>835</v>
      </c>
      <c r="J798">
        <v>70</v>
      </c>
      <c r="K798">
        <v>1</v>
      </c>
      <c r="L798" t="s">
        <v>845</v>
      </c>
      <c r="M798" t="s">
        <v>6</v>
      </c>
      <c r="N798" t="s">
        <v>255</v>
      </c>
      <c r="U798" s="8">
        <f t="shared" si="81"/>
        <v>1</v>
      </c>
      <c r="AD798" t="str">
        <f t="shared" si="80"/>
        <v>e</v>
      </c>
      <c r="AE798" t="str">
        <f t="shared" si="84"/>
        <v>Faceoff</v>
      </c>
      <c r="AF798" t="str">
        <f t="shared" si="82"/>
        <v>Faceoff_AfterStoppage</v>
      </c>
      <c r="AG798" t="str">
        <f t="shared" si="83"/>
        <v/>
      </c>
      <c r="AN798" t="str">
        <f t="shared" si="85"/>
        <v>Offensive</v>
      </c>
      <c r="BD798" s="23"/>
      <c r="BF798" s="21"/>
    </row>
    <row r="799" spans="1:58" x14ac:dyDescent="0.2">
      <c r="A799">
        <v>399</v>
      </c>
      <c r="J799">
        <v>46</v>
      </c>
      <c r="U799" s="8">
        <f t="shared" si="81"/>
        <v>1</v>
      </c>
      <c r="AD799" t="str">
        <f t="shared" si="80"/>
        <v>o</v>
      </c>
      <c r="AE799" t="str">
        <f t="shared" si="84"/>
        <v>Faceoff</v>
      </c>
      <c r="AF799" t="str">
        <f t="shared" si="82"/>
        <v>Faceoff_AfterStoppage</v>
      </c>
      <c r="AG799" t="str">
        <f t="shared" si="83"/>
        <v/>
      </c>
      <c r="AN799" t="str">
        <f t="shared" si="85"/>
        <v>Defensive</v>
      </c>
      <c r="BD799" s="23"/>
      <c r="BF799" s="21"/>
    </row>
    <row r="800" spans="1:58" x14ac:dyDescent="0.2">
      <c r="A800">
        <v>400</v>
      </c>
      <c r="E800" s="5" t="s">
        <v>890</v>
      </c>
      <c r="F800" s="5" t="s">
        <v>857</v>
      </c>
      <c r="I800" t="s">
        <v>835</v>
      </c>
      <c r="J800">
        <v>91</v>
      </c>
      <c r="K800">
        <v>1</v>
      </c>
      <c r="L800" t="s">
        <v>845</v>
      </c>
      <c r="M800" t="s">
        <v>15</v>
      </c>
      <c r="N800" t="s">
        <v>681</v>
      </c>
      <c r="P800" t="s">
        <v>689</v>
      </c>
      <c r="Q800" t="s">
        <v>828</v>
      </c>
      <c r="S800" t="s">
        <v>689</v>
      </c>
      <c r="U800" s="8">
        <f t="shared" si="81"/>
        <v>1</v>
      </c>
      <c r="AD800" t="str">
        <f t="shared" si="80"/>
        <v>e</v>
      </c>
      <c r="AE800" t="str">
        <f t="shared" si="84"/>
        <v>Possession</v>
      </c>
      <c r="AF800" t="str">
        <f t="shared" si="82"/>
        <v>PuckRecovery</v>
      </c>
      <c r="AG800" t="str">
        <f t="shared" si="83"/>
        <v/>
      </c>
      <c r="AN800" t="str">
        <f t="shared" si="85"/>
        <v>Offensive</v>
      </c>
      <c r="BD800" s="23"/>
      <c r="BF800" s="21"/>
    </row>
    <row r="801" spans="1:58" x14ac:dyDescent="0.2">
      <c r="A801">
        <v>401</v>
      </c>
      <c r="E801" s="5" t="s">
        <v>890</v>
      </c>
      <c r="F801" s="5" t="s">
        <v>883</v>
      </c>
      <c r="I801" t="s">
        <v>835</v>
      </c>
      <c r="J801">
        <v>91</v>
      </c>
      <c r="K801">
        <v>1</v>
      </c>
      <c r="L801" t="s">
        <v>845</v>
      </c>
      <c r="M801" t="s">
        <v>8</v>
      </c>
      <c r="N801" t="s">
        <v>189</v>
      </c>
      <c r="O801" t="s">
        <v>69</v>
      </c>
      <c r="P801" t="s">
        <v>689</v>
      </c>
      <c r="Q801" t="s">
        <v>749</v>
      </c>
      <c r="S801" t="s">
        <v>689</v>
      </c>
      <c r="U801" s="8">
        <f t="shared" si="81"/>
        <v>1</v>
      </c>
      <c r="AD801" t="str">
        <f t="shared" si="80"/>
        <v>e</v>
      </c>
      <c r="AE801" t="str">
        <f t="shared" si="84"/>
        <v>Pass</v>
      </c>
      <c r="AF801" t="str">
        <f t="shared" si="82"/>
        <v>Pass_Completed</v>
      </c>
      <c r="AG801" t="str">
        <f t="shared" si="83"/>
        <v>Pass-Backhand</v>
      </c>
      <c r="AN801" t="str">
        <f t="shared" si="85"/>
        <v>Offensive</v>
      </c>
      <c r="BD801" s="23"/>
      <c r="BF801" s="21"/>
    </row>
    <row r="802" spans="1:58" x14ac:dyDescent="0.2">
      <c r="A802">
        <v>401</v>
      </c>
      <c r="J802">
        <v>22</v>
      </c>
      <c r="K802">
        <v>1</v>
      </c>
      <c r="U802" s="8">
        <f t="shared" si="81"/>
        <v>1</v>
      </c>
      <c r="AD802" t="str">
        <f t="shared" si="80"/>
        <v>e</v>
      </c>
      <c r="AE802" t="str">
        <f t="shared" si="84"/>
        <v>Pass</v>
      </c>
      <c r="AF802" t="str">
        <f t="shared" si="82"/>
        <v>Pass_Completed</v>
      </c>
      <c r="AG802" t="str">
        <f t="shared" si="83"/>
        <v>Pass-Backhand</v>
      </c>
      <c r="AN802" t="str">
        <f t="shared" si="85"/>
        <v>Offensive</v>
      </c>
      <c r="BD802" s="23"/>
      <c r="BF802" s="21"/>
    </row>
    <row r="803" spans="1:58" x14ac:dyDescent="0.2">
      <c r="A803">
        <v>402</v>
      </c>
      <c r="E803" s="5" t="s">
        <v>890</v>
      </c>
      <c r="F803" s="5" t="s">
        <v>883</v>
      </c>
      <c r="G803" s="5" t="s">
        <v>890</v>
      </c>
      <c r="H803" s="7" t="s">
        <v>866</v>
      </c>
      <c r="I803" t="s">
        <v>835</v>
      </c>
      <c r="J803">
        <v>22</v>
      </c>
      <c r="K803">
        <v>1</v>
      </c>
      <c r="L803" t="s">
        <v>845</v>
      </c>
      <c r="M803" t="s">
        <v>15</v>
      </c>
      <c r="U803" s="8">
        <f t="shared" si="81"/>
        <v>1</v>
      </c>
      <c r="AD803" t="str">
        <f t="shared" si="80"/>
        <v>e</v>
      </c>
      <c r="AE803" t="str">
        <f t="shared" si="84"/>
        <v>Possession</v>
      </c>
      <c r="AF803" t="str">
        <f t="shared" si="82"/>
        <v/>
      </c>
      <c r="AG803" t="str">
        <f t="shared" si="83"/>
        <v/>
      </c>
      <c r="AN803" t="str">
        <f t="shared" si="85"/>
        <v>Offensive</v>
      </c>
      <c r="BD803" s="23"/>
      <c r="BF803" s="21"/>
    </row>
    <row r="804" spans="1:58" x14ac:dyDescent="0.2">
      <c r="A804">
        <v>403</v>
      </c>
      <c r="B804">
        <v>67</v>
      </c>
      <c r="E804" s="5" t="s">
        <v>890</v>
      </c>
      <c r="F804" s="5" t="s">
        <v>860</v>
      </c>
      <c r="I804" t="s">
        <v>835</v>
      </c>
      <c r="J804">
        <v>22</v>
      </c>
      <c r="K804">
        <v>1</v>
      </c>
      <c r="L804" t="s">
        <v>845</v>
      </c>
      <c r="M804" t="s">
        <v>8</v>
      </c>
      <c r="N804" t="s">
        <v>189</v>
      </c>
      <c r="O804" t="s">
        <v>71</v>
      </c>
      <c r="P804" t="s">
        <v>689</v>
      </c>
      <c r="Q804" t="s">
        <v>662</v>
      </c>
      <c r="S804" t="s">
        <v>689</v>
      </c>
      <c r="U804" s="8">
        <f t="shared" si="81"/>
        <v>1</v>
      </c>
      <c r="AD804" t="str">
        <f t="shared" si="80"/>
        <v>e</v>
      </c>
      <c r="AE804" t="str">
        <f t="shared" si="84"/>
        <v>Pass</v>
      </c>
      <c r="AF804" t="str">
        <f t="shared" si="82"/>
        <v>Pass_Completed</v>
      </c>
      <c r="AG804" t="str">
        <f t="shared" si="83"/>
        <v>Pass-Bank</v>
      </c>
      <c r="AN804" t="str">
        <f t="shared" si="85"/>
        <v>Offensive</v>
      </c>
      <c r="BD804" s="23"/>
      <c r="BF804" s="21"/>
    </row>
    <row r="805" spans="1:58" x14ac:dyDescent="0.2">
      <c r="A805">
        <v>403</v>
      </c>
      <c r="B805">
        <v>67</v>
      </c>
      <c r="J805">
        <v>70</v>
      </c>
      <c r="K805">
        <v>1</v>
      </c>
      <c r="U805" s="8">
        <f t="shared" si="81"/>
        <v>1</v>
      </c>
      <c r="AD805" t="str">
        <f t="shared" si="80"/>
        <v>e</v>
      </c>
      <c r="AE805" t="str">
        <f t="shared" si="84"/>
        <v>Pass</v>
      </c>
      <c r="AF805" t="str">
        <f t="shared" si="82"/>
        <v>Pass_Completed</v>
      </c>
      <c r="AG805" t="str">
        <f t="shared" si="83"/>
        <v>Pass-Bank</v>
      </c>
      <c r="AN805" t="str">
        <f t="shared" si="85"/>
        <v>Offensive</v>
      </c>
      <c r="BD805" s="23"/>
      <c r="BF805" s="21"/>
    </row>
    <row r="806" spans="1:58" x14ac:dyDescent="0.2">
      <c r="A806">
        <v>403</v>
      </c>
      <c r="B806">
        <v>67</v>
      </c>
      <c r="J806">
        <v>7</v>
      </c>
      <c r="Q806" t="s">
        <v>704</v>
      </c>
      <c r="S806" t="s">
        <v>688</v>
      </c>
      <c r="U806" s="8">
        <f t="shared" si="81"/>
        <v>1</v>
      </c>
      <c r="AD806" t="str">
        <f t="shared" si="80"/>
        <v>o</v>
      </c>
      <c r="AE806" t="str">
        <f t="shared" si="84"/>
        <v>Pass</v>
      </c>
      <c r="AF806" t="str">
        <f t="shared" si="82"/>
        <v>Pass_Completed</v>
      </c>
      <c r="AG806" t="str">
        <f t="shared" si="83"/>
        <v>Pass-Bank</v>
      </c>
      <c r="AN806" t="str">
        <f t="shared" si="85"/>
        <v>Defensive</v>
      </c>
      <c r="BD806" s="23"/>
      <c r="BF806" s="21"/>
    </row>
    <row r="807" spans="1:58" x14ac:dyDescent="0.2">
      <c r="A807">
        <v>404</v>
      </c>
      <c r="B807">
        <v>67</v>
      </c>
      <c r="E807" s="5" t="s">
        <v>890</v>
      </c>
      <c r="F807" s="5" t="s">
        <v>860</v>
      </c>
      <c r="I807" t="s">
        <v>835</v>
      </c>
      <c r="J807">
        <v>22</v>
      </c>
      <c r="K807">
        <v>1</v>
      </c>
      <c r="L807" t="s">
        <v>845</v>
      </c>
      <c r="M807" t="s">
        <v>257</v>
      </c>
      <c r="N807" t="s">
        <v>201</v>
      </c>
      <c r="O807" t="s">
        <v>91</v>
      </c>
      <c r="P807" t="s">
        <v>689</v>
      </c>
      <c r="U807" s="8">
        <f t="shared" si="81"/>
        <v>1</v>
      </c>
      <c r="AD807" t="str">
        <f t="shared" si="80"/>
        <v>e</v>
      </c>
      <c r="AE807" t="str">
        <f t="shared" si="84"/>
        <v>Zone_Entry_Exit</v>
      </c>
      <c r="AF807" t="str">
        <f t="shared" si="82"/>
        <v>Zone_Exit</v>
      </c>
      <c r="AG807" t="str">
        <f t="shared" si="83"/>
        <v>ZoneExit-Pass</v>
      </c>
      <c r="AN807" t="str">
        <f t="shared" si="85"/>
        <v>Offensive</v>
      </c>
      <c r="BD807" s="23"/>
      <c r="BF807" s="21"/>
    </row>
    <row r="808" spans="1:58" x14ac:dyDescent="0.2">
      <c r="A808">
        <v>404</v>
      </c>
      <c r="B808">
        <v>67</v>
      </c>
      <c r="J808">
        <v>70</v>
      </c>
      <c r="K808">
        <v>1</v>
      </c>
      <c r="U808" s="8">
        <f t="shared" si="81"/>
        <v>1</v>
      </c>
      <c r="AD808" t="str">
        <f t="shared" si="80"/>
        <v>e</v>
      </c>
      <c r="AE808" t="str">
        <f t="shared" si="84"/>
        <v>Zone_Entry_Exit</v>
      </c>
      <c r="AF808" t="str">
        <f t="shared" si="82"/>
        <v>Zone_Exit</v>
      </c>
      <c r="AG808" t="str">
        <f t="shared" si="83"/>
        <v>ZoneExit-Pass</v>
      </c>
      <c r="AN808" t="str">
        <f t="shared" si="85"/>
        <v>Offensive</v>
      </c>
      <c r="BD808" s="23"/>
      <c r="BF808" s="21"/>
    </row>
    <row r="809" spans="1:58" x14ac:dyDescent="0.2">
      <c r="A809">
        <v>404</v>
      </c>
      <c r="B809">
        <v>67</v>
      </c>
      <c r="J809">
        <v>7</v>
      </c>
      <c r="Q809" t="s">
        <v>704</v>
      </c>
      <c r="S809" t="s">
        <v>688</v>
      </c>
      <c r="U809" s="8">
        <f t="shared" si="81"/>
        <v>1</v>
      </c>
      <c r="AD809" t="str">
        <f t="shared" si="80"/>
        <v>o</v>
      </c>
      <c r="AE809" t="str">
        <f t="shared" si="84"/>
        <v>Zone_Entry_Exit</v>
      </c>
      <c r="AF809" t="str">
        <f t="shared" si="82"/>
        <v>Zone_Exit</v>
      </c>
      <c r="AG809" t="str">
        <f t="shared" si="83"/>
        <v>ZoneExit-Pass</v>
      </c>
      <c r="AN809" t="str">
        <f t="shared" si="85"/>
        <v>Defensive</v>
      </c>
      <c r="BD809" s="23"/>
      <c r="BF809" s="21"/>
    </row>
    <row r="810" spans="1:58" x14ac:dyDescent="0.2">
      <c r="A810">
        <v>405</v>
      </c>
      <c r="E810" s="5" t="s">
        <v>890</v>
      </c>
      <c r="F810" s="5" t="s">
        <v>863</v>
      </c>
      <c r="G810" s="5" t="s">
        <v>890</v>
      </c>
      <c r="H810" s="7" t="s">
        <v>865</v>
      </c>
      <c r="I810" t="s">
        <v>835</v>
      </c>
      <c r="J810">
        <v>70</v>
      </c>
      <c r="K810">
        <v>1</v>
      </c>
      <c r="L810" t="s">
        <v>401</v>
      </c>
      <c r="M810" t="s">
        <v>257</v>
      </c>
      <c r="N810" t="s">
        <v>191</v>
      </c>
      <c r="O810" t="s">
        <v>87</v>
      </c>
      <c r="P810" t="s">
        <v>688</v>
      </c>
      <c r="Q810" t="s">
        <v>661</v>
      </c>
      <c r="S810" t="s">
        <v>689</v>
      </c>
      <c r="T810">
        <v>1</v>
      </c>
      <c r="U810" s="8">
        <f t="shared" si="81"/>
        <v>1</v>
      </c>
      <c r="AD810" t="str">
        <f t="shared" si="80"/>
        <v>e</v>
      </c>
      <c r="AE810" t="str">
        <f t="shared" si="84"/>
        <v>Zone_Entry_Exit</v>
      </c>
      <c r="AF810" t="str">
        <f t="shared" si="82"/>
        <v>Zone_Entry</v>
      </c>
      <c r="AG810" t="str">
        <f t="shared" si="83"/>
        <v>ZoneEntry-Rush</v>
      </c>
      <c r="AN810" t="str">
        <f t="shared" si="85"/>
        <v>Offensive</v>
      </c>
      <c r="BD810" s="23"/>
      <c r="BF810" s="21"/>
    </row>
    <row r="811" spans="1:58" x14ac:dyDescent="0.2">
      <c r="A811">
        <v>405</v>
      </c>
      <c r="J811">
        <v>83</v>
      </c>
      <c r="T811">
        <v>1</v>
      </c>
      <c r="U811" s="8">
        <f t="shared" si="81"/>
        <v>1</v>
      </c>
      <c r="AD811" t="str">
        <f t="shared" si="80"/>
        <v>o</v>
      </c>
      <c r="AE811" t="str">
        <f t="shared" si="84"/>
        <v>Zone_Entry_Exit</v>
      </c>
      <c r="AF811" t="str">
        <f t="shared" si="82"/>
        <v>Zone_Entry</v>
      </c>
      <c r="AG811" t="str">
        <f t="shared" si="83"/>
        <v>ZoneEntry-Rush</v>
      </c>
      <c r="AN811" t="str">
        <f t="shared" si="85"/>
        <v>Defensive</v>
      </c>
      <c r="BD811" s="23"/>
      <c r="BF811" s="21"/>
    </row>
    <row r="812" spans="1:58" x14ac:dyDescent="0.2">
      <c r="A812">
        <v>406</v>
      </c>
      <c r="B812">
        <v>68</v>
      </c>
      <c r="E812" s="5" t="s">
        <v>890</v>
      </c>
      <c r="F812" s="5" t="s">
        <v>865</v>
      </c>
      <c r="I812" t="s">
        <v>835</v>
      </c>
      <c r="J812">
        <v>70</v>
      </c>
      <c r="K812">
        <v>1</v>
      </c>
      <c r="L812" t="s">
        <v>401</v>
      </c>
      <c r="M812" t="s">
        <v>7</v>
      </c>
      <c r="N812" t="s">
        <v>208</v>
      </c>
      <c r="O812" t="s">
        <v>53</v>
      </c>
      <c r="P812" t="s">
        <v>688</v>
      </c>
      <c r="T812">
        <v>1</v>
      </c>
      <c r="U812" s="8">
        <f t="shared" si="81"/>
        <v>1</v>
      </c>
      <c r="AD812" t="str">
        <f t="shared" si="80"/>
        <v>e</v>
      </c>
      <c r="AE812" t="str">
        <f t="shared" si="84"/>
        <v>Shot</v>
      </c>
      <c r="AF812" t="str">
        <f t="shared" si="82"/>
        <v>Shot_Blocked</v>
      </c>
      <c r="AG812" t="str">
        <f t="shared" si="83"/>
        <v>Shot-Wrist</v>
      </c>
      <c r="AN812" t="str">
        <f t="shared" si="85"/>
        <v>Offensive</v>
      </c>
      <c r="BD812" s="23"/>
      <c r="BF812" s="21"/>
    </row>
    <row r="813" spans="1:58" x14ac:dyDescent="0.2">
      <c r="A813">
        <v>406</v>
      </c>
      <c r="B813">
        <v>68</v>
      </c>
      <c r="J813">
        <v>83</v>
      </c>
      <c r="Q813" t="s">
        <v>665</v>
      </c>
      <c r="R813" t="s">
        <v>696</v>
      </c>
      <c r="S813" t="s">
        <v>689</v>
      </c>
      <c r="T813">
        <v>1</v>
      </c>
      <c r="U813" s="8">
        <f t="shared" si="81"/>
        <v>1</v>
      </c>
      <c r="AD813" t="str">
        <f t="shared" si="80"/>
        <v>o</v>
      </c>
      <c r="AE813" t="str">
        <f t="shared" si="84"/>
        <v>Shot</v>
      </c>
      <c r="AF813" t="str">
        <f t="shared" si="82"/>
        <v>Shot_Blocked</v>
      </c>
      <c r="AG813" t="str">
        <f t="shared" si="83"/>
        <v>Shot-Wrist</v>
      </c>
      <c r="AN813" t="str">
        <f t="shared" si="85"/>
        <v>Defensive</v>
      </c>
      <c r="BD813" s="23"/>
      <c r="BF813" s="21"/>
    </row>
    <row r="814" spans="1:58" x14ac:dyDescent="0.2">
      <c r="A814">
        <v>407</v>
      </c>
      <c r="B814">
        <v>68</v>
      </c>
      <c r="E814" s="5" t="s">
        <v>890</v>
      </c>
      <c r="F814" s="5" t="s">
        <v>865</v>
      </c>
      <c r="I814" t="s">
        <v>835</v>
      </c>
      <c r="J814">
        <v>70</v>
      </c>
      <c r="K814">
        <v>1</v>
      </c>
      <c r="L814" t="s">
        <v>401</v>
      </c>
      <c r="M814" t="s">
        <v>10</v>
      </c>
      <c r="N814" t="s">
        <v>190</v>
      </c>
      <c r="O814" t="s">
        <v>78</v>
      </c>
      <c r="P814" t="s">
        <v>688</v>
      </c>
      <c r="T814">
        <v>1</v>
      </c>
      <c r="U814" s="8">
        <f t="shared" si="81"/>
        <v>1</v>
      </c>
      <c r="AD814" t="str">
        <f t="shared" si="80"/>
        <v>e</v>
      </c>
      <c r="AE814" t="str">
        <f t="shared" si="84"/>
        <v>Turnover</v>
      </c>
      <c r="AF814" t="str">
        <f t="shared" si="82"/>
        <v>Turnover_Giveaway</v>
      </c>
      <c r="AG814" t="str">
        <f t="shared" si="83"/>
        <v>Giveaway-ShotBlocked</v>
      </c>
      <c r="AN814" t="str">
        <f t="shared" si="85"/>
        <v>Offensive</v>
      </c>
      <c r="BD814" s="23"/>
      <c r="BF814" s="21"/>
    </row>
    <row r="815" spans="1:58" x14ac:dyDescent="0.2">
      <c r="A815">
        <v>407</v>
      </c>
      <c r="B815">
        <v>68</v>
      </c>
      <c r="J815">
        <v>83</v>
      </c>
      <c r="Q815" t="s">
        <v>665</v>
      </c>
      <c r="R815" t="s">
        <v>696</v>
      </c>
      <c r="S815" t="s">
        <v>689</v>
      </c>
      <c r="T815">
        <v>1</v>
      </c>
      <c r="U815" s="8">
        <f t="shared" si="81"/>
        <v>1</v>
      </c>
      <c r="AD815" t="str">
        <f t="shared" si="80"/>
        <v>o</v>
      </c>
      <c r="AE815" t="str">
        <f t="shared" si="84"/>
        <v>Turnover</v>
      </c>
      <c r="AF815" t="str">
        <f t="shared" si="82"/>
        <v>Turnover_Giveaway</v>
      </c>
      <c r="AG815" t="str">
        <f t="shared" si="83"/>
        <v>Giveaway-ShotBlocked</v>
      </c>
      <c r="AN815" t="str">
        <f t="shared" si="85"/>
        <v>Defensive</v>
      </c>
      <c r="BD815" s="23"/>
      <c r="BF815" s="21"/>
    </row>
    <row r="816" spans="1:58" x14ac:dyDescent="0.2">
      <c r="A816">
        <v>408</v>
      </c>
      <c r="E816" s="5" t="s">
        <v>890</v>
      </c>
      <c r="F816" s="5" t="s">
        <v>898</v>
      </c>
      <c r="G816" s="5" t="s">
        <v>890</v>
      </c>
      <c r="H816" s="7" t="s">
        <v>899</v>
      </c>
      <c r="I816" t="s">
        <v>840</v>
      </c>
      <c r="J816">
        <v>46</v>
      </c>
      <c r="K816">
        <v>1</v>
      </c>
      <c r="L816" t="s">
        <v>845</v>
      </c>
      <c r="M816" t="s">
        <v>15</v>
      </c>
      <c r="N816" t="s">
        <v>680</v>
      </c>
      <c r="P816" t="s">
        <v>689</v>
      </c>
      <c r="Q816" t="s">
        <v>666</v>
      </c>
      <c r="S816" t="s">
        <v>689</v>
      </c>
      <c r="T816">
        <v>1</v>
      </c>
      <c r="U816" s="8">
        <f t="shared" si="81"/>
        <v>1</v>
      </c>
      <c r="AD816" t="str">
        <f t="shared" si="80"/>
        <v>e</v>
      </c>
      <c r="AE816" t="str">
        <f t="shared" si="84"/>
        <v>Possession</v>
      </c>
      <c r="AF816" t="str">
        <f t="shared" si="82"/>
        <v>PuckRetrieval</v>
      </c>
      <c r="AG816" t="str">
        <f t="shared" si="83"/>
        <v/>
      </c>
      <c r="AN816" t="str">
        <f t="shared" si="85"/>
        <v>Offensive</v>
      </c>
      <c r="BD816" s="23"/>
      <c r="BF816" s="21"/>
    </row>
    <row r="817" spans="1:58" x14ac:dyDescent="0.2">
      <c r="A817">
        <v>408</v>
      </c>
      <c r="J817">
        <v>75</v>
      </c>
      <c r="T817">
        <v>1</v>
      </c>
      <c r="U817" s="8">
        <f t="shared" si="81"/>
        <v>1</v>
      </c>
      <c r="AD817" t="str">
        <f t="shared" si="80"/>
        <v>o</v>
      </c>
      <c r="AE817" t="str">
        <f t="shared" si="84"/>
        <v>Possession</v>
      </c>
      <c r="AF817" t="str">
        <f t="shared" si="82"/>
        <v>PuckRetrieval</v>
      </c>
      <c r="AG817" t="str">
        <f t="shared" si="83"/>
        <v/>
      </c>
      <c r="AN817" t="str">
        <f t="shared" si="85"/>
        <v>Defensive</v>
      </c>
      <c r="BD817" s="23"/>
      <c r="BF817" s="21"/>
    </row>
    <row r="818" spans="1:58" x14ac:dyDescent="0.2">
      <c r="A818">
        <v>409</v>
      </c>
      <c r="E818" s="5" t="s">
        <v>890</v>
      </c>
      <c r="F818" s="5" t="s">
        <v>899</v>
      </c>
      <c r="G818" s="5" t="s">
        <v>890</v>
      </c>
      <c r="H818" s="7" t="s">
        <v>892</v>
      </c>
      <c r="I818" t="s">
        <v>840</v>
      </c>
      <c r="J818">
        <v>46</v>
      </c>
      <c r="K818">
        <v>1</v>
      </c>
      <c r="L818" t="s">
        <v>845</v>
      </c>
      <c r="M818" t="s">
        <v>15</v>
      </c>
      <c r="N818" t="s">
        <v>667</v>
      </c>
      <c r="U818" s="8">
        <f t="shared" si="81"/>
        <v>1</v>
      </c>
      <c r="AD818" t="str">
        <f t="shared" si="80"/>
        <v>e</v>
      </c>
      <c r="AE818" t="str">
        <f t="shared" si="84"/>
        <v>Possession</v>
      </c>
      <c r="AF818" t="str">
        <f t="shared" si="82"/>
        <v>Regroup</v>
      </c>
      <c r="AG818" t="str">
        <f t="shared" si="83"/>
        <v/>
      </c>
      <c r="AN818" t="str">
        <f t="shared" si="85"/>
        <v>Offensive</v>
      </c>
      <c r="BD818" s="23"/>
      <c r="BF818" s="21"/>
    </row>
    <row r="819" spans="1:58" x14ac:dyDescent="0.2">
      <c r="A819">
        <v>410</v>
      </c>
      <c r="E819" s="5" t="s">
        <v>890</v>
      </c>
      <c r="F819" s="5" t="s">
        <v>892</v>
      </c>
      <c r="I819" t="s">
        <v>840</v>
      </c>
      <c r="J819">
        <v>46</v>
      </c>
      <c r="K819">
        <v>1</v>
      </c>
      <c r="L819" t="s">
        <v>845</v>
      </c>
      <c r="M819" t="s">
        <v>8</v>
      </c>
      <c r="N819" t="s">
        <v>189</v>
      </c>
      <c r="O819" t="s">
        <v>70</v>
      </c>
      <c r="P819" t="s">
        <v>689</v>
      </c>
      <c r="U819" s="8">
        <f t="shared" si="81"/>
        <v>1</v>
      </c>
      <c r="AD819" t="str">
        <f t="shared" si="80"/>
        <v>e</v>
      </c>
      <c r="AE819" t="str">
        <f t="shared" si="84"/>
        <v>Pass</v>
      </c>
      <c r="AF819" t="str">
        <f t="shared" si="82"/>
        <v>Pass_Completed</v>
      </c>
      <c r="AG819" t="str">
        <f t="shared" si="83"/>
        <v>Pass-Forehand</v>
      </c>
      <c r="AN819" t="str">
        <f t="shared" si="85"/>
        <v>Offensive</v>
      </c>
      <c r="BD819" s="23"/>
      <c r="BF819" s="21"/>
    </row>
    <row r="820" spans="1:58" x14ac:dyDescent="0.2">
      <c r="A820">
        <v>410</v>
      </c>
      <c r="J820">
        <v>92</v>
      </c>
      <c r="U820" s="8">
        <f t="shared" si="81"/>
        <v>1</v>
      </c>
      <c r="AD820" t="str">
        <f t="shared" si="80"/>
        <v>o</v>
      </c>
      <c r="AE820" t="str">
        <f t="shared" si="84"/>
        <v>Pass</v>
      </c>
      <c r="AF820" t="str">
        <f t="shared" si="82"/>
        <v>Pass_Completed</v>
      </c>
      <c r="AG820" t="str">
        <f t="shared" si="83"/>
        <v>Pass-Forehand</v>
      </c>
      <c r="AN820" t="str">
        <f t="shared" si="85"/>
        <v>Defensive</v>
      </c>
      <c r="BD820" s="23"/>
      <c r="BF820" s="21"/>
    </row>
    <row r="821" spans="1:58" x14ac:dyDescent="0.2">
      <c r="A821">
        <v>411</v>
      </c>
      <c r="E821" s="5" t="s">
        <v>890</v>
      </c>
      <c r="F821" s="5" t="s">
        <v>868</v>
      </c>
      <c r="G821" s="5" t="s">
        <v>890</v>
      </c>
      <c r="H821" s="7" t="s">
        <v>893</v>
      </c>
      <c r="I821" t="s">
        <v>840</v>
      </c>
      <c r="J821">
        <v>92</v>
      </c>
      <c r="K821">
        <v>1</v>
      </c>
      <c r="L821" t="s">
        <v>845</v>
      </c>
      <c r="M821" t="s">
        <v>15</v>
      </c>
      <c r="N821" t="s">
        <v>667</v>
      </c>
      <c r="P821" t="s">
        <v>689</v>
      </c>
      <c r="T821">
        <v>1</v>
      </c>
      <c r="U821" s="8">
        <f t="shared" si="81"/>
        <v>1</v>
      </c>
      <c r="AD821" t="str">
        <f t="shared" si="80"/>
        <v>e</v>
      </c>
      <c r="AE821" t="str">
        <f t="shared" si="84"/>
        <v>Possession</v>
      </c>
      <c r="AF821" t="str">
        <f t="shared" si="82"/>
        <v>Regroup</v>
      </c>
      <c r="AG821" t="str">
        <f t="shared" si="83"/>
        <v/>
      </c>
      <c r="AN821" t="str">
        <f t="shared" si="85"/>
        <v>Offensive</v>
      </c>
      <c r="BD821" s="23"/>
      <c r="BF821" s="21"/>
    </row>
    <row r="822" spans="1:58" x14ac:dyDescent="0.2">
      <c r="A822">
        <v>411</v>
      </c>
      <c r="J822">
        <v>22</v>
      </c>
      <c r="Q822" t="s">
        <v>696</v>
      </c>
      <c r="S822" t="s">
        <v>688</v>
      </c>
      <c r="T822">
        <v>1</v>
      </c>
      <c r="U822" s="8">
        <f t="shared" si="81"/>
        <v>1</v>
      </c>
      <c r="AD822" t="str">
        <f t="shared" si="80"/>
        <v>o</v>
      </c>
      <c r="AE822" t="str">
        <f t="shared" si="84"/>
        <v>Possession</v>
      </c>
      <c r="AF822" t="str">
        <f t="shared" si="82"/>
        <v>Regroup</v>
      </c>
      <c r="AG822" t="str">
        <f t="shared" si="83"/>
        <v/>
      </c>
      <c r="AN822" t="str">
        <f t="shared" si="85"/>
        <v>Defensive</v>
      </c>
      <c r="BD822" s="23"/>
      <c r="BF822" s="21"/>
    </row>
    <row r="823" spans="1:58" x14ac:dyDescent="0.2">
      <c r="A823">
        <v>412</v>
      </c>
      <c r="E823" s="5" t="s">
        <v>890</v>
      </c>
      <c r="F823" s="5" t="s">
        <v>893</v>
      </c>
      <c r="G823" s="5" t="s">
        <v>890</v>
      </c>
      <c r="H823" s="7" t="s">
        <v>869</v>
      </c>
      <c r="I823" t="s">
        <v>840</v>
      </c>
      <c r="J823">
        <v>92</v>
      </c>
      <c r="K823">
        <v>1</v>
      </c>
      <c r="L823" t="s">
        <v>845</v>
      </c>
      <c r="M823" t="s">
        <v>257</v>
      </c>
      <c r="N823" t="s">
        <v>201</v>
      </c>
      <c r="O823" t="s">
        <v>90</v>
      </c>
      <c r="P823" t="s">
        <v>689</v>
      </c>
      <c r="T823">
        <v>1</v>
      </c>
      <c r="U823" s="8">
        <f t="shared" si="81"/>
        <v>1</v>
      </c>
      <c r="AD823" t="str">
        <f t="shared" si="80"/>
        <v>e</v>
      </c>
      <c r="AE823" t="str">
        <f t="shared" si="84"/>
        <v>Zone_Entry_Exit</v>
      </c>
      <c r="AF823" t="str">
        <f t="shared" si="82"/>
        <v>Zone_Exit</v>
      </c>
      <c r="AG823" t="str">
        <f t="shared" si="83"/>
        <v>ZoneExit-Rush</v>
      </c>
      <c r="AN823" t="str">
        <f t="shared" si="85"/>
        <v>Offensive</v>
      </c>
      <c r="BD823" s="23"/>
      <c r="BF823" s="21"/>
    </row>
    <row r="824" spans="1:58" x14ac:dyDescent="0.2">
      <c r="A824">
        <v>412</v>
      </c>
      <c r="J824">
        <v>14</v>
      </c>
      <c r="T824">
        <v>1</v>
      </c>
      <c r="U824" s="8">
        <f t="shared" si="81"/>
        <v>1</v>
      </c>
      <c r="AD824" t="str">
        <f t="shared" si="80"/>
        <v>o</v>
      </c>
      <c r="AE824" t="str">
        <f t="shared" si="84"/>
        <v>Zone_Entry_Exit</v>
      </c>
      <c r="AF824" t="str">
        <f t="shared" si="82"/>
        <v>Zone_Exit</v>
      </c>
      <c r="AG824" t="str">
        <f t="shared" si="83"/>
        <v>ZoneExit-Rush</v>
      </c>
      <c r="AN824" t="str">
        <f t="shared" si="85"/>
        <v>Defensive</v>
      </c>
      <c r="BD824" s="23"/>
      <c r="BF824" s="21"/>
    </row>
    <row r="825" spans="1:58" x14ac:dyDescent="0.2">
      <c r="A825">
        <v>413</v>
      </c>
      <c r="E825" s="5" t="s">
        <v>890</v>
      </c>
      <c r="F825" s="5" t="s">
        <v>869</v>
      </c>
      <c r="G825" s="5" t="s">
        <v>890</v>
      </c>
      <c r="H825" s="7" t="s">
        <v>446</v>
      </c>
      <c r="I825" t="s">
        <v>840</v>
      </c>
      <c r="J825">
        <v>92</v>
      </c>
      <c r="K825">
        <v>1</v>
      </c>
      <c r="L825" t="s">
        <v>839</v>
      </c>
      <c r="M825" t="s">
        <v>15</v>
      </c>
      <c r="T825">
        <v>1</v>
      </c>
      <c r="U825" s="8">
        <f t="shared" si="81"/>
        <v>1</v>
      </c>
      <c r="AD825" t="str">
        <f t="shared" si="80"/>
        <v>e</v>
      </c>
      <c r="AE825" t="str">
        <f t="shared" si="84"/>
        <v>Possession</v>
      </c>
      <c r="AF825" t="str">
        <f t="shared" si="82"/>
        <v/>
      </c>
      <c r="AG825" t="str">
        <f t="shared" si="83"/>
        <v/>
      </c>
      <c r="AN825" t="str">
        <f t="shared" si="85"/>
        <v>Offensive</v>
      </c>
      <c r="BD825" s="23"/>
      <c r="BF825" s="21"/>
    </row>
    <row r="826" spans="1:58" x14ac:dyDescent="0.2">
      <c r="A826">
        <v>413</v>
      </c>
      <c r="J826">
        <v>14</v>
      </c>
      <c r="T826">
        <v>1</v>
      </c>
      <c r="U826" s="8">
        <f t="shared" si="81"/>
        <v>1</v>
      </c>
      <c r="AD826" t="str">
        <f t="shared" si="80"/>
        <v>o</v>
      </c>
      <c r="AE826" t="str">
        <f t="shared" si="84"/>
        <v>Possession</v>
      </c>
      <c r="AF826" t="str">
        <f t="shared" si="82"/>
        <v/>
      </c>
      <c r="AG826" t="str">
        <f t="shared" si="83"/>
        <v/>
      </c>
      <c r="AN826" t="str">
        <f t="shared" si="85"/>
        <v>Defensive</v>
      </c>
      <c r="BD826" s="23"/>
      <c r="BF826" s="21"/>
    </row>
    <row r="827" spans="1:58" x14ac:dyDescent="0.2">
      <c r="A827">
        <v>413</v>
      </c>
      <c r="J827">
        <v>22</v>
      </c>
      <c r="Q827" t="s">
        <v>696</v>
      </c>
      <c r="R827" t="s">
        <v>695</v>
      </c>
      <c r="S827" t="s">
        <v>688</v>
      </c>
      <c r="T827">
        <v>1</v>
      </c>
      <c r="U827" s="8">
        <f t="shared" si="81"/>
        <v>1</v>
      </c>
      <c r="AD827" t="str">
        <f t="shared" si="80"/>
        <v>o</v>
      </c>
      <c r="AE827" t="str">
        <f t="shared" si="84"/>
        <v>Possession</v>
      </c>
      <c r="AF827" t="str">
        <f t="shared" si="82"/>
        <v/>
      </c>
      <c r="AG827" t="str">
        <f t="shared" si="83"/>
        <v/>
      </c>
      <c r="AN827" t="str">
        <f t="shared" si="85"/>
        <v>Defensive</v>
      </c>
      <c r="BD827" s="23"/>
      <c r="BF827" s="21"/>
    </row>
    <row r="828" spans="1:58" x14ac:dyDescent="0.2">
      <c r="A828">
        <v>414</v>
      </c>
      <c r="E828" s="5" t="s">
        <v>890</v>
      </c>
      <c r="F828" s="5" t="s">
        <v>446</v>
      </c>
      <c r="G828" s="5" t="s">
        <v>887</v>
      </c>
      <c r="H828" s="7" t="s">
        <v>873</v>
      </c>
      <c r="I828" t="s">
        <v>840</v>
      </c>
      <c r="J828">
        <v>92</v>
      </c>
      <c r="K828">
        <v>1</v>
      </c>
      <c r="L828" t="s">
        <v>401</v>
      </c>
      <c r="M828" t="s">
        <v>257</v>
      </c>
      <c r="N828" t="s">
        <v>191</v>
      </c>
      <c r="O828" t="s">
        <v>87</v>
      </c>
      <c r="P828" t="s">
        <v>689</v>
      </c>
      <c r="Q828" t="s">
        <v>702</v>
      </c>
      <c r="R828" t="s">
        <v>724</v>
      </c>
      <c r="S828" t="s">
        <v>689</v>
      </c>
      <c r="T828">
        <v>1</v>
      </c>
      <c r="U828" s="8">
        <f t="shared" si="81"/>
        <v>1</v>
      </c>
      <c r="AD828" t="str">
        <f t="shared" si="80"/>
        <v>e</v>
      </c>
      <c r="AE828" t="str">
        <f t="shared" si="84"/>
        <v>Zone_Entry_Exit</v>
      </c>
      <c r="AF828" t="str">
        <f t="shared" si="82"/>
        <v>Zone_Entry</v>
      </c>
      <c r="AG828" t="str">
        <f t="shared" si="83"/>
        <v>ZoneEntry-Rush</v>
      </c>
      <c r="AN828" t="str">
        <f t="shared" si="85"/>
        <v>Offensive</v>
      </c>
      <c r="BD828" s="23"/>
      <c r="BF828" s="21"/>
    </row>
    <row r="829" spans="1:58" x14ac:dyDescent="0.2">
      <c r="A829">
        <v>414</v>
      </c>
      <c r="J829">
        <v>91</v>
      </c>
      <c r="Q829" t="s">
        <v>731</v>
      </c>
      <c r="T829">
        <v>1</v>
      </c>
      <c r="U829" s="8">
        <f t="shared" si="81"/>
        <v>1</v>
      </c>
      <c r="AD829" t="str">
        <f t="shared" si="80"/>
        <v>o</v>
      </c>
      <c r="AE829" t="str">
        <f t="shared" si="84"/>
        <v>Zone_Entry_Exit</v>
      </c>
      <c r="AF829" t="str">
        <f t="shared" si="82"/>
        <v>Zone_Entry</v>
      </c>
      <c r="AG829" t="str">
        <f t="shared" si="83"/>
        <v>ZoneEntry-Rush</v>
      </c>
      <c r="AN829" t="str">
        <f t="shared" si="85"/>
        <v>Defensive</v>
      </c>
      <c r="BD829" s="23"/>
      <c r="BF829" s="21"/>
    </row>
    <row r="830" spans="1:58" x14ac:dyDescent="0.2">
      <c r="A830">
        <v>414</v>
      </c>
      <c r="J830">
        <v>70</v>
      </c>
      <c r="U830" s="8">
        <f t="shared" si="81"/>
        <v>1</v>
      </c>
      <c r="AD830" t="str">
        <f t="shared" si="80"/>
        <v>o</v>
      </c>
      <c r="AE830" t="str">
        <f t="shared" si="84"/>
        <v>Zone_Entry_Exit</v>
      </c>
      <c r="AF830" t="str">
        <f t="shared" si="82"/>
        <v>Zone_Entry</v>
      </c>
      <c r="AG830" t="str">
        <f t="shared" si="83"/>
        <v>ZoneEntry-Rush</v>
      </c>
      <c r="AN830" t="str">
        <f t="shared" si="85"/>
        <v>Defensive</v>
      </c>
      <c r="BD830" s="23"/>
      <c r="BF830" s="21"/>
    </row>
    <row r="831" spans="1:58" x14ac:dyDescent="0.2">
      <c r="A831">
        <v>415</v>
      </c>
      <c r="E831" s="5" t="s">
        <v>887</v>
      </c>
      <c r="F831" s="5" t="s">
        <v>873</v>
      </c>
      <c r="I831" t="s">
        <v>835</v>
      </c>
      <c r="J831">
        <v>39</v>
      </c>
      <c r="K831">
        <v>1</v>
      </c>
      <c r="L831" t="s">
        <v>845</v>
      </c>
      <c r="M831" t="s">
        <v>247</v>
      </c>
      <c r="N831" t="s">
        <v>422</v>
      </c>
      <c r="O831" t="s">
        <v>465</v>
      </c>
      <c r="P831" t="s">
        <v>689</v>
      </c>
      <c r="Q831" t="s">
        <v>695</v>
      </c>
      <c r="T831">
        <v>1</v>
      </c>
      <c r="U831" s="8">
        <f t="shared" si="81"/>
        <v>1</v>
      </c>
      <c r="AD831" t="str">
        <f t="shared" si="80"/>
        <v>e</v>
      </c>
      <c r="AE831" t="str">
        <f t="shared" si="84"/>
        <v>Play</v>
      </c>
      <c r="AF831" t="str">
        <f t="shared" si="82"/>
        <v>Play_Defensive</v>
      </c>
      <c r="AG831" t="str">
        <f t="shared" si="83"/>
        <v>Play-PokeCheck</v>
      </c>
      <c r="AN831" t="str">
        <f t="shared" si="85"/>
        <v>Defensive</v>
      </c>
      <c r="BD831" s="23"/>
      <c r="BF831" s="21"/>
    </row>
    <row r="832" spans="1:58" x14ac:dyDescent="0.2">
      <c r="A832">
        <v>415</v>
      </c>
      <c r="J832">
        <v>91</v>
      </c>
      <c r="K832">
        <v>1</v>
      </c>
      <c r="T832">
        <v>1</v>
      </c>
      <c r="U832" s="8">
        <f t="shared" si="81"/>
        <v>1</v>
      </c>
      <c r="AD832" t="str">
        <f t="shared" si="80"/>
        <v>e</v>
      </c>
      <c r="AE832" t="str">
        <f t="shared" si="84"/>
        <v>Play</v>
      </c>
      <c r="AF832" t="str">
        <f t="shared" si="82"/>
        <v>Play_Defensive</v>
      </c>
      <c r="AG832" t="str">
        <f t="shared" si="83"/>
        <v>Play-PokeCheck</v>
      </c>
      <c r="AN832" t="str">
        <f t="shared" si="85"/>
        <v>Defensive</v>
      </c>
      <c r="BD832" s="23"/>
      <c r="BF832" s="21"/>
    </row>
    <row r="833" spans="1:58" x14ac:dyDescent="0.2">
      <c r="A833">
        <v>415</v>
      </c>
      <c r="J833">
        <v>92</v>
      </c>
      <c r="T833">
        <v>1</v>
      </c>
      <c r="U833" s="8">
        <f t="shared" si="81"/>
        <v>1</v>
      </c>
      <c r="AD833" t="str">
        <f t="shared" si="80"/>
        <v>o</v>
      </c>
      <c r="AE833" t="str">
        <f t="shared" si="84"/>
        <v>Play</v>
      </c>
      <c r="AF833" t="str">
        <f t="shared" si="82"/>
        <v>Play_Defensive</v>
      </c>
      <c r="AG833" t="str">
        <f t="shared" si="83"/>
        <v>Play-PokeCheck</v>
      </c>
      <c r="AN833" t="str">
        <f t="shared" si="85"/>
        <v>Offensive</v>
      </c>
      <c r="BD833" s="23"/>
      <c r="BF833" s="21"/>
    </row>
    <row r="834" spans="1:58" x14ac:dyDescent="0.2">
      <c r="A834">
        <v>416</v>
      </c>
      <c r="E834" s="5" t="s">
        <v>887</v>
      </c>
      <c r="F834" s="5" t="s">
        <v>838</v>
      </c>
      <c r="G834" s="5" t="s">
        <v>887</v>
      </c>
      <c r="H834" s="7" t="s">
        <v>885</v>
      </c>
      <c r="I834" t="s">
        <v>840</v>
      </c>
      <c r="J834">
        <v>9</v>
      </c>
      <c r="K834">
        <v>1</v>
      </c>
      <c r="L834" t="s">
        <v>401</v>
      </c>
      <c r="M834" t="s">
        <v>15</v>
      </c>
      <c r="N834" t="s">
        <v>681</v>
      </c>
      <c r="P834" t="s">
        <v>689</v>
      </c>
      <c r="Q834" t="s">
        <v>712</v>
      </c>
      <c r="S834" t="s">
        <v>689</v>
      </c>
      <c r="U834" s="8">
        <f t="shared" si="81"/>
        <v>1</v>
      </c>
      <c r="AD834" t="str">
        <f t="shared" ref="AD834:AD897" si="86">IF(K834="x","",IF(K834=1,"e","o"))</f>
        <v>e</v>
      </c>
      <c r="AE834" t="str">
        <f t="shared" si="84"/>
        <v>Possession</v>
      </c>
      <c r="AF834" t="str">
        <f t="shared" si="82"/>
        <v>PuckRecovery</v>
      </c>
      <c r="AG834" t="str">
        <f t="shared" si="83"/>
        <v/>
      </c>
      <c r="AN834" t="str">
        <f t="shared" si="85"/>
        <v>Offensive</v>
      </c>
      <c r="BD834" s="23"/>
      <c r="BF834" s="21"/>
    </row>
    <row r="835" spans="1:58" x14ac:dyDescent="0.2">
      <c r="A835">
        <v>417</v>
      </c>
      <c r="B835">
        <v>69</v>
      </c>
      <c r="E835" s="5" t="s">
        <v>887</v>
      </c>
      <c r="F835" s="5" t="s">
        <v>885</v>
      </c>
      <c r="I835" t="s">
        <v>840</v>
      </c>
      <c r="J835">
        <v>9</v>
      </c>
      <c r="K835">
        <v>1</v>
      </c>
      <c r="L835" t="s">
        <v>401</v>
      </c>
      <c r="M835" t="s">
        <v>7</v>
      </c>
      <c r="N835" t="s">
        <v>222</v>
      </c>
      <c r="O835" t="s">
        <v>53</v>
      </c>
      <c r="P835" t="s">
        <v>689</v>
      </c>
      <c r="U835" s="8">
        <f t="shared" ref="U835:U898" si="87">IF(M835="Intermission",U834+1,U834)</f>
        <v>1</v>
      </c>
      <c r="AD835" t="str">
        <f t="shared" si="86"/>
        <v>e</v>
      </c>
      <c r="AE835" t="str">
        <f t="shared" si="84"/>
        <v>Shot</v>
      </c>
      <c r="AF835" t="str">
        <f t="shared" ref="AF835:AF898" si="88">IF(N835&lt;&gt;"",N835,IF($A835=$A834,AF834,""))</f>
        <v>Shot_OnNetSaved</v>
      </c>
      <c r="AG835" t="str">
        <f t="shared" ref="AG835:AG898" si="89">IF(O835&lt;&gt;"",O835,IF($A835=$A834,AG834,""))</f>
        <v>Shot-Wrist</v>
      </c>
      <c r="AN835" t="str">
        <f t="shared" si="85"/>
        <v>Offensive</v>
      </c>
      <c r="BD835" s="23"/>
      <c r="BF835" s="21"/>
    </row>
    <row r="836" spans="1:58" x14ac:dyDescent="0.2">
      <c r="A836">
        <v>417</v>
      </c>
      <c r="B836">
        <v>69</v>
      </c>
      <c r="J836">
        <v>39</v>
      </c>
      <c r="U836" s="8">
        <f t="shared" si="87"/>
        <v>1</v>
      </c>
      <c r="AD836" t="str">
        <f t="shared" si="86"/>
        <v>o</v>
      </c>
      <c r="AE836" t="str">
        <f t="shared" ref="AE836:AE899" si="90">IF(M836&lt;&gt;"",M836,IF($A836=$A835,AE835,""))</f>
        <v>Shot</v>
      </c>
      <c r="AF836" t="str">
        <f t="shared" si="88"/>
        <v>Shot_OnNetSaved</v>
      </c>
      <c r="AG836" t="str">
        <f t="shared" si="89"/>
        <v>Shot-Wrist</v>
      </c>
      <c r="AN836" t="str">
        <f t="shared" si="85"/>
        <v>Defensive</v>
      </c>
      <c r="BD836" s="23"/>
      <c r="BF836" s="21"/>
    </row>
    <row r="837" spans="1:58" x14ac:dyDescent="0.2">
      <c r="A837">
        <v>418</v>
      </c>
      <c r="B837">
        <v>69</v>
      </c>
      <c r="E837" s="5" t="s">
        <v>887</v>
      </c>
      <c r="F837" s="5" t="s">
        <v>885</v>
      </c>
      <c r="I837" t="s">
        <v>835</v>
      </c>
      <c r="J837">
        <v>39</v>
      </c>
      <c r="K837">
        <v>1</v>
      </c>
      <c r="L837" t="s">
        <v>845</v>
      </c>
      <c r="M837" t="s">
        <v>17</v>
      </c>
      <c r="N837" t="s">
        <v>196</v>
      </c>
      <c r="O837" t="s">
        <v>99</v>
      </c>
      <c r="U837" s="8">
        <f t="shared" si="87"/>
        <v>1</v>
      </c>
      <c r="AD837" t="str">
        <f t="shared" si="86"/>
        <v>e</v>
      </c>
      <c r="AE837" t="str">
        <f t="shared" si="90"/>
        <v>Save</v>
      </c>
      <c r="AF837" t="str">
        <f t="shared" si="88"/>
        <v>Save_Rebound</v>
      </c>
      <c r="AG837" t="str">
        <f t="shared" si="89"/>
        <v>Save-RightPad</v>
      </c>
      <c r="AN837" t="str">
        <f t="shared" si="85"/>
        <v>Defensive</v>
      </c>
      <c r="BD837" s="23"/>
      <c r="BF837" s="21"/>
    </row>
    <row r="838" spans="1:58" x14ac:dyDescent="0.2">
      <c r="A838">
        <v>418</v>
      </c>
      <c r="B838">
        <v>69</v>
      </c>
      <c r="J838">
        <v>9</v>
      </c>
      <c r="U838" s="8">
        <f t="shared" si="87"/>
        <v>1</v>
      </c>
      <c r="AD838" t="str">
        <f t="shared" si="86"/>
        <v>o</v>
      </c>
      <c r="AE838" t="str">
        <f t="shared" si="90"/>
        <v>Save</v>
      </c>
      <c r="AF838" t="str">
        <f t="shared" si="88"/>
        <v>Save_Rebound</v>
      </c>
      <c r="AG838" t="str">
        <f t="shared" si="89"/>
        <v>Save-RightPad</v>
      </c>
      <c r="AN838" t="str">
        <f t="shared" si="85"/>
        <v>Offensive</v>
      </c>
      <c r="BD838" s="23"/>
      <c r="BF838" s="21"/>
    </row>
    <row r="839" spans="1:58" x14ac:dyDescent="0.2">
      <c r="A839">
        <v>419</v>
      </c>
      <c r="B839">
        <v>69</v>
      </c>
      <c r="E839" s="5" t="s">
        <v>887</v>
      </c>
      <c r="F839" s="5" t="s">
        <v>885</v>
      </c>
      <c r="I839" t="s">
        <v>835</v>
      </c>
      <c r="J839">
        <v>39</v>
      </c>
      <c r="K839">
        <v>1</v>
      </c>
      <c r="L839" t="s">
        <v>845</v>
      </c>
      <c r="M839" t="s">
        <v>250</v>
      </c>
      <c r="N839" t="s">
        <v>251</v>
      </c>
      <c r="U839" s="8">
        <f t="shared" si="87"/>
        <v>1</v>
      </c>
      <c r="AD839" t="str">
        <f t="shared" si="86"/>
        <v>e</v>
      </c>
      <c r="AE839" t="str">
        <f t="shared" si="90"/>
        <v>Rebound</v>
      </c>
      <c r="AF839" t="str">
        <f t="shared" si="88"/>
        <v>Rebound_TeamRecovered</v>
      </c>
      <c r="AG839" t="str">
        <f t="shared" si="89"/>
        <v/>
      </c>
      <c r="AN839" t="str">
        <f t="shared" si="85"/>
        <v>Offensive</v>
      </c>
      <c r="BD839" s="23"/>
      <c r="BF839" s="21"/>
    </row>
    <row r="840" spans="1:58" x14ac:dyDescent="0.2">
      <c r="A840">
        <v>420</v>
      </c>
      <c r="E840" s="5" t="s">
        <v>887</v>
      </c>
      <c r="F840" s="5" t="s">
        <v>874</v>
      </c>
      <c r="I840" t="s">
        <v>835</v>
      </c>
      <c r="J840">
        <v>22</v>
      </c>
      <c r="K840">
        <v>1</v>
      </c>
      <c r="L840" t="s">
        <v>845</v>
      </c>
      <c r="M840" t="s">
        <v>15</v>
      </c>
      <c r="N840" t="s">
        <v>680</v>
      </c>
      <c r="P840" t="s">
        <v>688</v>
      </c>
      <c r="Q840" t="s">
        <v>789</v>
      </c>
      <c r="S840" t="s">
        <v>688</v>
      </c>
      <c r="U840" s="8">
        <f t="shared" si="87"/>
        <v>1</v>
      </c>
      <c r="AD840" t="str">
        <f t="shared" si="86"/>
        <v>e</v>
      </c>
      <c r="AE840" t="str">
        <f t="shared" si="90"/>
        <v>Possession</v>
      </c>
      <c r="AF840" t="str">
        <f t="shared" si="88"/>
        <v>PuckRetrieval</v>
      </c>
      <c r="AG840" t="str">
        <f t="shared" si="89"/>
        <v/>
      </c>
      <c r="AN840" t="str">
        <f t="shared" si="85"/>
        <v>Offensive</v>
      </c>
      <c r="BD840" s="23"/>
      <c r="BF840" s="21"/>
    </row>
    <row r="841" spans="1:58" x14ac:dyDescent="0.2">
      <c r="A841">
        <v>421</v>
      </c>
      <c r="E841" s="5" t="s">
        <v>887</v>
      </c>
      <c r="F841" s="5" t="s">
        <v>874</v>
      </c>
      <c r="I841" t="s">
        <v>835</v>
      </c>
      <c r="J841">
        <v>22</v>
      </c>
      <c r="K841">
        <v>1</v>
      </c>
      <c r="L841" t="s">
        <v>845</v>
      </c>
      <c r="M841" t="s">
        <v>10</v>
      </c>
      <c r="N841" t="s">
        <v>190</v>
      </c>
      <c r="O841" t="s">
        <v>398</v>
      </c>
      <c r="P841" t="s">
        <v>688</v>
      </c>
      <c r="Q841" t="s">
        <v>749</v>
      </c>
      <c r="R841" t="s">
        <v>708</v>
      </c>
      <c r="S841" t="s">
        <v>688</v>
      </c>
      <c r="U841" s="8">
        <f t="shared" si="87"/>
        <v>1</v>
      </c>
      <c r="AD841" t="str">
        <f t="shared" si="86"/>
        <v>e</v>
      </c>
      <c r="AE841" t="str">
        <f t="shared" si="90"/>
        <v>Turnover</v>
      </c>
      <c r="AF841" t="str">
        <f t="shared" si="88"/>
        <v>Turnover_Giveaway</v>
      </c>
      <c r="AG841" t="str">
        <f t="shared" si="89"/>
        <v>Giveaway-AttemptedZoneClear/Dump</v>
      </c>
      <c r="AN841" t="str">
        <f t="shared" ref="AN841:AN904" si="91">IF(AND(AD841="e",OR(AE841="Save",AF841="Turnover_Takeaway",AF841="Play_Defensive")),"Defensive",IF(AND(AD841="o",OR(AE841="Save",AF841="Turnover_Takeaway",AF841="Play_Defensive")),"Offensive",IF(OR(AE841="Deadice",AE841="Stoppage",AE841="Intermission"),"",IF(AD841="e","Offensive",IF(AD841="o","Defensive","")))))</f>
        <v>Offensive</v>
      </c>
      <c r="BD841" s="23"/>
      <c r="BF841" s="21"/>
    </row>
    <row r="842" spans="1:58" x14ac:dyDescent="0.2">
      <c r="A842">
        <v>422</v>
      </c>
      <c r="B842">
        <v>70</v>
      </c>
      <c r="E842" s="5" t="s">
        <v>887</v>
      </c>
      <c r="F842" s="5" t="s">
        <v>842</v>
      </c>
      <c r="I842" t="s">
        <v>840</v>
      </c>
      <c r="J842">
        <v>83</v>
      </c>
      <c r="K842">
        <v>1</v>
      </c>
      <c r="L842" t="s">
        <v>401</v>
      </c>
      <c r="M842" t="s">
        <v>257</v>
      </c>
      <c r="N842" t="s">
        <v>210</v>
      </c>
      <c r="O842" t="s">
        <v>93</v>
      </c>
      <c r="P842" t="s">
        <v>689</v>
      </c>
      <c r="U842" s="8">
        <f t="shared" si="87"/>
        <v>1</v>
      </c>
      <c r="AD842" t="str">
        <f t="shared" si="86"/>
        <v>e</v>
      </c>
      <c r="AE842" t="str">
        <f t="shared" si="90"/>
        <v>Zone_Entry_Exit</v>
      </c>
      <c r="AF842" t="str">
        <f t="shared" si="88"/>
        <v>Zone_Keepin</v>
      </c>
      <c r="AG842" t="str">
        <f t="shared" si="89"/>
        <v>Zone-KeepIn</v>
      </c>
      <c r="AN842" t="str">
        <f t="shared" si="91"/>
        <v>Offensive</v>
      </c>
      <c r="BD842" s="23"/>
      <c r="BF842" s="21"/>
    </row>
    <row r="843" spans="1:58" x14ac:dyDescent="0.2">
      <c r="A843">
        <v>423</v>
      </c>
      <c r="B843">
        <v>70</v>
      </c>
      <c r="E843" s="5" t="s">
        <v>887</v>
      </c>
      <c r="F843" s="5" t="s">
        <v>842</v>
      </c>
      <c r="G843" s="5" t="s">
        <v>887</v>
      </c>
      <c r="H843" s="7" t="s">
        <v>843</v>
      </c>
      <c r="I843" t="s">
        <v>840</v>
      </c>
      <c r="J843">
        <v>83</v>
      </c>
      <c r="K843">
        <v>1</v>
      </c>
      <c r="L843" t="s">
        <v>401</v>
      </c>
      <c r="M843" t="s">
        <v>15</v>
      </c>
      <c r="N843" t="s">
        <v>680</v>
      </c>
      <c r="P843" t="s">
        <v>689</v>
      </c>
      <c r="Q843" t="s">
        <v>694</v>
      </c>
      <c r="S843" t="s">
        <v>689</v>
      </c>
      <c r="U843" s="8">
        <f t="shared" si="87"/>
        <v>1</v>
      </c>
      <c r="AD843" t="str">
        <f t="shared" si="86"/>
        <v>e</v>
      </c>
      <c r="AE843" t="str">
        <f t="shared" si="90"/>
        <v>Possession</v>
      </c>
      <c r="AF843" t="str">
        <f t="shared" si="88"/>
        <v>PuckRetrieval</v>
      </c>
      <c r="AG843" t="str">
        <f t="shared" si="89"/>
        <v/>
      </c>
      <c r="AN843" t="str">
        <f t="shared" si="91"/>
        <v>Offensive</v>
      </c>
      <c r="BD843" s="23"/>
      <c r="BF843" s="21"/>
    </row>
    <row r="844" spans="1:58" x14ac:dyDescent="0.2">
      <c r="A844">
        <v>424</v>
      </c>
      <c r="E844" s="5" t="s">
        <v>887</v>
      </c>
      <c r="F844" s="5" t="s">
        <v>843</v>
      </c>
      <c r="I844" t="s">
        <v>840</v>
      </c>
      <c r="J844">
        <v>83</v>
      </c>
      <c r="K844">
        <v>1</v>
      </c>
      <c r="L844" t="s">
        <v>401</v>
      </c>
      <c r="M844" t="s">
        <v>8</v>
      </c>
      <c r="N844" t="s">
        <v>189</v>
      </c>
      <c r="O844" t="s">
        <v>70</v>
      </c>
      <c r="P844" t="s">
        <v>689</v>
      </c>
      <c r="U844" s="8">
        <f t="shared" si="87"/>
        <v>1</v>
      </c>
      <c r="AD844" t="str">
        <f t="shared" si="86"/>
        <v>e</v>
      </c>
      <c r="AE844" t="str">
        <f t="shared" si="90"/>
        <v>Pass</v>
      </c>
      <c r="AF844" t="str">
        <f t="shared" si="88"/>
        <v>Pass_Completed</v>
      </c>
      <c r="AG844" t="str">
        <f t="shared" si="89"/>
        <v>Pass-Forehand</v>
      </c>
      <c r="AN844" t="str">
        <f t="shared" si="91"/>
        <v>Offensive</v>
      </c>
      <c r="BD844" s="23"/>
      <c r="BF844" s="21"/>
    </row>
    <row r="845" spans="1:58" x14ac:dyDescent="0.2">
      <c r="A845">
        <v>424</v>
      </c>
      <c r="J845">
        <v>7</v>
      </c>
      <c r="K845">
        <v>1</v>
      </c>
      <c r="U845" s="8">
        <f t="shared" si="87"/>
        <v>1</v>
      </c>
      <c r="AD845" t="str">
        <f t="shared" si="86"/>
        <v>e</v>
      </c>
      <c r="AE845" t="str">
        <f t="shared" si="90"/>
        <v>Pass</v>
      </c>
      <c r="AF845" t="str">
        <f t="shared" si="88"/>
        <v>Pass_Completed</v>
      </c>
      <c r="AG845" t="str">
        <f t="shared" si="89"/>
        <v>Pass-Forehand</v>
      </c>
      <c r="AN845" t="str">
        <f t="shared" si="91"/>
        <v>Offensive</v>
      </c>
      <c r="BD845" s="23"/>
      <c r="BF845" s="21"/>
    </row>
    <row r="846" spans="1:58" x14ac:dyDescent="0.2">
      <c r="A846">
        <v>425</v>
      </c>
      <c r="B846">
        <v>71</v>
      </c>
      <c r="E846" s="5" t="s">
        <v>887</v>
      </c>
      <c r="F846" s="5" t="s">
        <v>876</v>
      </c>
      <c r="I846" t="s">
        <v>840</v>
      </c>
      <c r="J846">
        <v>7</v>
      </c>
      <c r="K846">
        <v>1</v>
      </c>
      <c r="L846" t="s">
        <v>401</v>
      </c>
      <c r="M846" t="s">
        <v>7</v>
      </c>
      <c r="N846" t="s">
        <v>208</v>
      </c>
      <c r="O846" t="s">
        <v>53</v>
      </c>
      <c r="P846" t="s">
        <v>688</v>
      </c>
      <c r="U846" s="8">
        <f t="shared" si="87"/>
        <v>1</v>
      </c>
      <c r="AD846" t="str">
        <f t="shared" si="86"/>
        <v>e</v>
      </c>
      <c r="AE846" t="str">
        <f t="shared" si="90"/>
        <v>Shot</v>
      </c>
      <c r="AF846" t="str">
        <f t="shared" si="88"/>
        <v>Shot_Blocked</v>
      </c>
      <c r="AG846" t="str">
        <f t="shared" si="89"/>
        <v>Shot-Wrist</v>
      </c>
      <c r="AN846" t="str">
        <f t="shared" si="91"/>
        <v>Offensive</v>
      </c>
      <c r="BD846" s="23"/>
      <c r="BF846" s="21"/>
    </row>
    <row r="847" spans="1:58" x14ac:dyDescent="0.2">
      <c r="A847">
        <v>425</v>
      </c>
      <c r="B847">
        <v>71</v>
      </c>
      <c r="J847">
        <v>14</v>
      </c>
      <c r="Q847" t="s">
        <v>665</v>
      </c>
      <c r="S847" t="s">
        <v>689</v>
      </c>
      <c r="U847" s="8">
        <f t="shared" si="87"/>
        <v>1</v>
      </c>
      <c r="AD847" t="str">
        <f t="shared" si="86"/>
        <v>o</v>
      </c>
      <c r="AE847" t="str">
        <f t="shared" si="90"/>
        <v>Shot</v>
      </c>
      <c r="AF847" t="str">
        <f t="shared" si="88"/>
        <v>Shot_Blocked</v>
      </c>
      <c r="AG847" t="str">
        <f t="shared" si="89"/>
        <v>Shot-Wrist</v>
      </c>
      <c r="AN847" t="str">
        <f t="shared" si="91"/>
        <v>Defensive</v>
      </c>
      <c r="BD847" s="23"/>
      <c r="BF847" s="21"/>
    </row>
    <row r="848" spans="1:58" x14ac:dyDescent="0.2">
      <c r="A848">
        <v>426</v>
      </c>
      <c r="B848">
        <v>71</v>
      </c>
      <c r="E848" s="5" t="s">
        <v>887</v>
      </c>
      <c r="F848" s="5" t="s">
        <v>876</v>
      </c>
      <c r="I848" t="s">
        <v>840</v>
      </c>
      <c r="J848">
        <v>7</v>
      </c>
      <c r="K848">
        <v>1</v>
      </c>
      <c r="L848" t="s">
        <v>401</v>
      </c>
      <c r="M848" t="s">
        <v>10</v>
      </c>
      <c r="N848" t="s">
        <v>190</v>
      </c>
      <c r="O848" t="s">
        <v>78</v>
      </c>
      <c r="P848" t="s">
        <v>688</v>
      </c>
      <c r="U848" s="8">
        <f t="shared" si="87"/>
        <v>1</v>
      </c>
      <c r="AD848" t="str">
        <f t="shared" si="86"/>
        <v>e</v>
      </c>
      <c r="AE848" t="str">
        <f t="shared" si="90"/>
        <v>Turnover</v>
      </c>
      <c r="AF848" t="str">
        <f t="shared" si="88"/>
        <v>Turnover_Giveaway</v>
      </c>
      <c r="AG848" t="str">
        <f t="shared" si="89"/>
        <v>Giveaway-ShotBlocked</v>
      </c>
      <c r="AN848" t="str">
        <f t="shared" si="91"/>
        <v>Offensive</v>
      </c>
      <c r="BD848" s="23"/>
      <c r="BF848" s="21"/>
    </row>
    <row r="849" spans="1:58" x14ac:dyDescent="0.2">
      <c r="A849">
        <v>426</v>
      </c>
      <c r="B849">
        <v>71</v>
      </c>
      <c r="J849">
        <v>14</v>
      </c>
      <c r="Q849" t="s">
        <v>665</v>
      </c>
      <c r="S849" t="s">
        <v>689</v>
      </c>
      <c r="U849" s="8">
        <f t="shared" si="87"/>
        <v>1</v>
      </c>
      <c r="AD849" t="str">
        <f t="shared" si="86"/>
        <v>o</v>
      </c>
      <c r="AE849" t="str">
        <f t="shared" si="90"/>
        <v>Turnover</v>
      </c>
      <c r="AF849" t="str">
        <f t="shared" si="88"/>
        <v>Turnover_Giveaway</v>
      </c>
      <c r="AG849" t="str">
        <f t="shared" si="89"/>
        <v>Giveaway-ShotBlocked</v>
      </c>
      <c r="AN849" t="str">
        <f t="shared" si="91"/>
        <v>Defensive</v>
      </c>
      <c r="BD849" s="23"/>
      <c r="BF849" s="21"/>
    </row>
    <row r="850" spans="1:58" x14ac:dyDescent="0.2">
      <c r="A850">
        <v>427</v>
      </c>
      <c r="E850" s="5" t="s">
        <v>887</v>
      </c>
      <c r="F850" s="5" t="s">
        <v>846</v>
      </c>
      <c r="G850" s="5" t="s">
        <v>887</v>
      </c>
      <c r="H850" s="7" t="s">
        <v>847</v>
      </c>
      <c r="I850" t="s">
        <v>835</v>
      </c>
      <c r="J850">
        <v>70</v>
      </c>
      <c r="K850">
        <v>1</v>
      </c>
      <c r="L850" t="s">
        <v>845</v>
      </c>
      <c r="M850" t="s">
        <v>15</v>
      </c>
      <c r="N850" t="s">
        <v>680</v>
      </c>
      <c r="P850" t="s">
        <v>689</v>
      </c>
      <c r="Q850" t="s">
        <v>666</v>
      </c>
      <c r="S850" t="s">
        <v>689</v>
      </c>
      <c r="U850" s="8">
        <f t="shared" si="87"/>
        <v>1</v>
      </c>
      <c r="AD850" t="str">
        <f t="shared" si="86"/>
        <v>e</v>
      </c>
      <c r="AE850" t="str">
        <f t="shared" si="90"/>
        <v>Possession</v>
      </c>
      <c r="AF850" t="str">
        <f t="shared" si="88"/>
        <v>PuckRetrieval</v>
      </c>
      <c r="AG850" t="str">
        <f t="shared" si="89"/>
        <v/>
      </c>
      <c r="AN850" t="str">
        <f t="shared" si="91"/>
        <v>Offensive</v>
      </c>
      <c r="BD850" s="23"/>
      <c r="BF850" s="21"/>
    </row>
    <row r="851" spans="1:58" x14ac:dyDescent="0.2">
      <c r="A851">
        <v>428</v>
      </c>
      <c r="E851" s="5" t="s">
        <v>887</v>
      </c>
      <c r="F851" s="5" t="s">
        <v>847</v>
      </c>
      <c r="G851" s="5" t="s">
        <v>887</v>
      </c>
      <c r="H851" s="7" t="s">
        <v>888</v>
      </c>
      <c r="I851" t="s">
        <v>835</v>
      </c>
      <c r="J851">
        <v>70</v>
      </c>
      <c r="K851">
        <v>1</v>
      </c>
      <c r="L851" t="s">
        <v>845</v>
      </c>
      <c r="M851" t="s">
        <v>15</v>
      </c>
      <c r="N851" t="s">
        <v>667</v>
      </c>
      <c r="U851" s="8">
        <f t="shared" si="87"/>
        <v>1</v>
      </c>
      <c r="AD851" t="str">
        <f t="shared" si="86"/>
        <v>e</v>
      </c>
      <c r="AE851" t="str">
        <f t="shared" si="90"/>
        <v>Possession</v>
      </c>
      <c r="AF851" t="str">
        <f t="shared" si="88"/>
        <v>Regroup</v>
      </c>
      <c r="AG851" t="str">
        <f t="shared" si="89"/>
        <v/>
      </c>
      <c r="AN851" t="str">
        <f t="shared" si="91"/>
        <v>Offensive</v>
      </c>
      <c r="BD851" s="23"/>
      <c r="BF851" s="21"/>
    </row>
    <row r="852" spans="1:58" x14ac:dyDescent="0.2">
      <c r="A852">
        <v>429</v>
      </c>
      <c r="E852" s="5" t="s">
        <v>887</v>
      </c>
      <c r="F852" s="5" t="s">
        <v>888</v>
      </c>
      <c r="J852">
        <v>70</v>
      </c>
      <c r="K852">
        <v>1</v>
      </c>
      <c r="L852" t="s">
        <v>845</v>
      </c>
      <c r="M852" t="s">
        <v>8</v>
      </c>
      <c r="N852" t="s">
        <v>189</v>
      </c>
      <c r="O852" t="s">
        <v>70</v>
      </c>
      <c r="P852" t="s">
        <v>689</v>
      </c>
      <c r="U852" s="8">
        <f t="shared" si="87"/>
        <v>1</v>
      </c>
      <c r="AD852" t="str">
        <f t="shared" si="86"/>
        <v>e</v>
      </c>
      <c r="AE852" t="str">
        <f t="shared" si="90"/>
        <v>Pass</v>
      </c>
      <c r="AF852" t="str">
        <f t="shared" si="88"/>
        <v>Pass_Completed</v>
      </c>
      <c r="AG852" t="str">
        <f t="shared" si="89"/>
        <v>Pass-Forehand</v>
      </c>
      <c r="AN852" t="str">
        <f t="shared" si="91"/>
        <v>Offensive</v>
      </c>
      <c r="BD852" s="23"/>
      <c r="BF852" s="21"/>
    </row>
    <row r="853" spans="1:58" x14ac:dyDescent="0.2">
      <c r="A853">
        <v>429</v>
      </c>
      <c r="J853">
        <v>91</v>
      </c>
      <c r="U853" s="8">
        <f t="shared" si="87"/>
        <v>1</v>
      </c>
      <c r="AD853" t="str">
        <f t="shared" si="86"/>
        <v>o</v>
      </c>
      <c r="AE853" t="str">
        <f t="shared" si="90"/>
        <v>Pass</v>
      </c>
      <c r="AF853" t="str">
        <f t="shared" si="88"/>
        <v>Pass_Completed</v>
      </c>
      <c r="AG853" t="str">
        <f t="shared" si="89"/>
        <v>Pass-Forehand</v>
      </c>
      <c r="AN853" t="str">
        <f t="shared" si="91"/>
        <v>Defensive</v>
      </c>
      <c r="BD853" s="23"/>
      <c r="BF853" s="21"/>
    </row>
    <row r="854" spans="1:58" x14ac:dyDescent="0.2">
      <c r="A854">
        <v>430</v>
      </c>
      <c r="E854" s="5" t="s">
        <v>887</v>
      </c>
      <c r="F854" s="5" t="s">
        <v>889</v>
      </c>
      <c r="G854" s="5" t="s">
        <v>887</v>
      </c>
      <c r="H854" s="7" t="s">
        <v>878</v>
      </c>
      <c r="I854" t="s">
        <v>835</v>
      </c>
      <c r="J854">
        <v>91</v>
      </c>
      <c r="K854">
        <v>1</v>
      </c>
      <c r="L854" t="s">
        <v>845</v>
      </c>
      <c r="M854" t="s">
        <v>257</v>
      </c>
      <c r="N854" t="s">
        <v>201</v>
      </c>
      <c r="O854" t="s">
        <v>90</v>
      </c>
      <c r="P854" t="s">
        <v>689</v>
      </c>
      <c r="U854" s="8">
        <f t="shared" si="87"/>
        <v>1</v>
      </c>
      <c r="AD854" t="str">
        <f t="shared" si="86"/>
        <v>e</v>
      </c>
      <c r="AE854" t="str">
        <f t="shared" si="90"/>
        <v>Zone_Entry_Exit</v>
      </c>
      <c r="AF854" t="str">
        <f t="shared" si="88"/>
        <v>Zone_Exit</v>
      </c>
      <c r="AG854" t="str">
        <f t="shared" si="89"/>
        <v>ZoneExit-Rush</v>
      </c>
      <c r="AN854" t="str">
        <f t="shared" si="91"/>
        <v>Offensive</v>
      </c>
      <c r="BD854" s="23"/>
      <c r="BF854" s="21"/>
    </row>
    <row r="855" spans="1:58" x14ac:dyDescent="0.2">
      <c r="A855">
        <v>431</v>
      </c>
      <c r="E855" s="5" t="s">
        <v>887</v>
      </c>
      <c r="F855" s="5" t="s">
        <v>897</v>
      </c>
      <c r="I855" t="s">
        <v>835</v>
      </c>
      <c r="J855">
        <v>91</v>
      </c>
      <c r="K855">
        <v>1</v>
      </c>
      <c r="L855" t="s">
        <v>839</v>
      </c>
      <c r="M855" t="s">
        <v>8</v>
      </c>
      <c r="N855" t="s">
        <v>189</v>
      </c>
      <c r="O855" t="s">
        <v>70</v>
      </c>
      <c r="P855" t="s">
        <v>689</v>
      </c>
      <c r="U855" s="8">
        <f t="shared" si="87"/>
        <v>1</v>
      </c>
      <c r="AD855" t="str">
        <f t="shared" si="86"/>
        <v>e</v>
      </c>
      <c r="AE855" t="str">
        <f t="shared" si="90"/>
        <v>Pass</v>
      </c>
      <c r="AF855" t="str">
        <f t="shared" si="88"/>
        <v>Pass_Completed</v>
      </c>
      <c r="AG855" t="str">
        <f t="shared" si="89"/>
        <v>Pass-Forehand</v>
      </c>
      <c r="AN855" t="str">
        <f t="shared" si="91"/>
        <v>Offensive</v>
      </c>
      <c r="BD855" s="23"/>
      <c r="BF855" s="21"/>
    </row>
    <row r="856" spans="1:58" x14ac:dyDescent="0.2">
      <c r="A856">
        <v>431</v>
      </c>
      <c r="J856">
        <v>75</v>
      </c>
      <c r="U856" s="8">
        <f t="shared" si="87"/>
        <v>1</v>
      </c>
      <c r="AD856" t="str">
        <f t="shared" si="86"/>
        <v>o</v>
      </c>
      <c r="AE856" t="str">
        <f t="shared" si="90"/>
        <v>Pass</v>
      </c>
      <c r="AF856" t="str">
        <f t="shared" si="88"/>
        <v>Pass_Completed</v>
      </c>
      <c r="AG856" t="str">
        <f t="shared" si="89"/>
        <v>Pass-Forehand</v>
      </c>
      <c r="AN856" t="str">
        <f t="shared" si="91"/>
        <v>Defensive</v>
      </c>
      <c r="BD856" s="23"/>
      <c r="BF856" s="21"/>
    </row>
    <row r="857" spans="1:58" x14ac:dyDescent="0.2">
      <c r="A857">
        <v>432</v>
      </c>
      <c r="B857">
        <v>72</v>
      </c>
      <c r="E857" s="5" t="s">
        <v>887</v>
      </c>
      <c r="F857" s="5" t="s">
        <v>849</v>
      </c>
      <c r="I857" t="s">
        <v>835</v>
      </c>
      <c r="J857">
        <v>75</v>
      </c>
      <c r="K857">
        <v>1</v>
      </c>
      <c r="L857" t="s">
        <v>839</v>
      </c>
      <c r="M857" t="s">
        <v>257</v>
      </c>
      <c r="N857" t="s">
        <v>191</v>
      </c>
      <c r="O857" t="s">
        <v>89</v>
      </c>
      <c r="P857" t="s">
        <v>688</v>
      </c>
      <c r="Q857" t="s">
        <v>710</v>
      </c>
      <c r="R857" t="s">
        <v>750</v>
      </c>
      <c r="S857" t="s">
        <v>688</v>
      </c>
      <c r="U857" s="8">
        <f t="shared" si="87"/>
        <v>1</v>
      </c>
      <c r="AD857" t="str">
        <f t="shared" si="86"/>
        <v>e</v>
      </c>
      <c r="AE857" t="str">
        <f t="shared" si="90"/>
        <v>Zone_Entry_Exit</v>
      </c>
      <c r="AF857" t="str">
        <f t="shared" si="88"/>
        <v>Zone_Entry</v>
      </c>
      <c r="AG857" t="str">
        <f t="shared" si="89"/>
        <v>ZoneEntry-DumpIn</v>
      </c>
      <c r="AN857" t="str">
        <f t="shared" si="91"/>
        <v>Offensive</v>
      </c>
      <c r="BD857" s="23"/>
      <c r="BF857" s="21"/>
    </row>
    <row r="858" spans="1:58" x14ac:dyDescent="0.2">
      <c r="A858">
        <v>433</v>
      </c>
      <c r="B858">
        <v>72</v>
      </c>
      <c r="E858" s="5" t="s">
        <v>887</v>
      </c>
      <c r="F858" s="5" t="s">
        <v>849</v>
      </c>
      <c r="I858" t="s">
        <v>835</v>
      </c>
      <c r="J858">
        <v>75</v>
      </c>
      <c r="K858">
        <v>1</v>
      </c>
      <c r="L858" t="s">
        <v>839</v>
      </c>
      <c r="M858" t="s">
        <v>10</v>
      </c>
      <c r="N858" t="s">
        <v>190</v>
      </c>
      <c r="O858" t="s">
        <v>398</v>
      </c>
      <c r="P858" t="s">
        <v>688</v>
      </c>
      <c r="Q858" t="s">
        <v>710</v>
      </c>
      <c r="R858" t="s">
        <v>750</v>
      </c>
      <c r="S858" t="s">
        <v>688</v>
      </c>
      <c r="U858" s="8">
        <f t="shared" si="87"/>
        <v>1</v>
      </c>
      <c r="AD858" t="str">
        <f t="shared" si="86"/>
        <v>e</v>
      </c>
      <c r="AE858" t="str">
        <f t="shared" si="90"/>
        <v>Turnover</v>
      </c>
      <c r="AF858" t="str">
        <f t="shared" si="88"/>
        <v>Turnover_Giveaway</v>
      </c>
      <c r="AG858" t="str">
        <f t="shared" si="89"/>
        <v>Giveaway-AttemptedZoneClear/Dump</v>
      </c>
      <c r="AN858" t="str">
        <f t="shared" si="91"/>
        <v>Offensive</v>
      </c>
      <c r="BD858" s="23"/>
      <c r="BF858" s="21"/>
    </row>
    <row r="859" spans="1:58" x14ac:dyDescent="0.2">
      <c r="A859">
        <v>434</v>
      </c>
      <c r="E859" s="5" t="s">
        <v>887</v>
      </c>
      <c r="F859" s="5" t="s">
        <v>879</v>
      </c>
      <c r="G859" s="5" t="s">
        <v>887</v>
      </c>
      <c r="H859" s="7" t="s">
        <v>881</v>
      </c>
      <c r="I859" t="s">
        <v>840</v>
      </c>
      <c r="J859">
        <v>83</v>
      </c>
      <c r="K859">
        <v>1</v>
      </c>
      <c r="L859" t="s">
        <v>845</v>
      </c>
      <c r="M859" t="s">
        <v>15</v>
      </c>
      <c r="N859" t="s">
        <v>680</v>
      </c>
      <c r="P859" t="s">
        <v>688</v>
      </c>
      <c r="Q859" t="s">
        <v>698</v>
      </c>
      <c r="S859" t="s">
        <v>688</v>
      </c>
      <c r="U859" s="8">
        <f t="shared" si="87"/>
        <v>1</v>
      </c>
      <c r="AD859" t="str">
        <f t="shared" si="86"/>
        <v>e</v>
      </c>
      <c r="AE859" t="str">
        <f t="shared" si="90"/>
        <v>Possession</v>
      </c>
      <c r="AF859" t="str">
        <f t="shared" si="88"/>
        <v>PuckRetrieval</v>
      </c>
      <c r="AG859" t="str">
        <f t="shared" si="89"/>
        <v/>
      </c>
      <c r="AN859" t="str">
        <f t="shared" si="91"/>
        <v>Offensive</v>
      </c>
      <c r="BD859" s="23"/>
      <c r="BF859" s="21"/>
    </row>
    <row r="860" spans="1:58" x14ac:dyDescent="0.2">
      <c r="A860">
        <v>435</v>
      </c>
      <c r="B860">
        <v>73</v>
      </c>
      <c r="E860" s="5" t="s">
        <v>887</v>
      </c>
      <c r="F860" s="5" t="s">
        <v>853</v>
      </c>
      <c r="I860" t="s">
        <v>840</v>
      </c>
      <c r="J860">
        <v>83</v>
      </c>
      <c r="K860">
        <v>1</v>
      </c>
      <c r="L860" t="s">
        <v>845</v>
      </c>
      <c r="M860" t="s">
        <v>257</v>
      </c>
      <c r="N860" t="s">
        <v>201</v>
      </c>
      <c r="O860" t="s">
        <v>92</v>
      </c>
      <c r="P860" t="s">
        <v>688</v>
      </c>
      <c r="Q860" t="s">
        <v>708</v>
      </c>
      <c r="S860" t="s">
        <v>688</v>
      </c>
      <c r="U860" s="8">
        <f t="shared" si="87"/>
        <v>1</v>
      </c>
      <c r="AD860" t="str">
        <f t="shared" si="86"/>
        <v>e</v>
      </c>
      <c r="AE860" t="str">
        <f t="shared" si="90"/>
        <v>Zone_Entry_Exit</v>
      </c>
      <c r="AF860" t="str">
        <f t="shared" si="88"/>
        <v>Zone_Exit</v>
      </c>
      <c r="AG860" t="str">
        <f t="shared" si="89"/>
        <v>ZoneExit-Clear</v>
      </c>
      <c r="AN860" t="str">
        <f t="shared" si="91"/>
        <v>Offensive</v>
      </c>
      <c r="BD860" s="23"/>
      <c r="BF860" s="21"/>
    </row>
    <row r="861" spans="1:58" x14ac:dyDescent="0.2">
      <c r="A861">
        <v>436</v>
      </c>
      <c r="B861">
        <v>73</v>
      </c>
      <c r="E861" s="5" t="s">
        <v>887</v>
      </c>
      <c r="F861" s="5" t="s">
        <v>853</v>
      </c>
      <c r="I861" t="s">
        <v>840</v>
      </c>
      <c r="J861">
        <v>83</v>
      </c>
      <c r="K861">
        <v>1</v>
      </c>
      <c r="L861" t="s">
        <v>845</v>
      </c>
      <c r="M861" t="s">
        <v>257</v>
      </c>
      <c r="N861" t="s">
        <v>191</v>
      </c>
      <c r="O861" t="s">
        <v>408</v>
      </c>
      <c r="P861" t="s">
        <v>688</v>
      </c>
      <c r="Q861" t="s">
        <v>708</v>
      </c>
      <c r="S861" t="s">
        <v>688</v>
      </c>
      <c r="U861" s="8">
        <f t="shared" si="87"/>
        <v>1</v>
      </c>
      <c r="AD861" t="str">
        <f t="shared" si="86"/>
        <v>e</v>
      </c>
      <c r="AE861" t="str">
        <f t="shared" si="90"/>
        <v>Zone_Entry_Exit</v>
      </c>
      <c r="AF861" t="str">
        <f t="shared" si="88"/>
        <v>Zone_Entry</v>
      </c>
      <c r="AG861" t="str">
        <f t="shared" si="89"/>
        <v>ZoneEntry-FromExitClear</v>
      </c>
      <c r="AN861" t="str">
        <f t="shared" si="91"/>
        <v>Offensive</v>
      </c>
      <c r="BD861" s="23"/>
      <c r="BF861" s="21"/>
    </row>
    <row r="862" spans="1:58" x14ac:dyDescent="0.2">
      <c r="A862">
        <v>437</v>
      </c>
      <c r="B862">
        <v>73</v>
      </c>
      <c r="E862" s="5" t="s">
        <v>887</v>
      </c>
      <c r="F862" s="5" t="s">
        <v>853</v>
      </c>
      <c r="I862" t="s">
        <v>840</v>
      </c>
      <c r="J862">
        <v>83</v>
      </c>
      <c r="K862">
        <v>1</v>
      </c>
      <c r="L862" t="s">
        <v>845</v>
      </c>
      <c r="M862" t="s">
        <v>10</v>
      </c>
      <c r="N862" t="s">
        <v>190</v>
      </c>
      <c r="O862" t="s">
        <v>398</v>
      </c>
      <c r="P862" t="s">
        <v>688</v>
      </c>
      <c r="Q862" t="s">
        <v>708</v>
      </c>
      <c r="S862" t="s">
        <v>688</v>
      </c>
      <c r="U862" s="8">
        <f t="shared" si="87"/>
        <v>1</v>
      </c>
      <c r="AD862" t="str">
        <f t="shared" si="86"/>
        <v>e</v>
      </c>
      <c r="AE862" t="str">
        <f t="shared" si="90"/>
        <v>Turnover</v>
      </c>
      <c r="AF862" t="str">
        <f t="shared" si="88"/>
        <v>Turnover_Giveaway</v>
      </c>
      <c r="AG862" t="str">
        <f t="shared" si="89"/>
        <v>Giveaway-AttemptedZoneClear/Dump</v>
      </c>
      <c r="AN862" t="str">
        <f t="shared" si="91"/>
        <v>Offensive</v>
      </c>
      <c r="BD862" s="23"/>
      <c r="BF862" s="21"/>
    </row>
    <row r="863" spans="1:58" x14ac:dyDescent="0.2">
      <c r="A863">
        <v>438</v>
      </c>
      <c r="E863" s="5" t="s">
        <v>887</v>
      </c>
      <c r="F863" s="5" t="s">
        <v>882</v>
      </c>
      <c r="I863" t="s">
        <v>835</v>
      </c>
      <c r="J863">
        <v>91</v>
      </c>
      <c r="K863">
        <v>1</v>
      </c>
      <c r="L863" t="s">
        <v>845</v>
      </c>
      <c r="M863" t="s">
        <v>15</v>
      </c>
      <c r="N863" t="s">
        <v>680</v>
      </c>
      <c r="P863" t="s">
        <v>689</v>
      </c>
      <c r="Q863" t="s">
        <v>698</v>
      </c>
      <c r="S863" t="s">
        <v>689</v>
      </c>
      <c r="U863" s="8">
        <f t="shared" si="87"/>
        <v>1</v>
      </c>
      <c r="AD863" t="str">
        <f t="shared" si="86"/>
        <v>e</v>
      </c>
      <c r="AE863" t="str">
        <f t="shared" si="90"/>
        <v>Possession</v>
      </c>
      <c r="AF863" t="str">
        <f t="shared" si="88"/>
        <v>PuckRetrieval</v>
      </c>
      <c r="AG863" t="str">
        <f t="shared" si="89"/>
        <v/>
      </c>
      <c r="AN863" t="str">
        <f t="shared" si="91"/>
        <v>Offensive</v>
      </c>
      <c r="BD863" s="23"/>
      <c r="BF863" s="21"/>
    </row>
    <row r="864" spans="1:58" x14ac:dyDescent="0.2">
      <c r="A864">
        <v>439</v>
      </c>
      <c r="E864" s="5" t="s">
        <v>887</v>
      </c>
      <c r="F864" s="5" t="s">
        <v>882</v>
      </c>
      <c r="G864" s="5" t="s">
        <v>887</v>
      </c>
      <c r="H864" s="7" t="s">
        <v>857</v>
      </c>
      <c r="I864" t="s">
        <v>835</v>
      </c>
      <c r="J864">
        <v>91</v>
      </c>
      <c r="K864">
        <v>1</v>
      </c>
      <c r="L864" t="s">
        <v>845</v>
      </c>
      <c r="M864" t="s">
        <v>15</v>
      </c>
      <c r="N864" t="s">
        <v>667</v>
      </c>
      <c r="U864" s="8">
        <f t="shared" si="87"/>
        <v>1</v>
      </c>
      <c r="AD864" t="str">
        <f t="shared" si="86"/>
        <v>e</v>
      </c>
      <c r="AE864" t="str">
        <f t="shared" si="90"/>
        <v>Possession</v>
      </c>
      <c r="AF864" t="str">
        <f t="shared" si="88"/>
        <v>Regroup</v>
      </c>
      <c r="AG864" t="str">
        <f t="shared" si="89"/>
        <v/>
      </c>
      <c r="AN864" t="str">
        <f t="shared" si="91"/>
        <v>Offensive</v>
      </c>
      <c r="BD864" s="23"/>
      <c r="BF864" s="21"/>
    </row>
    <row r="865" spans="1:58" x14ac:dyDescent="0.2">
      <c r="A865">
        <v>440</v>
      </c>
      <c r="E865" s="5" t="s">
        <v>887</v>
      </c>
      <c r="F865" s="5" t="s">
        <v>883</v>
      </c>
      <c r="I865" t="s">
        <v>835</v>
      </c>
      <c r="J865">
        <v>91</v>
      </c>
      <c r="K865">
        <v>1</v>
      </c>
      <c r="L865" t="s">
        <v>845</v>
      </c>
      <c r="M865" t="s">
        <v>8</v>
      </c>
      <c r="N865" t="s">
        <v>189</v>
      </c>
      <c r="O865" t="s">
        <v>70</v>
      </c>
      <c r="P865" t="s">
        <v>689</v>
      </c>
      <c r="U865" s="8">
        <f t="shared" si="87"/>
        <v>1</v>
      </c>
      <c r="AD865" t="str">
        <f t="shared" si="86"/>
        <v>e</v>
      </c>
      <c r="AE865" t="str">
        <f t="shared" si="90"/>
        <v>Pass</v>
      </c>
      <c r="AF865" t="str">
        <f t="shared" si="88"/>
        <v>Pass_Completed</v>
      </c>
      <c r="AG865" t="str">
        <f t="shared" si="89"/>
        <v>Pass-Forehand</v>
      </c>
      <c r="AN865" t="str">
        <f t="shared" si="91"/>
        <v>Offensive</v>
      </c>
      <c r="BD865" s="23"/>
      <c r="BF865" s="21"/>
    </row>
    <row r="866" spans="1:58" x14ac:dyDescent="0.2">
      <c r="A866">
        <v>440</v>
      </c>
      <c r="J866">
        <v>52</v>
      </c>
      <c r="K866">
        <v>1</v>
      </c>
      <c r="L866" t="s">
        <v>845</v>
      </c>
      <c r="U866" s="8">
        <f t="shared" si="87"/>
        <v>1</v>
      </c>
      <c r="AD866" t="str">
        <f t="shared" si="86"/>
        <v>e</v>
      </c>
      <c r="AE866" t="str">
        <f t="shared" si="90"/>
        <v>Pass</v>
      </c>
      <c r="AF866" t="str">
        <f t="shared" si="88"/>
        <v>Pass_Completed</v>
      </c>
      <c r="AG866" t="str">
        <f t="shared" si="89"/>
        <v>Pass-Forehand</v>
      </c>
      <c r="AN866" t="str">
        <f t="shared" si="91"/>
        <v>Offensive</v>
      </c>
      <c r="BD866" s="23"/>
      <c r="BF866" s="21"/>
    </row>
    <row r="867" spans="1:58" x14ac:dyDescent="0.2">
      <c r="A867">
        <v>441</v>
      </c>
      <c r="E867" s="5" t="s">
        <v>887</v>
      </c>
      <c r="F867" s="5" t="s">
        <v>858</v>
      </c>
      <c r="I867" t="s">
        <v>835</v>
      </c>
      <c r="J867">
        <v>52</v>
      </c>
      <c r="K867">
        <v>1</v>
      </c>
      <c r="L867" t="s">
        <v>845</v>
      </c>
      <c r="M867" t="s">
        <v>8</v>
      </c>
      <c r="N867" t="s">
        <v>189</v>
      </c>
      <c r="O867" t="s">
        <v>70</v>
      </c>
      <c r="P867" t="s">
        <v>689</v>
      </c>
      <c r="Q867" t="s">
        <v>749</v>
      </c>
      <c r="S867" t="s">
        <v>689</v>
      </c>
      <c r="U867" s="8">
        <f t="shared" si="87"/>
        <v>1</v>
      </c>
      <c r="AD867" t="str">
        <f t="shared" si="86"/>
        <v>e</v>
      </c>
      <c r="AE867" t="str">
        <f t="shared" si="90"/>
        <v>Pass</v>
      </c>
      <c r="AF867" t="str">
        <f t="shared" si="88"/>
        <v>Pass_Completed</v>
      </c>
      <c r="AG867" t="str">
        <f t="shared" si="89"/>
        <v>Pass-Forehand</v>
      </c>
      <c r="AN867" t="str">
        <f t="shared" si="91"/>
        <v>Offensive</v>
      </c>
      <c r="BD867" s="23"/>
      <c r="BF867" s="21"/>
    </row>
    <row r="868" spans="1:58" x14ac:dyDescent="0.2">
      <c r="A868">
        <v>441</v>
      </c>
      <c r="J868">
        <v>42</v>
      </c>
      <c r="K868">
        <v>1</v>
      </c>
      <c r="L868" t="s">
        <v>845</v>
      </c>
      <c r="U868" s="8">
        <f t="shared" si="87"/>
        <v>1</v>
      </c>
      <c r="AD868" t="str">
        <f t="shared" si="86"/>
        <v>e</v>
      </c>
      <c r="AE868" t="str">
        <f t="shared" si="90"/>
        <v>Pass</v>
      </c>
      <c r="AF868" t="str">
        <f t="shared" si="88"/>
        <v>Pass_Completed</v>
      </c>
      <c r="AG868" t="str">
        <f t="shared" si="89"/>
        <v>Pass-Forehand</v>
      </c>
      <c r="AN868" t="str">
        <f t="shared" si="91"/>
        <v>Offensive</v>
      </c>
      <c r="BD868" s="23"/>
      <c r="BF868" s="21"/>
    </row>
    <row r="869" spans="1:58" x14ac:dyDescent="0.2">
      <c r="A869">
        <v>442</v>
      </c>
      <c r="E869" s="5" t="s">
        <v>887</v>
      </c>
      <c r="F869" s="5" t="s">
        <v>859</v>
      </c>
      <c r="G869" s="5" t="s">
        <v>887</v>
      </c>
      <c r="H869" s="7" t="s">
        <v>909</v>
      </c>
      <c r="I869" t="s">
        <v>835</v>
      </c>
      <c r="J869">
        <v>42</v>
      </c>
      <c r="K869">
        <v>1</v>
      </c>
      <c r="L869" t="s">
        <v>845</v>
      </c>
      <c r="M869" t="s">
        <v>257</v>
      </c>
      <c r="N869" t="s">
        <v>201</v>
      </c>
      <c r="O869" t="s">
        <v>90</v>
      </c>
      <c r="P869" t="s">
        <v>689</v>
      </c>
      <c r="U869" s="8">
        <f t="shared" si="87"/>
        <v>1</v>
      </c>
      <c r="AD869" t="str">
        <f t="shared" si="86"/>
        <v>e</v>
      </c>
      <c r="AE869" t="str">
        <f t="shared" si="90"/>
        <v>Zone_Entry_Exit</v>
      </c>
      <c r="AF869" t="str">
        <f t="shared" si="88"/>
        <v>Zone_Exit</v>
      </c>
      <c r="AG869" t="str">
        <f t="shared" si="89"/>
        <v>ZoneExit-Rush</v>
      </c>
      <c r="AN869" t="str">
        <f t="shared" si="91"/>
        <v>Offensive</v>
      </c>
      <c r="BD869" s="23"/>
      <c r="BF869" s="21"/>
    </row>
    <row r="870" spans="1:58" x14ac:dyDescent="0.2">
      <c r="A870">
        <v>443</v>
      </c>
      <c r="E870" s="5" t="s">
        <v>887</v>
      </c>
      <c r="F870" s="5" t="s">
        <v>909</v>
      </c>
      <c r="G870" s="5" t="s">
        <v>887</v>
      </c>
      <c r="H870" s="7" t="s">
        <v>863</v>
      </c>
      <c r="I870" t="s">
        <v>835</v>
      </c>
      <c r="J870">
        <v>42</v>
      </c>
      <c r="K870">
        <v>1</v>
      </c>
      <c r="L870" t="s">
        <v>839</v>
      </c>
      <c r="M870" t="s">
        <v>15</v>
      </c>
      <c r="U870" s="8">
        <f t="shared" si="87"/>
        <v>1</v>
      </c>
      <c r="AD870" t="str">
        <f t="shared" si="86"/>
        <v>e</v>
      </c>
      <c r="AE870" t="str">
        <f t="shared" si="90"/>
        <v>Possession</v>
      </c>
      <c r="AF870" t="str">
        <f t="shared" si="88"/>
        <v/>
      </c>
      <c r="AG870" t="str">
        <f t="shared" si="89"/>
        <v/>
      </c>
      <c r="AN870" t="str">
        <f t="shared" si="91"/>
        <v>Offensive</v>
      </c>
      <c r="BD870" s="23"/>
      <c r="BF870" s="21"/>
    </row>
    <row r="871" spans="1:58" x14ac:dyDescent="0.2">
      <c r="A871">
        <v>444</v>
      </c>
      <c r="E871" s="5" t="s">
        <v>887</v>
      </c>
      <c r="F871" s="5" t="s">
        <v>863</v>
      </c>
      <c r="G871" s="5" t="s">
        <v>887</v>
      </c>
      <c r="H871" s="7" t="s">
        <v>864</v>
      </c>
      <c r="I871" t="s">
        <v>835</v>
      </c>
      <c r="J871">
        <v>42</v>
      </c>
      <c r="K871">
        <v>1</v>
      </c>
      <c r="L871" t="s">
        <v>401</v>
      </c>
      <c r="M871" t="s">
        <v>257</v>
      </c>
      <c r="N871" t="s">
        <v>191</v>
      </c>
      <c r="O871" t="s">
        <v>87</v>
      </c>
      <c r="P871" t="s">
        <v>688</v>
      </c>
      <c r="Q871" t="s">
        <v>661</v>
      </c>
      <c r="U871" s="8">
        <f t="shared" si="87"/>
        <v>1</v>
      </c>
      <c r="AD871" t="str">
        <f t="shared" si="86"/>
        <v>e</v>
      </c>
      <c r="AE871" t="str">
        <f t="shared" si="90"/>
        <v>Zone_Entry_Exit</v>
      </c>
      <c r="AF871" t="str">
        <f t="shared" si="88"/>
        <v>Zone_Entry</v>
      </c>
      <c r="AG871" t="str">
        <f t="shared" si="89"/>
        <v>ZoneEntry-Rush</v>
      </c>
      <c r="AN871" t="str">
        <f t="shared" si="91"/>
        <v>Offensive</v>
      </c>
      <c r="BD871" s="23"/>
      <c r="BF871" s="21"/>
    </row>
    <row r="872" spans="1:58" x14ac:dyDescent="0.2">
      <c r="A872">
        <v>444</v>
      </c>
      <c r="J872">
        <v>24</v>
      </c>
      <c r="K872">
        <v>1</v>
      </c>
      <c r="U872" s="8">
        <f t="shared" si="87"/>
        <v>1</v>
      </c>
      <c r="AD872" t="str">
        <f t="shared" si="86"/>
        <v>e</v>
      </c>
      <c r="AE872" t="str">
        <f t="shared" si="90"/>
        <v>Zone_Entry_Exit</v>
      </c>
      <c r="AF872" t="str">
        <f t="shared" si="88"/>
        <v>Zone_Entry</v>
      </c>
      <c r="AG872" t="str">
        <f t="shared" si="89"/>
        <v>ZoneEntry-Rush</v>
      </c>
      <c r="AN872" t="str">
        <f t="shared" si="91"/>
        <v>Offensive</v>
      </c>
      <c r="BD872" s="23"/>
      <c r="BF872" s="21"/>
    </row>
    <row r="873" spans="1:58" x14ac:dyDescent="0.2">
      <c r="A873">
        <v>444</v>
      </c>
      <c r="J873">
        <v>46</v>
      </c>
      <c r="U873" s="8">
        <f t="shared" si="87"/>
        <v>1</v>
      </c>
      <c r="AD873" t="str">
        <f t="shared" si="86"/>
        <v>o</v>
      </c>
      <c r="AE873" t="str">
        <f t="shared" si="90"/>
        <v>Zone_Entry_Exit</v>
      </c>
      <c r="AF873" t="str">
        <f t="shared" si="88"/>
        <v>Zone_Entry</v>
      </c>
      <c r="AG873" t="str">
        <f t="shared" si="89"/>
        <v>ZoneEntry-Rush</v>
      </c>
      <c r="AN873" t="str">
        <f t="shared" si="91"/>
        <v>Defensive</v>
      </c>
      <c r="BD873" s="23"/>
      <c r="BF873" s="21"/>
    </row>
    <row r="874" spans="1:58" x14ac:dyDescent="0.2">
      <c r="A874">
        <v>444</v>
      </c>
      <c r="J874">
        <v>17</v>
      </c>
      <c r="Q874" t="s">
        <v>703</v>
      </c>
      <c r="U874" s="8">
        <f t="shared" si="87"/>
        <v>1</v>
      </c>
      <c r="AD874" t="str">
        <f t="shared" si="86"/>
        <v>o</v>
      </c>
      <c r="AE874" t="str">
        <f t="shared" si="90"/>
        <v>Zone_Entry_Exit</v>
      </c>
      <c r="AF874" t="str">
        <f t="shared" si="88"/>
        <v>Zone_Entry</v>
      </c>
      <c r="AG874" t="str">
        <f t="shared" si="89"/>
        <v>ZoneEntry-Rush</v>
      </c>
      <c r="AN874" t="str">
        <f t="shared" si="91"/>
        <v>Defensive</v>
      </c>
      <c r="BD874" s="23"/>
      <c r="BF874" s="21"/>
    </row>
    <row r="875" spans="1:58" x14ac:dyDescent="0.2">
      <c r="A875">
        <v>444</v>
      </c>
      <c r="J875">
        <v>74</v>
      </c>
      <c r="U875" s="8">
        <f t="shared" si="87"/>
        <v>1</v>
      </c>
      <c r="AD875" t="str">
        <f t="shared" si="86"/>
        <v>o</v>
      </c>
      <c r="AE875" t="str">
        <f t="shared" si="90"/>
        <v>Zone_Entry_Exit</v>
      </c>
      <c r="AF875" t="str">
        <f t="shared" si="88"/>
        <v>Zone_Entry</v>
      </c>
      <c r="AG875" t="str">
        <f t="shared" si="89"/>
        <v>ZoneEntry-Rush</v>
      </c>
      <c r="AN875" t="str">
        <f t="shared" si="91"/>
        <v>Defensive</v>
      </c>
      <c r="BD875" s="23"/>
      <c r="BF875" s="21"/>
    </row>
    <row r="876" spans="1:58" x14ac:dyDescent="0.2">
      <c r="A876">
        <v>445</v>
      </c>
      <c r="E876" s="5" t="s">
        <v>887</v>
      </c>
      <c r="F876" s="5" t="s">
        <v>864</v>
      </c>
      <c r="G876" s="5" t="s">
        <v>887</v>
      </c>
      <c r="H876" s="7" t="s">
        <v>898</v>
      </c>
      <c r="I876" t="s">
        <v>835</v>
      </c>
      <c r="J876">
        <v>42</v>
      </c>
      <c r="K876">
        <v>1</v>
      </c>
      <c r="L876" t="s">
        <v>401</v>
      </c>
      <c r="M876" t="s">
        <v>15</v>
      </c>
      <c r="U876" s="8">
        <f t="shared" si="87"/>
        <v>1</v>
      </c>
      <c r="AD876" t="str">
        <f t="shared" si="86"/>
        <v>e</v>
      </c>
      <c r="AE876" t="str">
        <f t="shared" si="90"/>
        <v>Possession</v>
      </c>
      <c r="AF876" t="str">
        <f t="shared" si="88"/>
        <v/>
      </c>
      <c r="AG876" t="str">
        <f t="shared" si="89"/>
        <v/>
      </c>
      <c r="AN876" t="str">
        <f t="shared" si="91"/>
        <v>Offensive</v>
      </c>
      <c r="BD876" s="23"/>
      <c r="BF876" s="21"/>
    </row>
    <row r="877" spans="1:58" x14ac:dyDescent="0.2">
      <c r="A877">
        <v>446</v>
      </c>
      <c r="E877" s="5" t="s">
        <v>887</v>
      </c>
      <c r="F877" s="5" t="s">
        <v>898</v>
      </c>
      <c r="I877" t="s">
        <v>835</v>
      </c>
      <c r="J877">
        <v>42</v>
      </c>
      <c r="K877">
        <v>1</v>
      </c>
      <c r="L877" t="s">
        <v>401</v>
      </c>
      <c r="M877" t="s">
        <v>10</v>
      </c>
      <c r="N877" t="s">
        <v>190</v>
      </c>
      <c r="O877" t="s">
        <v>73</v>
      </c>
      <c r="P877" t="s">
        <v>688</v>
      </c>
      <c r="U877" s="8">
        <f t="shared" si="87"/>
        <v>1</v>
      </c>
      <c r="AD877" t="str">
        <f t="shared" si="86"/>
        <v>e</v>
      </c>
      <c r="AE877" t="str">
        <f t="shared" si="90"/>
        <v>Turnover</v>
      </c>
      <c r="AF877" t="str">
        <f t="shared" si="88"/>
        <v>Turnover_Giveaway</v>
      </c>
      <c r="AG877" t="str">
        <f t="shared" si="89"/>
        <v>Giveaway-Misplayed</v>
      </c>
      <c r="AN877" t="str">
        <f t="shared" si="91"/>
        <v>Offensive</v>
      </c>
      <c r="BD877" s="23"/>
      <c r="BF877" s="21"/>
    </row>
    <row r="878" spans="1:58" x14ac:dyDescent="0.2">
      <c r="A878">
        <v>447</v>
      </c>
      <c r="E878" s="5" t="s">
        <v>887</v>
      </c>
      <c r="F878" s="5" t="s">
        <v>898</v>
      </c>
      <c r="G878" s="5" t="s">
        <v>887</v>
      </c>
      <c r="H878" s="7" t="s">
        <v>891</v>
      </c>
      <c r="I878" t="s">
        <v>840</v>
      </c>
      <c r="J878">
        <v>46</v>
      </c>
      <c r="K878">
        <v>1</v>
      </c>
      <c r="L878" t="s">
        <v>845</v>
      </c>
      <c r="M878" t="s">
        <v>15</v>
      </c>
      <c r="N878" t="s">
        <v>680</v>
      </c>
      <c r="P878" t="s">
        <v>688</v>
      </c>
      <c r="Q878" t="s">
        <v>694</v>
      </c>
      <c r="S878" t="s">
        <v>688</v>
      </c>
      <c r="U878" s="8">
        <f t="shared" si="87"/>
        <v>1</v>
      </c>
      <c r="AD878" t="str">
        <f t="shared" si="86"/>
        <v>e</v>
      </c>
      <c r="AE878" t="str">
        <f t="shared" si="90"/>
        <v>Possession</v>
      </c>
      <c r="AF878" t="str">
        <f t="shared" si="88"/>
        <v>PuckRetrieval</v>
      </c>
      <c r="AG878" t="str">
        <f t="shared" si="89"/>
        <v/>
      </c>
      <c r="AN878" t="str">
        <f t="shared" si="91"/>
        <v>Offensive</v>
      </c>
      <c r="BD878" s="23"/>
      <c r="BF878" s="21"/>
    </row>
    <row r="879" spans="1:58" x14ac:dyDescent="0.2">
      <c r="A879">
        <v>448</v>
      </c>
      <c r="B879">
        <v>74</v>
      </c>
      <c r="E879" s="5" t="s">
        <v>887</v>
      </c>
      <c r="F879" s="5" t="s">
        <v>891</v>
      </c>
      <c r="I879" t="s">
        <v>840</v>
      </c>
      <c r="J879">
        <v>46</v>
      </c>
      <c r="K879">
        <v>1</v>
      </c>
      <c r="L879" t="s">
        <v>845</v>
      </c>
      <c r="M879" t="s">
        <v>8</v>
      </c>
      <c r="N879" t="s">
        <v>199</v>
      </c>
      <c r="O879" t="s">
        <v>67</v>
      </c>
      <c r="P879" t="s">
        <v>688</v>
      </c>
      <c r="Q879" t="s">
        <v>706</v>
      </c>
      <c r="S879" t="s">
        <v>688</v>
      </c>
      <c r="U879" s="8">
        <f t="shared" si="87"/>
        <v>1</v>
      </c>
      <c r="AD879" t="str">
        <f t="shared" si="86"/>
        <v>e</v>
      </c>
      <c r="AE879" t="str">
        <f t="shared" si="90"/>
        <v>Pass</v>
      </c>
      <c r="AF879" t="str">
        <f t="shared" si="88"/>
        <v>Pass_Missed</v>
      </c>
      <c r="AG879" t="str">
        <f t="shared" si="89"/>
        <v>Pass-Stretch</v>
      </c>
      <c r="AN879" t="str">
        <f t="shared" si="91"/>
        <v>Offensive</v>
      </c>
      <c r="BD879" s="23"/>
      <c r="BF879" s="21"/>
    </row>
    <row r="880" spans="1:58" x14ac:dyDescent="0.2">
      <c r="A880">
        <v>448</v>
      </c>
      <c r="B880">
        <v>74</v>
      </c>
      <c r="J880">
        <v>92</v>
      </c>
      <c r="K880">
        <v>1</v>
      </c>
      <c r="U880" s="8">
        <f t="shared" si="87"/>
        <v>1</v>
      </c>
      <c r="AD880" t="str">
        <f t="shared" si="86"/>
        <v>e</v>
      </c>
      <c r="AE880" t="str">
        <f t="shared" si="90"/>
        <v>Pass</v>
      </c>
      <c r="AF880" t="str">
        <f t="shared" si="88"/>
        <v>Pass_Missed</v>
      </c>
      <c r="AG880" t="str">
        <f t="shared" si="89"/>
        <v>Pass-Stretch</v>
      </c>
      <c r="AN880" t="str">
        <f t="shared" si="91"/>
        <v>Offensive</v>
      </c>
      <c r="BD880" s="23"/>
      <c r="BF880" s="21"/>
    </row>
    <row r="881" spans="1:58" x14ac:dyDescent="0.2">
      <c r="A881">
        <v>449</v>
      </c>
      <c r="B881">
        <v>74</v>
      </c>
      <c r="E881" s="5" t="s">
        <v>887</v>
      </c>
      <c r="F881" s="5" t="s">
        <v>891</v>
      </c>
      <c r="I881" t="s">
        <v>840</v>
      </c>
      <c r="J881">
        <v>46</v>
      </c>
      <c r="K881">
        <v>1</v>
      </c>
      <c r="L881" t="s">
        <v>845</v>
      </c>
      <c r="M881" t="s">
        <v>257</v>
      </c>
      <c r="N881" t="s">
        <v>201</v>
      </c>
      <c r="O881" t="s">
        <v>409</v>
      </c>
      <c r="P881" t="s">
        <v>688</v>
      </c>
      <c r="Q881" t="s">
        <v>706</v>
      </c>
      <c r="S881" t="s">
        <v>688</v>
      </c>
      <c r="U881" s="8">
        <f t="shared" si="87"/>
        <v>1</v>
      </c>
      <c r="AD881" t="str">
        <f t="shared" si="86"/>
        <v>e</v>
      </c>
      <c r="AE881" t="str">
        <f t="shared" si="90"/>
        <v>Zone_Entry_Exit</v>
      </c>
      <c r="AF881" t="str">
        <f t="shared" si="88"/>
        <v>Zone_Exit</v>
      </c>
      <c r="AG881" t="str">
        <f t="shared" si="89"/>
        <v>ZoneExit-PassMiss/Misplay</v>
      </c>
      <c r="AN881" t="str">
        <f t="shared" si="91"/>
        <v>Offensive</v>
      </c>
      <c r="BD881" s="23"/>
      <c r="BF881" s="21"/>
    </row>
    <row r="882" spans="1:58" x14ac:dyDescent="0.2">
      <c r="A882">
        <v>449</v>
      </c>
      <c r="B882">
        <v>74</v>
      </c>
      <c r="J882">
        <v>92</v>
      </c>
      <c r="K882">
        <v>1</v>
      </c>
      <c r="U882" s="8">
        <f t="shared" si="87"/>
        <v>1</v>
      </c>
      <c r="AD882" t="str">
        <f t="shared" si="86"/>
        <v>e</v>
      </c>
      <c r="AE882" t="str">
        <f t="shared" si="90"/>
        <v>Zone_Entry_Exit</v>
      </c>
      <c r="AF882" t="str">
        <f t="shared" si="88"/>
        <v>Zone_Exit</v>
      </c>
      <c r="AG882" t="str">
        <f t="shared" si="89"/>
        <v>ZoneExit-PassMiss/Misplay</v>
      </c>
      <c r="AN882" t="str">
        <f t="shared" si="91"/>
        <v>Offensive</v>
      </c>
      <c r="BD882" s="23"/>
      <c r="BF882" s="21"/>
    </row>
    <row r="883" spans="1:58" x14ac:dyDescent="0.2">
      <c r="A883">
        <v>450</v>
      </c>
      <c r="B883">
        <v>74</v>
      </c>
      <c r="E883" s="5" t="s">
        <v>887</v>
      </c>
      <c r="F883" s="5" t="s">
        <v>891</v>
      </c>
      <c r="I883" t="s">
        <v>840</v>
      </c>
      <c r="J883">
        <v>46</v>
      </c>
      <c r="K883">
        <v>1</v>
      </c>
      <c r="L883" t="s">
        <v>845</v>
      </c>
      <c r="M883" t="s">
        <v>10</v>
      </c>
      <c r="N883" t="s">
        <v>190</v>
      </c>
      <c r="O883" t="s">
        <v>76</v>
      </c>
      <c r="P883" t="s">
        <v>688</v>
      </c>
      <c r="Q883" t="s">
        <v>706</v>
      </c>
      <c r="S883" t="s">
        <v>688</v>
      </c>
      <c r="U883" s="8">
        <f t="shared" si="87"/>
        <v>1</v>
      </c>
      <c r="AD883" t="str">
        <f t="shared" si="86"/>
        <v>e</v>
      </c>
      <c r="AE883" t="str">
        <f t="shared" si="90"/>
        <v>Turnover</v>
      </c>
      <c r="AF883" t="str">
        <f t="shared" si="88"/>
        <v>Turnover_Giveaway</v>
      </c>
      <c r="AG883" t="str">
        <f t="shared" si="89"/>
        <v>Giveaway-PassMissed</v>
      </c>
      <c r="AN883" t="str">
        <f t="shared" si="91"/>
        <v>Offensive</v>
      </c>
      <c r="BD883" s="23"/>
      <c r="BF883" s="21"/>
    </row>
    <row r="884" spans="1:58" x14ac:dyDescent="0.2">
      <c r="A884">
        <v>450</v>
      </c>
      <c r="B884">
        <v>74</v>
      </c>
      <c r="J884">
        <v>92</v>
      </c>
      <c r="K884">
        <v>1</v>
      </c>
      <c r="U884" s="8">
        <f t="shared" si="87"/>
        <v>1</v>
      </c>
      <c r="AD884" t="str">
        <f t="shared" si="86"/>
        <v>e</v>
      </c>
      <c r="AE884" t="str">
        <f t="shared" si="90"/>
        <v>Turnover</v>
      </c>
      <c r="AF884" t="str">
        <f t="shared" si="88"/>
        <v>Turnover_Giveaway</v>
      </c>
      <c r="AG884" t="str">
        <f t="shared" si="89"/>
        <v>Giveaway-PassMissed</v>
      </c>
      <c r="AN884" t="str">
        <f t="shared" si="91"/>
        <v>Offensive</v>
      </c>
      <c r="BD884" s="23"/>
      <c r="BF884" s="21"/>
    </row>
    <row r="885" spans="1:58" x14ac:dyDescent="0.2">
      <c r="A885">
        <v>451</v>
      </c>
      <c r="E885" s="5" t="s">
        <v>887</v>
      </c>
      <c r="F885" s="5" t="s">
        <v>867</v>
      </c>
      <c r="G885" s="5" t="s">
        <v>887</v>
      </c>
      <c r="H885" s="7" t="s">
        <v>902</v>
      </c>
      <c r="I885" t="s">
        <v>835</v>
      </c>
      <c r="J885">
        <v>52</v>
      </c>
      <c r="K885">
        <v>1</v>
      </c>
      <c r="L885" t="s">
        <v>839</v>
      </c>
      <c r="M885" t="s">
        <v>15</v>
      </c>
      <c r="N885" t="s">
        <v>680</v>
      </c>
      <c r="P885" t="s">
        <v>688</v>
      </c>
      <c r="Q885" t="s">
        <v>694</v>
      </c>
      <c r="S885" t="s">
        <v>688</v>
      </c>
      <c r="U885" s="8">
        <f t="shared" si="87"/>
        <v>1</v>
      </c>
      <c r="AD885" t="str">
        <f t="shared" si="86"/>
        <v>e</v>
      </c>
      <c r="AE885" t="str">
        <f t="shared" si="90"/>
        <v>Possession</v>
      </c>
      <c r="AF885" t="str">
        <f t="shared" si="88"/>
        <v>PuckRetrieval</v>
      </c>
      <c r="AG885" t="str">
        <f t="shared" si="89"/>
        <v/>
      </c>
      <c r="AN885" t="str">
        <f t="shared" si="91"/>
        <v>Offensive</v>
      </c>
      <c r="BD885" s="23"/>
      <c r="BF885" s="21"/>
    </row>
    <row r="886" spans="1:58" x14ac:dyDescent="0.2">
      <c r="A886">
        <v>452</v>
      </c>
      <c r="B886">
        <v>75</v>
      </c>
      <c r="E886" s="5" t="s">
        <v>887</v>
      </c>
      <c r="F886" s="5" t="s">
        <v>902</v>
      </c>
      <c r="I886" t="s">
        <v>835</v>
      </c>
      <c r="J886">
        <v>52</v>
      </c>
      <c r="K886">
        <v>1</v>
      </c>
      <c r="L886" t="s">
        <v>839</v>
      </c>
      <c r="M886" t="s">
        <v>257</v>
      </c>
      <c r="N886" t="s">
        <v>191</v>
      </c>
      <c r="O886" t="s">
        <v>89</v>
      </c>
      <c r="P886" t="s">
        <v>688</v>
      </c>
      <c r="U886" s="8">
        <f t="shared" si="87"/>
        <v>1</v>
      </c>
      <c r="AD886" t="str">
        <f t="shared" si="86"/>
        <v>e</v>
      </c>
      <c r="AE886" t="str">
        <f t="shared" si="90"/>
        <v>Zone_Entry_Exit</v>
      </c>
      <c r="AF886" t="str">
        <f t="shared" si="88"/>
        <v>Zone_Entry</v>
      </c>
      <c r="AG886" t="str">
        <f t="shared" si="89"/>
        <v>ZoneEntry-DumpIn</v>
      </c>
      <c r="AN886" t="str">
        <f t="shared" si="91"/>
        <v>Offensive</v>
      </c>
      <c r="BD886" s="23"/>
      <c r="BF886" s="21"/>
    </row>
    <row r="887" spans="1:58" x14ac:dyDescent="0.2">
      <c r="A887">
        <v>453</v>
      </c>
      <c r="B887">
        <v>75</v>
      </c>
      <c r="E887" s="5" t="s">
        <v>887</v>
      </c>
      <c r="F887" s="5" t="s">
        <v>902</v>
      </c>
      <c r="I887" t="s">
        <v>835</v>
      </c>
      <c r="J887">
        <v>52</v>
      </c>
      <c r="K887">
        <v>1</v>
      </c>
      <c r="L887" t="s">
        <v>839</v>
      </c>
      <c r="M887" t="s">
        <v>10</v>
      </c>
      <c r="N887" t="s">
        <v>190</v>
      </c>
      <c r="O887" t="s">
        <v>387</v>
      </c>
      <c r="P887" t="s">
        <v>688</v>
      </c>
      <c r="U887" s="8">
        <f t="shared" si="87"/>
        <v>1</v>
      </c>
      <c r="AD887" t="str">
        <f t="shared" si="86"/>
        <v>e</v>
      </c>
      <c r="AE887" t="str">
        <f t="shared" si="90"/>
        <v>Turnover</v>
      </c>
      <c r="AF887" t="str">
        <f t="shared" si="88"/>
        <v>Turnover_Giveaway</v>
      </c>
      <c r="AG887" t="str">
        <f t="shared" si="89"/>
        <v>Giveaway-ZoneClear/Dump</v>
      </c>
      <c r="AN887" t="str">
        <f t="shared" si="91"/>
        <v>Offensive</v>
      </c>
      <c r="BD887" s="23"/>
      <c r="BF887" s="21"/>
    </row>
    <row r="888" spans="1:58" x14ac:dyDescent="0.2">
      <c r="A888">
        <v>454</v>
      </c>
      <c r="E888" s="5" t="s">
        <v>887</v>
      </c>
      <c r="F888" s="5" t="s">
        <v>870</v>
      </c>
      <c r="G888" s="5" t="s">
        <v>887</v>
      </c>
      <c r="H888" s="7" t="s">
        <v>446</v>
      </c>
      <c r="I888" t="s">
        <v>840</v>
      </c>
      <c r="J888">
        <v>74</v>
      </c>
      <c r="K888">
        <v>1</v>
      </c>
      <c r="L888" t="s">
        <v>845</v>
      </c>
      <c r="M888" t="s">
        <v>15</v>
      </c>
      <c r="N888" t="s">
        <v>680</v>
      </c>
      <c r="P888" t="s">
        <v>689</v>
      </c>
      <c r="Q888" t="s">
        <v>698</v>
      </c>
      <c r="S888" t="s">
        <v>689</v>
      </c>
      <c r="U888" s="8">
        <f t="shared" si="87"/>
        <v>1</v>
      </c>
      <c r="AD888" t="str">
        <f t="shared" si="86"/>
        <v>e</v>
      </c>
      <c r="AE888" t="str">
        <f t="shared" si="90"/>
        <v>Possession</v>
      </c>
      <c r="AF888" t="str">
        <f t="shared" si="88"/>
        <v>PuckRetrieval</v>
      </c>
      <c r="AG888" t="str">
        <f t="shared" si="89"/>
        <v/>
      </c>
      <c r="AN888" t="str">
        <f t="shared" si="91"/>
        <v>Offensive</v>
      </c>
      <c r="BD888" s="23"/>
      <c r="BF888" s="21"/>
    </row>
    <row r="889" spans="1:58" x14ac:dyDescent="0.2">
      <c r="A889">
        <v>455</v>
      </c>
      <c r="E889" s="5" t="s">
        <v>887</v>
      </c>
      <c r="F889" s="5" t="s">
        <v>446</v>
      </c>
      <c r="I889" t="s">
        <v>840</v>
      </c>
      <c r="J889">
        <v>74</v>
      </c>
      <c r="K889">
        <v>1</v>
      </c>
      <c r="L889" t="s">
        <v>845</v>
      </c>
      <c r="M889" t="s">
        <v>8</v>
      </c>
      <c r="N889" t="s">
        <v>189</v>
      </c>
      <c r="O889" t="s">
        <v>68</v>
      </c>
      <c r="P889" t="s">
        <v>689</v>
      </c>
      <c r="Q889" t="s">
        <v>749</v>
      </c>
      <c r="S889" t="s">
        <v>689</v>
      </c>
      <c r="U889" s="8">
        <f t="shared" si="87"/>
        <v>1</v>
      </c>
      <c r="AD889" t="str">
        <f t="shared" si="86"/>
        <v>e</v>
      </c>
      <c r="AE889" t="str">
        <f t="shared" si="90"/>
        <v>Pass</v>
      </c>
      <c r="AF889" t="str">
        <f t="shared" si="88"/>
        <v>Pass_Completed</v>
      </c>
      <c r="AG889" t="str">
        <f t="shared" si="89"/>
        <v>Pass-Rim/Wrap</v>
      </c>
      <c r="AN889" t="str">
        <f t="shared" si="91"/>
        <v>Offensive</v>
      </c>
      <c r="BD889" s="23"/>
      <c r="BF889" s="21"/>
    </row>
    <row r="890" spans="1:58" x14ac:dyDescent="0.2">
      <c r="A890">
        <v>455</v>
      </c>
      <c r="J890">
        <v>13</v>
      </c>
      <c r="K890">
        <v>1</v>
      </c>
      <c r="U890" s="8">
        <f t="shared" si="87"/>
        <v>1</v>
      </c>
      <c r="AD890" t="str">
        <f t="shared" si="86"/>
        <v>e</v>
      </c>
      <c r="AE890" t="str">
        <f t="shared" si="90"/>
        <v>Pass</v>
      </c>
      <c r="AF890" t="str">
        <f t="shared" si="88"/>
        <v>Pass_Completed</v>
      </c>
      <c r="AG890" t="str">
        <f t="shared" si="89"/>
        <v>Pass-Rim/Wrap</v>
      </c>
      <c r="AN890" t="str">
        <f t="shared" si="91"/>
        <v>Offensive</v>
      </c>
      <c r="BD890" s="23"/>
      <c r="BF890" s="21"/>
    </row>
    <row r="891" spans="1:58" x14ac:dyDescent="0.2">
      <c r="A891">
        <v>456</v>
      </c>
      <c r="E891" s="5" t="s">
        <v>910</v>
      </c>
      <c r="F891" s="5" t="s">
        <v>837</v>
      </c>
      <c r="G891" s="5" t="s">
        <v>910</v>
      </c>
      <c r="H891" s="7" t="s">
        <v>895</v>
      </c>
      <c r="I891" t="s">
        <v>840</v>
      </c>
      <c r="J891">
        <v>13</v>
      </c>
      <c r="K891">
        <v>1</v>
      </c>
      <c r="L891" t="s">
        <v>845</v>
      </c>
      <c r="M891" t="s">
        <v>15</v>
      </c>
      <c r="N891" t="s">
        <v>667</v>
      </c>
      <c r="U891" s="8">
        <f t="shared" si="87"/>
        <v>1</v>
      </c>
      <c r="AD891" t="str">
        <f t="shared" si="86"/>
        <v>e</v>
      </c>
      <c r="AE891" t="str">
        <f t="shared" si="90"/>
        <v>Possession</v>
      </c>
      <c r="AF891" t="str">
        <f t="shared" si="88"/>
        <v>Regroup</v>
      </c>
      <c r="AG891" t="str">
        <f t="shared" si="89"/>
        <v/>
      </c>
      <c r="AN891" t="str">
        <f t="shared" si="91"/>
        <v>Offensive</v>
      </c>
      <c r="BD891" s="23"/>
      <c r="BF891" s="21"/>
    </row>
    <row r="892" spans="1:58" x14ac:dyDescent="0.2">
      <c r="A892">
        <v>457</v>
      </c>
      <c r="B892">
        <v>76</v>
      </c>
      <c r="E892" s="5" t="s">
        <v>910</v>
      </c>
      <c r="F892" s="5" t="s">
        <v>841</v>
      </c>
      <c r="I892" t="s">
        <v>840</v>
      </c>
      <c r="J892">
        <v>13</v>
      </c>
      <c r="K892">
        <v>1</v>
      </c>
      <c r="L892" t="s">
        <v>845</v>
      </c>
      <c r="M892" t="s">
        <v>13</v>
      </c>
      <c r="N892" t="s">
        <v>204</v>
      </c>
      <c r="O892" t="s">
        <v>108</v>
      </c>
      <c r="U892" s="8">
        <f t="shared" si="87"/>
        <v>1</v>
      </c>
      <c r="AD892" t="str">
        <f t="shared" si="86"/>
        <v>e</v>
      </c>
      <c r="AE892" t="str">
        <f t="shared" si="90"/>
        <v>Stoppage</v>
      </c>
      <c r="AF892" t="str">
        <f t="shared" si="88"/>
        <v>Stoppage_Play</v>
      </c>
      <c r="AG892" t="str">
        <f t="shared" si="89"/>
        <v>Stoppage-Icing</v>
      </c>
      <c r="AN892" t="str">
        <f t="shared" si="91"/>
        <v/>
      </c>
      <c r="BD892" s="23"/>
      <c r="BF892" s="21"/>
    </row>
    <row r="893" spans="1:58" x14ac:dyDescent="0.2">
      <c r="A893">
        <v>458</v>
      </c>
      <c r="B893">
        <v>76</v>
      </c>
      <c r="E893" s="5" t="s">
        <v>910</v>
      </c>
      <c r="F893" s="5" t="s">
        <v>841</v>
      </c>
      <c r="G893" s="5" t="s">
        <v>910</v>
      </c>
      <c r="H893" s="7" t="s">
        <v>856</v>
      </c>
      <c r="I893" t="s">
        <v>840</v>
      </c>
      <c r="J893">
        <v>13</v>
      </c>
      <c r="K893">
        <v>1</v>
      </c>
      <c r="L893" t="s">
        <v>845</v>
      </c>
      <c r="M893" t="s">
        <v>262</v>
      </c>
      <c r="U893" s="8">
        <f t="shared" si="87"/>
        <v>1</v>
      </c>
      <c r="AD893" t="str">
        <f t="shared" si="86"/>
        <v>e</v>
      </c>
      <c r="AE893" t="str">
        <f t="shared" si="90"/>
        <v>DeadIce</v>
      </c>
      <c r="AF893" t="str">
        <f t="shared" si="88"/>
        <v/>
      </c>
      <c r="AG893" t="str">
        <f t="shared" si="89"/>
        <v/>
      </c>
      <c r="AN893" t="str">
        <f t="shared" si="91"/>
        <v/>
      </c>
      <c r="BD893" s="23"/>
      <c r="BF893" s="21"/>
    </row>
    <row r="894" spans="1:58" x14ac:dyDescent="0.2">
      <c r="A894">
        <v>459</v>
      </c>
      <c r="E894" s="5" t="s">
        <v>910</v>
      </c>
      <c r="F894" s="5" t="s">
        <v>856</v>
      </c>
      <c r="I894" t="s">
        <v>840</v>
      </c>
      <c r="J894">
        <v>13</v>
      </c>
      <c r="K894">
        <v>1</v>
      </c>
      <c r="L894" t="s">
        <v>845</v>
      </c>
      <c r="M894" t="s">
        <v>6</v>
      </c>
      <c r="N894" t="s">
        <v>255</v>
      </c>
      <c r="U894" s="8">
        <f t="shared" si="87"/>
        <v>1</v>
      </c>
      <c r="AD894" t="str">
        <f t="shared" si="86"/>
        <v>e</v>
      </c>
      <c r="AE894" t="str">
        <f t="shared" si="90"/>
        <v>Faceoff</v>
      </c>
      <c r="AF894" t="str">
        <f t="shared" si="88"/>
        <v>Faceoff_AfterStoppage</v>
      </c>
      <c r="AG894" t="str">
        <f t="shared" si="89"/>
        <v/>
      </c>
      <c r="AN894" t="str">
        <f t="shared" si="91"/>
        <v>Offensive</v>
      </c>
      <c r="BD894" s="23"/>
      <c r="BF894" s="21"/>
    </row>
    <row r="895" spans="1:58" x14ac:dyDescent="0.2">
      <c r="A895">
        <v>459</v>
      </c>
      <c r="J895">
        <v>17</v>
      </c>
      <c r="K895">
        <v>1</v>
      </c>
      <c r="U895" s="8">
        <f t="shared" si="87"/>
        <v>1</v>
      </c>
      <c r="AD895" t="str">
        <f t="shared" si="86"/>
        <v>e</v>
      </c>
      <c r="AE895" t="str">
        <f t="shared" si="90"/>
        <v>Faceoff</v>
      </c>
      <c r="AF895" t="str">
        <f t="shared" si="88"/>
        <v>Faceoff_AfterStoppage</v>
      </c>
      <c r="AG895" t="str">
        <f t="shared" si="89"/>
        <v/>
      </c>
      <c r="AN895" t="str">
        <f t="shared" si="91"/>
        <v>Offensive</v>
      </c>
      <c r="BD895" s="23"/>
      <c r="BF895" s="21"/>
    </row>
    <row r="896" spans="1:58" x14ac:dyDescent="0.2">
      <c r="A896">
        <v>459</v>
      </c>
      <c r="J896">
        <v>42</v>
      </c>
      <c r="U896" s="8">
        <f t="shared" si="87"/>
        <v>1</v>
      </c>
      <c r="AD896" t="str">
        <f t="shared" si="86"/>
        <v>o</v>
      </c>
      <c r="AE896" t="str">
        <f t="shared" si="90"/>
        <v>Faceoff</v>
      </c>
      <c r="AF896" t="str">
        <f t="shared" si="88"/>
        <v>Faceoff_AfterStoppage</v>
      </c>
      <c r="AG896" t="str">
        <f t="shared" si="89"/>
        <v/>
      </c>
      <c r="AN896" t="str">
        <f t="shared" si="91"/>
        <v>Defensive</v>
      </c>
      <c r="BD896" s="23"/>
      <c r="BF896" s="21"/>
    </row>
    <row r="897" spans="1:58" x14ac:dyDescent="0.2">
      <c r="A897">
        <v>460</v>
      </c>
      <c r="E897" s="5" t="s">
        <v>910</v>
      </c>
      <c r="F897" s="5" t="s">
        <v>883</v>
      </c>
      <c r="G897" s="5" t="s">
        <v>910</v>
      </c>
      <c r="H897" s="7" t="s">
        <v>859</v>
      </c>
      <c r="I897" t="s">
        <v>840</v>
      </c>
      <c r="J897">
        <v>17</v>
      </c>
      <c r="K897">
        <v>1</v>
      </c>
      <c r="L897" t="s">
        <v>845</v>
      </c>
      <c r="M897" t="s">
        <v>15</v>
      </c>
      <c r="N897" t="s">
        <v>667</v>
      </c>
      <c r="U897" s="8">
        <f t="shared" si="87"/>
        <v>1</v>
      </c>
      <c r="AD897" t="str">
        <f t="shared" si="86"/>
        <v>e</v>
      </c>
      <c r="AE897" t="str">
        <f t="shared" si="90"/>
        <v>Possession</v>
      </c>
      <c r="AF897" t="str">
        <f t="shared" si="88"/>
        <v>Regroup</v>
      </c>
      <c r="AG897" t="str">
        <f t="shared" si="89"/>
        <v/>
      </c>
      <c r="AN897" t="str">
        <f t="shared" si="91"/>
        <v>Offensive</v>
      </c>
      <c r="BD897" s="23"/>
      <c r="BF897" s="21"/>
    </row>
    <row r="898" spans="1:58" x14ac:dyDescent="0.2">
      <c r="A898">
        <v>461</v>
      </c>
      <c r="B898">
        <v>77</v>
      </c>
      <c r="E898" s="5" t="s">
        <v>910</v>
      </c>
      <c r="F898" s="5" t="s">
        <v>859</v>
      </c>
      <c r="I898" t="s">
        <v>840</v>
      </c>
      <c r="J898">
        <v>17</v>
      </c>
      <c r="K898">
        <v>1</v>
      </c>
      <c r="L898" t="s">
        <v>845</v>
      </c>
      <c r="M898" t="s">
        <v>8</v>
      </c>
      <c r="N898" t="s">
        <v>209</v>
      </c>
      <c r="O898" t="s">
        <v>71</v>
      </c>
      <c r="P898" t="s">
        <v>688</v>
      </c>
      <c r="U898" s="8">
        <f t="shared" si="87"/>
        <v>1</v>
      </c>
      <c r="AD898" t="str">
        <f t="shared" ref="AD898:AD961" si="92">IF(K898="x","",IF(K898=1,"e","o"))</f>
        <v>e</v>
      </c>
      <c r="AE898" t="str">
        <f t="shared" si="90"/>
        <v>Pass</v>
      </c>
      <c r="AF898" t="str">
        <f t="shared" si="88"/>
        <v>Pass_Deflected</v>
      </c>
      <c r="AG898" t="str">
        <f t="shared" si="89"/>
        <v>Pass-Bank</v>
      </c>
      <c r="AN898" t="str">
        <f t="shared" si="91"/>
        <v>Offensive</v>
      </c>
      <c r="BD898" s="23"/>
      <c r="BF898" s="21"/>
    </row>
    <row r="899" spans="1:58" x14ac:dyDescent="0.2">
      <c r="A899">
        <v>461</v>
      </c>
      <c r="B899">
        <v>77</v>
      </c>
      <c r="J899">
        <v>5</v>
      </c>
      <c r="K899">
        <v>1</v>
      </c>
      <c r="U899" s="8">
        <f t="shared" ref="U899:U962" si="93">IF(M899="Intermission",U898+1,U898)</f>
        <v>1</v>
      </c>
      <c r="AD899" t="str">
        <f t="shared" si="92"/>
        <v>e</v>
      </c>
      <c r="AE899" t="str">
        <f t="shared" si="90"/>
        <v>Pass</v>
      </c>
      <c r="AF899" t="str">
        <f t="shared" ref="AF899:AF962" si="94">IF(N899&lt;&gt;"",N899,IF($A899=$A898,AF898,""))</f>
        <v>Pass_Deflected</v>
      </c>
      <c r="AG899" t="str">
        <f t="shared" ref="AG899:AG962" si="95">IF(O899&lt;&gt;"",O899,IF($A899=$A898,AG898,""))</f>
        <v>Pass-Bank</v>
      </c>
      <c r="AN899" t="str">
        <f t="shared" si="91"/>
        <v>Offensive</v>
      </c>
      <c r="BD899" s="23"/>
      <c r="BF899" s="21"/>
    </row>
    <row r="900" spans="1:58" x14ac:dyDescent="0.2">
      <c r="A900">
        <v>461</v>
      </c>
      <c r="B900">
        <v>77</v>
      </c>
      <c r="J900">
        <v>24</v>
      </c>
      <c r="Q900" t="s">
        <v>833</v>
      </c>
      <c r="S900" t="s">
        <v>689</v>
      </c>
      <c r="U900" s="8">
        <f t="shared" si="93"/>
        <v>1</v>
      </c>
      <c r="AD900" t="str">
        <f t="shared" si="92"/>
        <v>o</v>
      </c>
      <c r="AE900" t="str">
        <f t="shared" ref="AE900:AE963" si="96">IF(M900&lt;&gt;"",M900,IF($A900=$A899,AE899,""))</f>
        <v>Pass</v>
      </c>
      <c r="AF900" t="str">
        <f t="shared" si="94"/>
        <v>Pass_Deflected</v>
      </c>
      <c r="AG900" t="str">
        <f t="shared" si="95"/>
        <v>Pass-Bank</v>
      </c>
      <c r="AN900" t="str">
        <f t="shared" si="91"/>
        <v>Defensive</v>
      </c>
      <c r="BD900" s="23"/>
      <c r="BF900" s="21"/>
    </row>
    <row r="901" spans="1:58" x14ac:dyDescent="0.2">
      <c r="A901">
        <v>462</v>
      </c>
      <c r="B901">
        <v>77</v>
      </c>
      <c r="E901" s="5" t="s">
        <v>910</v>
      </c>
      <c r="F901" s="5" t="s">
        <v>859</v>
      </c>
      <c r="I901" t="s">
        <v>840</v>
      </c>
      <c r="J901">
        <v>17</v>
      </c>
      <c r="K901">
        <v>1</v>
      </c>
      <c r="L901" t="s">
        <v>845</v>
      </c>
      <c r="M901" t="s">
        <v>10</v>
      </c>
      <c r="N901" t="s">
        <v>190</v>
      </c>
      <c r="O901" t="s">
        <v>75</v>
      </c>
      <c r="P901" t="s">
        <v>688</v>
      </c>
      <c r="U901" s="8">
        <f t="shared" si="93"/>
        <v>1</v>
      </c>
      <c r="AD901" t="str">
        <f t="shared" si="92"/>
        <v>e</v>
      </c>
      <c r="AE901" t="str">
        <f t="shared" si="96"/>
        <v>Turnover</v>
      </c>
      <c r="AF901" t="str">
        <f t="shared" si="94"/>
        <v>Turnover_Giveaway</v>
      </c>
      <c r="AG901" t="str">
        <f t="shared" si="95"/>
        <v>Giveaway-PassIntercepted</v>
      </c>
      <c r="AN901" t="str">
        <f t="shared" si="91"/>
        <v>Offensive</v>
      </c>
      <c r="BD901" s="23"/>
      <c r="BF901" s="21"/>
    </row>
    <row r="902" spans="1:58" x14ac:dyDescent="0.2">
      <c r="A902">
        <v>462</v>
      </c>
      <c r="B902">
        <v>77</v>
      </c>
      <c r="J902">
        <v>5</v>
      </c>
      <c r="K902">
        <v>1</v>
      </c>
      <c r="U902" s="8">
        <f t="shared" si="93"/>
        <v>1</v>
      </c>
      <c r="AD902" t="str">
        <f t="shared" si="92"/>
        <v>e</v>
      </c>
      <c r="AE902" t="str">
        <f t="shared" si="96"/>
        <v>Turnover</v>
      </c>
      <c r="AF902" t="str">
        <f t="shared" si="94"/>
        <v>Turnover_Giveaway</v>
      </c>
      <c r="AG902" t="str">
        <f t="shared" si="95"/>
        <v>Giveaway-PassIntercepted</v>
      </c>
      <c r="AN902" t="str">
        <f t="shared" si="91"/>
        <v>Offensive</v>
      </c>
      <c r="BD902" s="23"/>
      <c r="BF902" s="21"/>
    </row>
    <row r="903" spans="1:58" x14ac:dyDescent="0.2">
      <c r="A903">
        <v>462</v>
      </c>
      <c r="B903">
        <v>77</v>
      </c>
      <c r="J903">
        <v>24</v>
      </c>
      <c r="Q903" t="s">
        <v>833</v>
      </c>
      <c r="S903" t="s">
        <v>689</v>
      </c>
      <c r="U903" s="8">
        <f t="shared" si="93"/>
        <v>1</v>
      </c>
      <c r="AD903" t="str">
        <f t="shared" si="92"/>
        <v>o</v>
      </c>
      <c r="AE903" t="str">
        <f t="shared" si="96"/>
        <v>Turnover</v>
      </c>
      <c r="AF903" t="str">
        <f t="shared" si="94"/>
        <v>Turnover_Giveaway</v>
      </c>
      <c r="AG903" t="str">
        <f t="shared" si="95"/>
        <v>Giveaway-PassIntercepted</v>
      </c>
      <c r="AN903" t="str">
        <f t="shared" si="91"/>
        <v>Defensive</v>
      </c>
      <c r="BD903" s="23"/>
      <c r="BF903" s="21"/>
    </row>
    <row r="904" spans="1:58" x14ac:dyDescent="0.2">
      <c r="A904">
        <v>463</v>
      </c>
      <c r="E904" s="5" t="s">
        <v>910</v>
      </c>
      <c r="F904" s="5" t="s">
        <v>862</v>
      </c>
      <c r="G904" s="5" t="s">
        <v>910</v>
      </c>
      <c r="H904" s="7" t="s">
        <v>871</v>
      </c>
      <c r="I904" t="s">
        <v>835</v>
      </c>
      <c r="J904">
        <v>42</v>
      </c>
      <c r="K904">
        <v>1</v>
      </c>
      <c r="L904" t="s">
        <v>401</v>
      </c>
      <c r="M904" t="s">
        <v>15</v>
      </c>
      <c r="N904" t="s">
        <v>680</v>
      </c>
      <c r="P904" t="s">
        <v>689</v>
      </c>
      <c r="Q904" t="s">
        <v>701</v>
      </c>
      <c r="R904" t="s">
        <v>721</v>
      </c>
      <c r="S904" t="s">
        <v>689</v>
      </c>
      <c r="T904">
        <v>1</v>
      </c>
      <c r="U904" s="8">
        <f t="shared" si="93"/>
        <v>1</v>
      </c>
      <c r="AD904" t="str">
        <f t="shared" si="92"/>
        <v>e</v>
      </c>
      <c r="AE904" t="str">
        <f t="shared" si="96"/>
        <v>Possession</v>
      </c>
      <c r="AF904" t="str">
        <f t="shared" si="94"/>
        <v>PuckRetrieval</v>
      </c>
      <c r="AG904" t="str">
        <f t="shared" si="95"/>
        <v/>
      </c>
      <c r="AN904" t="str">
        <f t="shared" si="91"/>
        <v>Offensive</v>
      </c>
      <c r="BD904" s="23"/>
      <c r="BF904" s="21"/>
    </row>
    <row r="905" spans="1:58" x14ac:dyDescent="0.2">
      <c r="A905">
        <v>463</v>
      </c>
      <c r="J905">
        <v>5</v>
      </c>
      <c r="Q905" t="s">
        <v>719</v>
      </c>
      <c r="S905" t="s">
        <v>688</v>
      </c>
      <c r="T905">
        <v>1</v>
      </c>
      <c r="U905" s="8">
        <f t="shared" si="93"/>
        <v>1</v>
      </c>
      <c r="AD905" t="str">
        <f t="shared" si="92"/>
        <v>o</v>
      </c>
      <c r="AE905" t="str">
        <f t="shared" si="96"/>
        <v>Possession</v>
      </c>
      <c r="AF905" t="str">
        <f t="shared" si="94"/>
        <v>PuckRetrieval</v>
      </c>
      <c r="AG905" t="str">
        <f t="shared" si="95"/>
        <v/>
      </c>
      <c r="AN905" t="str">
        <f t="shared" ref="AN905:AN968" si="97">IF(AND(AD905="e",OR(AE905="Save",AF905="Turnover_Takeaway",AF905="Play_Defensive")),"Defensive",IF(AND(AD905="o",OR(AE905="Save",AF905="Turnover_Takeaway",AF905="Play_Defensive")),"Offensive",IF(OR(AE905="Deadice",AE905="Stoppage",AE905="Intermission"),"",IF(AD905="e","Offensive",IF(AD905="o","Defensive","")))))</f>
        <v>Defensive</v>
      </c>
      <c r="BD905" s="23"/>
      <c r="BF905" s="21"/>
    </row>
    <row r="906" spans="1:58" x14ac:dyDescent="0.2">
      <c r="A906">
        <v>463</v>
      </c>
      <c r="J906">
        <v>13</v>
      </c>
      <c r="Q906" t="s">
        <v>719</v>
      </c>
      <c r="S906" t="s">
        <v>688</v>
      </c>
      <c r="T906">
        <v>1</v>
      </c>
      <c r="U906" s="8">
        <f t="shared" si="93"/>
        <v>1</v>
      </c>
      <c r="AD906" t="str">
        <f t="shared" si="92"/>
        <v>o</v>
      </c>
      <c r="AE906" t="str">
        <f t="shared" si="96"/>
        <v>Possession</v>
      </c>
      <c r="AF906" t="str">
        <f t="shared" si="94"/>
        <v>PuckRetrieval</v>
      </c>
      <c r="AG906" t="str">
        <f t="shared" si="95"/>
        <v/>
      </c>
      <c r="AN906" t="str">
        <f t="shared" si="97"/>
        <v>Defensive</v>
      </c>
      <c r="BD906" s="23"/>
      <c r="BF906" s="21"/>
    </row>
    <row r="907" spans="1:58" x14ac:dyDescent="0.2">
      <c r="A907">
        <v>464</v>
      </c>
      <c r="E907" s="5" t="s">
        <v>910</v>
      </c>
      <c r="F907" s="5" t="s">
        <v>871</v>
      </c>
      <c r="I907" t="s">
        <v>835</v>
      </c>
      <c r="J907">
        <v>42</v>
      </c>
      <c r="K907">
        <v>1</v>
      </c>
      <c r="L907" t="s">
        <v>401</v>
      </c>
      <c r="M907" t="s">
        <v>8</v>
      </c>
      <c r="N907" t="s">
        <v>199</v>
      </c>
      <c r="O907" t="s">
        <v>69</v>
      </c>
      <c r="P907" t="s">
        <v>688</v>
      </c>
      <c r="U907" s="8">
        <f t="shared" si="93"/>
        <v>1</v>
      </c>
      <c r="AD907" t="str">
        <f t="shared" si="92"/>
        <v>e</v>
      </c>
      <c r="AE907" t="str">
        <f t="shared" si="96"/>
        <v>Pass</v>
      </c>
      <c r="AF907" t="str">
        <f t="shared" si="94"/>
        <v>Pass_Missed</v>
      </c>
      <c r="AG907" t="str">
        <f t="shared" si="95"/>
        <v>Pass-Backhand</v>
      </c>
      <c r="AN907" t="str">
        <f t="shared" si="97"/>
        <v>Offensive</v>
      </c>
      <c r="BD907" s="23"/>
      <c r="BF907" s="21"/>
    </row>
    <row r="908" spans="1:58" x14ac:dyDescent="0.2">
      <c r="A908">
        <v>464</v>
      </c>
      <c r="J908">
        <v>24</v>
      </c>
      <c r="K908">
        <v>1</v>
      </c>
      <c r="U908" s="8">
        <f t="shared" si="93"/>
        <v>1</v>
      </c>
      <c r="AD908" t="str">
        <f t="shared" si="92"/>
        <v>e</v>
      </c>
      <c r="AE908" t="str">
        <f t="shared" si="96"/>
        <v>Pass</v>
      </c>
      <c r="AF908" t="str">
        <f t="shared" si="94"/>
        <v>Pass_Missed</v>
      </c>
      <c r="AG908" t="str">
        <f t="shared" si="95"/>
        <v>Pass-Backhand</v>
      </c>
      <c r="AN908" t="str">
        <f t="shared" si="97"/>
        <v>Offensive</v>
      </c>
      <c r="BD908" s="23"/>
      <c r="BF908" s="21"/>
    </row>
    <row r="909" spans="1:58" x14ac:dyDescent="0.2">
      <c r="A909">
        <v>465</v>
      </c>
      <c r="E909" s="5" t="s">
        <v>910</v>
      </c>
      <c r="F909" s="5" t="s">
        <v>898</v>
      </c>
      <c r="I909" t="s">
        <v>835</v>
      </c>
      <c r="J909">
        <v>24</v>
      </c>
      <c r="K909">
        <v>1</v>
      </c>
      <c r="L909" t="s">
        <v>401</v>
      </c>
      <c r="M909" t="s">
        <v>15</v>
      </c>
      <c r="N909" t="s">
        <v>681</v>
      </c>
      <c r="P909" t="s">
        <v>689</v>
      </c>
      <c r="Q909" t="s">
        <v>714</v>
      </c>
      <c r="S909" t="s">
        <v>689</v>
      </c>
      <c r="T909">
        <v>1</v>
      </c>
      <c r="U909" s="8">
        <f t="shared" si="93"/>
        <v>1</v>
      </c>
      <c r="AD909" t="str">
        <f t="shared" si="92"/>
        <v>e</v>
      </c>
      <c r="AE909" t="str">
        <f t="shared" si="96"/>
        <v>Possession</v>
      </c>
      <c r="AF909" t="str">
        <f t="shared" si="94"/>
        <v>PuckRecovery</v>
      </c>
      <c r="AG909" t="str">
        <f t="shared" si="95"/>
        <v/>
      </c>
      <c r="AN909" t="str">
        <f t="shared" si="97"/>
        <v>Offensive</v>
      </c>
      <c r="BD909" s="23"/>
      <c r="BF909" s="21"/>
    </row>
    <row r="910" spans="1:58" x14ac:dyDescent="0.2">
      <c r="A910">
        <v>465</v>
      </c>
      <c r="J910">
        <v>17</v>
      </c>
      <c r="T910">
        <v>1</v>
      </c>
      <c r="U910" s="8">
        <f t="shared" si="93"/>
        <v>1</v>
      </c>
      <c r="AD910" t="str">
        <f t="shared" si="92"/>
        <v>o</v>
      </c>
      <c r="AE910" t="str">
        <f t="shared" si="96"/>
        <v>Possession</v>
      </c>
      <c r="AF910" t="str">
        <f t="shared" si="94"/>
        <v>PuckRecovery</v>
      </c>
      <c r="AG910" t="str">
        <f t="shared" si="95"/>
        <v/>
      </c>
      <c r="AN910" t="str">
        <f t="shared" si="97"/>
        <v>Defensive</v>
      </c>
      <c r="BD910" s="23"/>
      <c r="BF910" s="21"/>
    </row>
    <row r="911" spans="1:58" x14ac:dyDescent="0.2">
      <c r="A911">
        <v>466</v>
      </c>
      <c r="E911" s="5" t="s">
        <v>910</v>
      </c>
      <c r="F911" s="5" t="s">
        <v>898</v>
      </c>
      <c r="I911" t="s">
        <v>835</v>
      </c>
      <c r="J911">
        <v>24</v>
      </c>
      <c r="K911">
        <v>1</v>
      </c>
      <c r="L911" t="s">
        <v>401</v>
      </c>
      <c r="M911" t="s">
        <v>8</v>
      </c>
      <c r="N911" t="s">
        <v>189</v>
      </c>
      <c r="O911" t="s">
        <v>68</v>
      </c>
      <c r="P911" t="s">
        <v>689</v>
      </c>
      <c r="Q911" t="s">
        <v>749</v>
      </c>
      <c r="S911" t="s">
        <v>689</v>
      </c>
      <c r="T911">
        <v>1</v>
      </c>
      <c r="U911" s="8">
        <f t="shared" si="93"/>
        <v>1</v>
      </c>
      <c r="AD911" t="str">
        <f t="shared" si="92"/>
        <v>e</v>
      </c>
      <c r="AE911" t="str">
        <f t="shared" si="96"/>
        <v>Pass</v>
      </c>
      <c r="AF911" t="str">
        <f t="shared" si="94"/>
        <v>Pass_Completed</v>
      </c>
      <c r="AG911" t="str">
        <f t="shared" si="95"/>
        <v>Pass-Rim/Wrap</v>
      </c>
      <c r="AN911" t="str">
        <f t="shared" si="97"/>
        <v>Offensive</v>
      </c>
      <c r="BD911" s="23"/>
      <c r="BF911" s="21"/>
    </row>
    <row r="912" spans="1:58" x14ac:dyDescent="0.2">
      <c r="A912">
        <v>466</v>
      </c>
      <c r="J912">
        <v>87</v>
      </c>
      <c r="K912">
        <v>1</v>
      </c>
      <c r="U912" s="8">
        <f t="shared" si="93"/>
        <v>1</v>
      </c>
      <c r="AD912" t="str">
        <f t="shared" si="92"/>
        <v>e</v>
      </c>
      <c r="AE912" t="str">
        <f t="shared" si="96"/>
        <v>Pass</v>
      </c>
      <c r="AF912" t="str">
        <f t="shared" si="94"/>
        <v>Pass_Completed</v>
      </c>
      <c r="AG912" t="str">
        <f t="shared" si="95"/>
        <v>Pass-Rim/Wrap</v>
      </c>
      <c r="AN912" t="str">
        <f t="shared" si="97"/>
        <v>Offensive</v>
      </c>
      <c r="BD912" s="23"/>
      <c r="BF912" s="21"/>
    </row>
    <row r="913" spans="1:58" x14ac:dyDescent="0.2">
      <c r="A913">
        <v>466</v>
      </c>
      <c r="J913">
        <v>17</v>
      </c>
      <c r="T913">
        <v>1</v>
      </c>
      <c r="U913" s="8">
        <f t="shared" si="93"/>
        <v>1</v>
      </c>
      <c r="AD913" t="str">
        <f t="shared" si="92"/>
        <v>o</v>
      </c>
      <c r="AE913" t="str">
        <f t="shared" si="96"/>
        <v>Pass</v>
      </c>
      <c r="AF913" t="str">
        <f t="shared" si="94"/>
        <v>Pass_Completed</v>
      </c>
      <c r="AG913" t="str">
        <f t="shared" si="95"/>
        <v>Pass-Rim/Wrap</v>
      </c>
      <c r="AN913" t="str">
        <f t="shared" si="97"/>
        <v>Defensive</v>
      </c>
      <c r="BD913" s="23"/>
      <c r="BF913" s="21"/>
    </row>
    <row r="914" spans="1:58" x14ac:dyDescent="0.2">
      <c r="A914">
        <v>467</v>
      </c>
      <c r="E914" s="5" t="s">
        <v>910</v>
      </c>
      <c r="F914" s="5" t="s">
        <v>866</v>
      </c>
      <c r="G914" s="5" t="s">
        <v>910</v>
      </c>
      <c r="H914" s="7" t="s">
        <v>867</v>
      </c>
      <c r="I914" t="s">
        <v>835</v>
      </c>
      <c r="J914">
        <v>87</v>
      </c>
      <c r="K914">
        <v>1</v>
      </c>
      <c r="L914" t="s">
        <v>401</v>
      </c>
      <c r="M914" t="s">
        <v>15</v>
      </c>
      <c r="Q914" t="s">
        <v>663</v>
      </c>
      <c r="S914" t="s">
        <v>689</v>
      </c>
      <c r="T914">
        <v>1</v>
      </c>
      <c r="U914" s="8">
        <f t="shared" si="93"/>
        <v>1</v>
      </c>
      <c r="AD914" t="str">
        <f t="shared" si="92"/>
        <v>e</v>
      </c>
      <c r="AE914" t="str">
        <f t="shared" si="96"/>
        <v>Possession</v>
      </c>
      <c r="AF914" t="str">
        <f t="shared" si="94"/>
        <v/>
      </c>
      <c r="AG914" t="str">
        <f t="shared" si="95"/>
        <v/>
      </c>
      <c r="AN914" t="str">
        <f t="shared" si="97"/>
        <v>Offensive</v>
      </c>
      <c r="BD914" s="23"/>
      <c r="BF914" s="21"/>
    </row>
    <row r="915" spans="1:58" x14ac:dyDescent="0.2">
      <c r="A915">
        <v>467</v>
      </c>
      <c r="J915">
        <v>74</v>
      </c>
      <c r="T915">
        <v>1</v>
      </c>
      <c r="U915" s="8">
        <f t="shared" si="93"/>
        <v>1</v>
      </c>
      <c r="AD915" t="str">
        <f t="shared" si="92"/>
        <v>o</v>
      </c>
      <c r="AE915" t="str">
        <f t="shared" si="96"/>
        <v>Possession</v>
      </c>
      <c r="AF915" t="str">
        <f t="shared" si="94"/>
        <v/>
      </c>
      <c r="AG915" t="str">
        <f t="shared" si="95"/>
        <v/>
      </c>
      <c r="AN915" t="str">
        <f t="shared" si="97"/>
        <v>Defensive</v>
      </c>
      <c r="BD915" s="23"/>
      <c r="BF915" s="21"/>
    </row>
    <row r="916" spans="1:58" x14ac:dyDescent="0.2">
      <c r="A916">
        <v>467</v>
      </c>
      <c r="J916">
        <v>71</v>
      </c>
      <c r="T916">
        <v>1</v>
      </c>
      <c r="U916" s="8">
        <f t="shared" si="93"/>
        <v>1</v>
      </c>
      <c r="AD916" t="str">
        <f t="shared" si="92"/>
        <v>o</v>
      </c>
      <c r="AE916" t="str">
        <f t="shared" si="96"/>
        <v>Possession</v>
      </c>
      <c r="AF916" t="str">
        <f t="shared" si="94"/>
        <v/>
      </c>
      <c r="AG916" t="str">
        <f t="shared" si="95"/>
        <v/>
      </c>
      <c r="AN916" t="str">
        <f t="shared" si="97"/>
        <v>Defensive</v>
      </c>
      <c r="BD916" s="23"/>
      <c r="BF916" s="21"/>
    </row>
    <row r="917" spans="1:58" x14ac:dyDescent="0.2">
      <c r="A917">
        <v>468</v>
      </c>
      <c r="E917" s="5" t="s">
        <v>910</v>
      </c>
      <c r="F917" s="5" t="s">
        <v>867</v>
      </c>
      <c r="G917" s="5" t="s">
        <v>910</v>
      </c>
      <c r="H917" s="7" t="s">
        <v>893</v>
      </c>
      <c r="I917" t="s">
        <v>835</v>
      </c>
      <c r="J917">
        <v>87</v>
      </c>
      <c r="K917">
        <v>1</v>
      </c>
      <c r="L917" t="s">
        <v>401</v>
      </c>
      <c r="M917" t="s">
        <v>15</v>
      </c>
      <c r="T917">
        <v>1</v>
      </c>
      <c r="U917" s="8">
        <f t="shared" si="93"/>
        <v>1</v>
      </c>
      <c r="AD917" t="str">
        <f t="shared" si="92"/>
        <v>e</v>
      </c>
      <c r="AE917" t="str">
        <f t="shared" si="96"/>
        <v>Possession</v>
      </c>
      <c r="AF917" t="str">
        <f t="shared" si="94"/>
        <v/>
      </c>
      <c r="AG917" t="str">
        <f t="shared" si="95"/>
        <v/>
      </c>
      <c r="AN917" t="str">
        <f t="shared" si="97"/>
        <v>Offensive</v>
      </c>
      <c r="BD917" s="23"/>
      <c r="BF917" s="21"/>
    </row>
    <row r="918" spans="1:58" x14ac:dyDescent="0.2">
      <c r="A918">
        <v>468</v>
      </c>
      <c r="J918">
        <v>71</v>
      </c>
      <c r="Q918" t="s">
        <v>696</v>
      </c>
      <c r="T918">
        <v>1</v>
      </c>
      <c r="U918" s="8">
        <f t="shared" si="93"/>
        <v>1</v>
      </c>
      <c r="AD918" t="str">
        <f t="shared" si="92"/>
        <v>o</v>
      </c>
      <c r="AE918" t="str">
        <f t="shared" si="96"/>
        <v>Possession</v>
      </c>
      <c r="AF918" t="str">
        <f t="shared" si="94"/>
        <v/>
      </c>
      <c r="AG918" t="str">
        <f t="shared" si="95"/>
        <v/>
      </c>
      <c r="AN918" t="str">
        <f t="shared" si="97"/>
        <v>Defensive</v>
      </c>
      <c r="BD918" s="23"/>
      <c r="BF918" s="21"/>
    </row>
    <row r="919" spans="1:58" x14ac:dyDescent="0.2">
      <c r="A919">
        <v>468</v>
      </c>
      <c r="J919">
        <v>13</v>
      </c>
      <c r="Q919" t="s">
        <v>695</v>
      </c>
      <c r="S919" t="s">
        <v>688</v>
      </c>
      <c r="T919">
        <v>1</v>
      </c>
      <c r="U919" s="8">
        <f t="shared" si="93"/>
        <v>1</v>
      </c>
      <c r="AD919" t="str">
        <f t="shared" si="92"/>
        <v>o</v>
      </c>
      <c r="AE919" t="str">
        <f t="shared" si="96"/>
        <v>Possession</v>
      </c>
      <c r="AF919" t="str">
        <f t="shared" si="94"/>
        <v/>
      </c>
      <c r="AG919" t="str">
        <f t="shared" si="95"/>
        <v/>
      </c>
      <c r="AN919" t="str">
        <f t="shared" si="97"/>
        <v>Defensive</v>
      </c>
      <c r="BD919" s="23"/>
      <c r="BF919" s="21"/>
    </row>
    <row r="920" spans="1:58" x14ac:dyDescent="0.2">
      <c r="A920">
        <v>469</v>
      </c>
      <c r="E920" s="5" t="s">
        <v>910</v>
      </c>
      <c r="F920" s="5" t="s">
        <v>893</v>
      </c>
      <c r="I920" t="s">
        <v>835</v>
      </c>
      <c r="J920">
        <v>87</v>
      </c>
      <c r="K920">
        <v>1</v>
      </c>
      <c r="L920" t="s">
        <v>401</v>
      </c>
      <c r="M920" t="s">
        <v>8</v>
      </c>
      <c r="N920" t="s">
        <v>189</v>
      </c>
      <c r="O920" t="s">
        <v>70</v>
      </c>
      <c r="P920" t="s">
        <v>689</v>
      </c>
      <c r="T920">
        <v>1</v>
      </c>
      <c r="U920" s="8">
        <f t="shared" si="93"/>
        <v>1</v>
      </c>
      <c r="AD920" t="str">
        <f t="shared" si="92"/>
        <v>e</v>
      </c>
      <c r="AE920" t="str">
        <f t="shared" si="96"/>
        <v>Pass</v>
      </c>
      <c r="AF920" t="str">
        <f t="shared" si="94"/>
        <v>Pass_Completed</v>
      </c>
      <c r="AG920" t="str">
        <f t="shared" si="95"/>
        <v>Pass-Forehand</v>
      </c>
      <c r="AN920" t="str">
        <f t="shared" si="97"/>
        <v>Offensive</v>
      </c>
      <c r="BD920" s="23"/>
      <c r="BF920" s="21"/>
    </row>
    <row r="921" spans="1:58" x14ac:dyDescent="0.2">
      <c r="A921">
        <v>469</v>
      </c>
      <c r="J921">
        <v>24</v>
      </c>
      <c r="K921">
        <v>1</v>
      </c>
      <c r="U921" s="8">
        <f t="shared" si="93"/>
        <v>1</v>
      </c>
      <c r="AD921" t="str">
        <f t="shared" si="92"/>
        <v>e</v>
      </c>
      <c r="AE921" t="str">
        <f t="shared" si="96"/>
        <v>Pass</v>
      </c>
      <c r="AF921" t="str">
        <f t="shared" si="94"/>
        <v>Pass_Completed</v>
      </c>
      <c r="AG921" t="str">
        <f t="shared" si="95"/>
        <v>Pass-Forehand</v>
      </c>
      <c r="AN921" t="str">
        <f t="shared" si="97"/>
        <v>Offensive</v>
      </c>
      <c r="BD921" s="23"/>
      <c r="BF921" s="21"/>
    </row>
    <row r="922" spans="1:58" x14ac:dyDescent="0.2">
      <c r="A922">
        <v>469</v>
      </c>
      <c r="J922">
        <v>5</v>
      </c>
      <c r="T922">
        <v>1</v>
      </c>
      <c r="U922" s="8">
        <f t="shared" si="93"/>
        <v>1</v>
      </c>
      <c r="AD922" t="str">
        <f t="shared" si="92"/>
        <v>o</v>
      </c>
      <c r="AE922" t="str">
        <f t="shared" si="96"/>
        <v>Pass</v>
      </c>
      <c r="AF922" t="str">
        <f t="shared" si="94"/>
        <v>Pass_Completed</v>
      </c>
      <c r="AG922" t="str">
        <f t="shared" si="95"/>
        <v>Pass-Forehand</v>
      </c>
      <c r="AN922" t="str">
        <f t="shared" si="97"/>
        <v>Defensive</v>
      </c>
      <c r="BD922" s="23"/>
      <c r="BF922" s="21"/>
    </row>
    <row r="923" spans="1:58" x14ac:dyDescent="0.2">
      <c r="A923">
        <v>470</v>
      </c>
      <c r="E923" s="5" t="s">
        <v>910</v>
      </c>
      <c r="F923" s="5" t="s">
        <v>884</v>
      </c>
      <c r="I923" t="s">
        <v>835</v>
      </c>
      <c r="J923">
        <v>24</v>
      </c>
      <c r="K923">
        <v>1</v>
      </c>
      <c r="L923" t="s">
        <v>401</v>
      </c>
      <c r="M923" t="s">
        <v>7</v>
      </c>
      <c r="N923" t="s">
        <v>208</v>
      </c>
      <c r="O923" t="s">
        <v>53</v>
      </c>
      <c r="P923" t="s">
        <v>688</v>
      </c>
      <c r="T923">
        <v>1</v>
      </c>
      <c r="U923" s="8">
        <f t="shared" si="93"/>
        <v>1</v>
      </c>
      <c r="AD923" t="str">
        <f t="shared" si="92"/>
        <v>e</v>
      </c>
      <c r="AE923" t="str">
        <f t="shared" si="96"/>
        <v>Shot</v>
      </c>
      <c r="AF923" t="str">
        <f t="shared" si="94"/>
        <v>Shot_Blocked</v>
      </c>
      <c r="AG923" t="str">
        <f t="shared" si="95"/>
        <v>Shot-Wrist</v>
      </c>
      <c r="AN923" t="str">
        <f t="shared" si="97"/>
        <v>Offensive</v>
      </c>
      <c r="BD923" s="23"/>
      <c r="BF923" s="21"/>
    </row>
    <row r="924" spans="1:58" x14ac:dyDescent="0.2">
      <c r="A924">
        <v>470</v>
      </c>
      <c r="J924">
        <v>17</v>
      </c>
      <c r="Q924" t="s">
        <v>665</v>
      </c>
      <c r="S924" t="s">
        <v>689</v>
      </c>
      <c r="T924">
        <v>1</v>
      </c>
      <c r="U924" s="8">
        <f t="shared" si="93"/>
        <v>1</v>
      </c>
      <c r="AD924" t="str">
        <f t="shared" si="92"/>
        <v>o</v>
      </c>
      <c r="AE924" t="str">
        <f t="shared" si="96"/>
        <v>Shot</v>
      </c>
      <c r="AF924" t="str">
        <f t="shared" si="94"/>
        <v>Shot_Blocked</v>
      </c>
      <c r="AG924" t="str">
        <f t="shared" si="95"/>
        <v>Shot-Wrist</v>
      </c>
      <c r="AN924" t="str">
        <f t="shared" si="97"/>
        <v>Defensive</v>
      </c>
      <c r="BD924" s="23"/>
      <c r="BF924" s="21"/>
    </row>
    <row r="925" spans="1:58" x14ac:dyDescent="0.2">
      <c r="A925">
        <v>471</v>
      </c>
      <c r="I925" t="s">
        <v>840</v>
      </c>
      <c r="J925">
        <v>13</v>
      </c>
      <c r="K925">
        <v>1</v>
      </c>
      <c r="L925" t="s">
        <v>845</v>
      </c>
      <c r="M925" t="s">
        <v>15</v>
      </c>
      <c r="N925" t="s">
        <v>680</v>
      </c>
      <c r="P925" t="s">
        <v>688</v>
      </c>
      <c r="Q925" t="s">
        <v>790</v>
      </c>
      <c r="S925" t="s">
        <v>688</v>
      </c>
      <c r="U925" s="8">
        <f t="shared" si="93"/>
        <v>1</v>
      </c>
      <c r="AD925" t="str">
        <f t="shared" si="92"/>
        <v>e</v>
      </c>
      <c r="AE925" t="str">
        <f t="shared" si="96"/>
        <v>Possession</v>
      </c>
      <c r="AF925" t="str">
        <f t="shared" si="94"/>
        <v>PuckRetrieval</v>
      </c>
      <c r="AG925" t="str">
        <f t="shared" si="95"/>
        <v/>
      </c>
      <c r="AN925" t="str">
        <f t="shared" si="97"/>
        <v>Offensive</v>
      </c>
      <c r="BD925" s="23"/>
      <c r="BF925" s="21"/>
    </row>
    <row r="926" spans="1:58" x14ac:dyDescent="0.2">
      <c r="A926">
        <v>472</v>
      </c>
      <c r="B926">
        <v>78</v>
      </c>
      <c r="E926" s="5" t="s">
        <v>910</v>
      </c>
      <c r="F926" s="5" t="s">
        <v>446</v>
      </c>
      <c r="I926" t="s">
        <v>840</v>
      </c>
      <c r="J926">
        <v>38</v>
      </c>
      <c r="K926">
        <v>1</v>
      </c>
      <c r="L926" t="s">
        <v>845</v>
      </c>
      <c r="M926" t="s">
        <v>13</v>
      </c>
      <c r="N926" t="s">
        <v>204</v>
      </c>
      <c r="O926" t="s">
        <v>110</v>
      </c>
      <c r="U926" s="8">
        <f t="shared" si="93"/>
        <v>1</v>
      </c>
      <c r="AD926" t="str">
        <f t="shared" si="92"/>
        <v>e</v>
      </c>
      <c r="AE926" t="str">
        <f t="shared" si="96"/>
        <v>Stoppage</v>
      </c>
      <c r="AF926" t="str">
        <f t="shared" si="94"/>
        <v>Stoppage_Play</v>
      </c>
      <c r="AG926" t="str">
        <f t="shared" si="95"/>
        <v>Stoppage-GoalieStoppage</v>
      </c>
      <c r="AN926" t="str">
        <f t="shared" si="97"/>
        <v/>
      </c>
      <c r="BD926" s="23"/>
      <c r="BF926" s="21"/>
    </row>
    <row r="927" spans="1:58" x14ac:dyDescent="0.2">
      <c r="A927">
        <v>473</v>
      </c>
      <c r="B927">
        <v>78</v>
      </c>
      <c r="E927" s="5" t="s">
        <v>910</v>
      </c>
      <c r="F927" s="5" t="s">
        <v>446</v>
      </c>
      <c r="G927" s="5" t="s">
        <v>911</v>
      </c>
      <c r="H927" s="7" t="s">
        <v>843</v>
      </c>
      <c r="I927" t="s">
        <v>840</v>
      </c>
      <c r="J927">
        <v>38</v>
      </c>
      <c r="K927">
        <v>1</v>
      </c>
      <c r="L927" t="s">
        <v>845</v>
      </c>
      <c r="M927" t="s">
        <v>262</v>
      </c>
      <c r="U927" s="8">
        <f t="shared" si="93"/>
        <v>1</v>
      </c>
      <c r="AD927" t="str">
        <f t="shared" si="92"/>
        <v>e</v>
      </c>
      <c r="AE927" t="str">
        <f t="shared" si="96"/>
        <v>DeadIce</v>
      </c>
      <c r="AF927" t="str">
        <f t="shared" si="94"/>
        <v/>
      </c>
      <c r="AG927" t="str">
        <f t="shared" si="95"/>
        <v/>
      </c>
      <c r="AN927" t="str">
        <f t="shared" si="97"/>
        <v/>
      </c>
      <c r="BD927" s="23"/>
      <c r="BF927" s="21"/>
    </row>
    <row r="928" spans="1:58" x14ac:dyDescent="0.2">
      <c r="A928">
        <v>474</v>
      </c>
      <c r="E928" s="5" t="s">
        <v>911</v>
      </c>
      <c r="F928" s="5" t="s">
        <v>843</v>
      </c>
      <c r="I928" t="s">
        <v>840</v>
      </c>
      <c r="J928">
        <v>13</v>
      </c>
      <c r="K928">
        <v>1</v>
      </c>
      <c r="L928" t="s">
        <v>845</v>
      </c>
      <c r="M928" t="s">
        <v>6</v>
      </c>
      <c r="N928" t="s">
        <v>255</v>
      </c>
      <c r="U928" s="8">
        <f t="shared" si="93"/>
        <v>1</v>
      </c>
      <c r="AD928" t="str">
        <f t="shared" si="92"/>
        <v>e</v>
      </c>
      <c r="AE928" t="str">
        <f t="shared" si="96"/>
        <v>Faceoff</v>
      </c>
      <c r="AF928" t="str">
        <f t="shared" si="94"/>
        <v>Faceoff_AfterStoppage</v>
      </c>
      <c r="AG928" t="str">
        <f t="shared" si="95"/>
        <v/>
      </c>
      <c r="AN928" t="str">
        <f t="shared" si="97"/>
        <v>Offensive</v>
      </c>
      <c r="BD928" s="23"/>
      <c r="BF928" s="21"/>
    </row>
    <row r="929" spans="1:58" x14ac:dyDescent="0.2">
      <c r="A929">
        <v>474</v>
      </c>
      <c r="J929">
        <v>17</v>
      </c>
      <c r="K929">
        <v>1</v>
      </c>
      <c r="U929" s="8">
        <f t="shared" si="93"/>
        <v>1</v>
      </c>
      <c r="AD929" t="str">
        <f t="shared" si="92"/>
        <v>e</v>
      </c>
      <c r="AE929" t="str">
        <f t="shared" si="96"/>
        <v>Faceoff</v>
      </c>
      <c r="AF929" t="str">
        <f t="shared" si="94"/>
        <v>Faceoff_AfterStoppage</v>
      </c>
      <c r="AG929" t="str">
        <f t="shared" si="95"/>
        <v/>
      </c>
      <c r="AN929" t="str">
        <f t="shared" si="97"/>
        <v>Offensive</v>
      </c>
      <c r="BD929" s="23"/>
      <c r="BF929" s="21"/>
    </row>
    <row r="930" spans="1:58" x14ac:dyDescent="0.2">
      <c r="A930">
        <v>474</v>
      </c>
      <c r="J930">
        <v>42</v>
      </c>
      <c r="U930" s="8">
        <f t="shared" si="93"/>
        <v>1</v>
      </c>
      <c r="AD930" t="str">
        <f t="shared" si="92"/>
        <v>o</v>
      </c>
      <c r="AE930" t="str">
        <f t="shared" si="96"/>
        <v>Faceoff</v>
      </c>
      <c r="AF930" t="str">
        <f t="shared" si="94"/>
        <v>Faceoff_AfterStoppage</v>
      </c>
      <c r="AG930" t="str">
        <f t="shared" si="95"/>
        <v/>
      </c>
      <c r="AN930" t="str">
        <f t="shared" si="97"/>
        <v>Defensive</v>
      </c>
      <c r="BD930" s="23"/>
      <c r="BF930" s="21"/>
    </row>
    <row r="931" spans="1:58" x14ac:dyDescent="0.2">
      <c r="A931">
        <v>475</v>
      </c>
      <c r="E931" s="5" t="s">
        <v>911</v>
      </c>
      <c r="F931" s="5" t="s">
        <v>876</v>
      </c>
      <c r="G931" s="5" t="s">
        <v>911</v>
      </c>
      <c r="H931" s="7" t="s">
        <v>877</v>
      </c>
      <c r="I931" t="s">
        <v>840</v>
      </c>
      <c r="J931">
        <v>17</v>
      </c>
      <c r="K931">
        <v>1</v>
      </c>
      <c r="L931" t="s">
        <v>845</v>
      </c>
      <c r="M931" t="s">
        <v>15</v>
      </c>
      <c r="N931" t="s">
        <v>667</v>
      </c>
      <c r="U931" s="8">
        <f t="shared" si="93"/>
        <v>1</v>
      </c>
      <c r="AD931" t="str">
        <f t="shared" si="92"/>
        <v>e</v>
      </c>
      <c r="AE931" t="str">
        <f t="shared" si="96"/>
        <v>Possession</v>
      </c>
      <c r="AF931" t="str">
        <f t="shared" si="94"/>
        <v>Regroup</v>
      </c>
      <c r="AG931" t="str">
        <f t="shared" si="95"/>
        <v/>
      </c>
      <c r="AN931" t="str">
        <f t="shared" si="97"/>
        <v>Offensive</v>
      </c>
      <c r="BD931" s="23"/>
      <c r="BF931" s="21"/>
    </row>
    <row r="932" spans="1:58" x14ac:dyDescent="0.2">
      <c r="A932">
        <v>476</v>
      </c>
      <c r="B932">
        <v>79</v>
      </c>
      <c r="E932" s="5" t="s">
        <v>911</v>
      </c>
      <c r="F932" s="5" t="s">
        <v>888</v>
      </c>
      <c r="I932" t="s">
        <v>840</v>
      </c>
      <c r="J932">
        <v>17</v>
      </c>
      <c r="K932">
        <v>1</v>
      </c>
      <c r="L932" t="s">
        <v>845</v>
      </c>
      <c r="M932" t="s">
        <v>8</v>
      </c>
      <c r="N932" t="s">
        <v>189</v>
      </c>
      <c r="O932" t="s">
        <v>71</v>
      </c>
      <c r="P932" t="s">
        <v>689</v>
      </c>
      <c r="Q932" t="s">
        <v>662</v>
      </c>
      <c r="S932" t="s">
        <v>689</v>
      </c>
      <c r="U932" s="8">
        <f t="shared" si="93"/>
        <v>1</v>
      </c>
      <c r="AD932" t="str">
        <f t="shared" si="92"/>
        <v>e</v>
      </c>
      <c r="AE932" t="str">
        <f t="shared" si="96"/>
        <v>Pass</v>
      </c>
      <c r="AF932" t="str">
        <f t="shared" si="94"/>
        <v>Pass_Completed</v>
      </c>
      <c r="AG932" t="str">
        <f t="shared" si="95"/>
        <v>Pass-Bank</v>
      </c>
      <c r="AN932" t="str">
        <f t="shared" si="97"/>
        <v>Offensive</v>
      </c>
      <c r="BD932" s="23"/>
      <c r="BF932" s="21"/>
    </row>
    <row r="933" spans="1:58" x14ac:dyDescent="0.2">
      <c r="A933">
        <v>476</v>
      </c>
      <c r="B933">
        <v>79</v>
      </c>
      <c r="J933">
        <v>5</v>
      </c>
      <c r="K933">
        <v>1</v>
      </c>
      <c r="U933" s="8">
        <f t="shared" si="93"/>
        <v>1</v>
      </c>
      <c r="AD933" t="str">
        <f t="shared" si="92"/>
        <v>e</v>
      </c>
      <c r="AE933" t="str">
        <f t="shared" si="96"/>
        <v>Pass</v>
      </c>
      <c r="AF933" t="str">
        <f t="shared" si="94"/>
        <v>Pass_Completed</v>
      </c>
      <c r="AG933" t="str">
        <f t="shared" si="95"/>
        <v>Pass-Bank</v>
      </c>
      <c r="AN933" t="str">
        <f t="shared" si="97"/>
        <v>Offensive</v>
      </c>
      <c r="BD933" s="23"/>
      <c r="BF933" s="21"/>
    </row>
    <row r="934" spans="1:58" x14ac:dyDescent="0.2">
      <c r="A934">
        <v>477</v>
      </c>
      <c r="B934">
        <v>79</v>
      </c>
      <c r="E934" s="5" t="s">
        <v>911</v>
      </c>
      <c r="F934" s="5" t="s">
        <v>888</v>
      </c>
      <c r="I934" t="s">
        <v>840</v>
      </c>
      <c r="J934">
        <v>17</v>
      </c>
      <c r="K934">
        <v>1</v>
      </c>
      <c r="L934" t="s">
        <v>845</v>
      </c>
      <c r="M934" t="s">
        <v>257</v>
      </c>
      <c r="N934" t="s">
        <v>201</v>
      </c>
      <c r="O934" t="s">
        <v>91</v>
      </c>
      <c r="P934" t="s">
        <v>689</v>
      </c>
      <c r="U934" s="8">
        <f t="shared" si="93"/>
        <v>1</v>
      </c>
      <c r="AD934" t="str">
        <f t="shared" si="92"/>
        <v>e</v>
      </c>
      <c r="AE934" t="str">
        <f t="shared" si="96"/>
        <v>Zone_Entry_Exit</v>
      </c>
      <c r="AF934" t="str">
        <f t="shared" si="94"/>
        <v>Zone_Exit</v>
      </c>
      <c r="AG934" t="str">
        <f t="shared" si="95"/>
        <v>ZoneExit-Pass</v>
      </c>
      <c r="AN934" t="str">
        <f t="shared" si="97"/>
        <v>Offensive</v>
      </c>
      <c r="BD934" s="23"/>
      <c r="BF934" s="21"/>
    </row>
    <row r="935" spans="1:58" x14ac:dyDescent="0.2">
      <c r="A935">
        <v>477</v>
      </c>
      <c r="B935">
        <v>79</v>
      </c>
      <c r="J935">
        <v>5</v>
      </c>
      <c r="K935">
        <v>1</v>
      </c>
      <c r="U935" s="8">
        <f t="shared" si="93"/>
        <v>1</v>
      </c>
      <c r="AD935" t="str">
        <f t="shared" si="92"/>
        <v>e</v>
      </c>
      <c r="AE935" t="str">
        <f t="shared" si="96"/>
        <v>Zone_Entry_Exit</v>
      </c>
      <c r="AF935" t="str">
        <f t="shared" si="94"/>
        <v>Zone_Exit</v>
      </c>
      <c r="AG935" t="str">
        <f t="shared" si="95"/>
        <v>ZoneExit-Pass</v>
      </c>
      <c r="AN935" t="str">
        <f t="shared" si="97"/>
        <v>Offensive</v>
      </c>
      <c r="BD935" s="23"/>
      <c r="BF935" s="21"/>
    </row>
    <row r="936" spans="1:58" x14ac:dyDescent="0.2">
      <c r="A936">
        <v>478</v>
      </c>
      <c r="E936" s="5" t="s">
        <v>911</v>
      </c>
      <c r="F936" s="5" t="s">
        <v>889</v>
      </c>
      <c r="G936" s="5" t="s">
        <v>911</v>
      </c>
      <c r="H936" s="7" t="s">
        <v>878</v>
      </c>
      <c r="I936" t="s">
        <v>840</v>
      </c>
      <c r="J936">
        <v>5</v>
      </c>
      <c r="K936">
        <v>1</v>
      </c>
      <c r="L936" t="s">
        <v>839</v>
      </c>
      <c r="M936" t="s">
        <v>15</v>
      </c>
      <c r="U936" s="8">
        <f t="shared" si="93"/>
        <v>1</v>
      </c>
      <c r="AD936" t="str">
        <f t="shared" si="92"/>
        <v>e</v>
      </c>
      <c r="AE936" t="str">
        <f t="shared" si="96"/>
        <v>Possession</v>
      </c>
      <c r="AF936" t="str">
        <f t="shared" si="94"/>
        <v/>
      </c>
      <c r="AG936" t="str">
        <f t="shared" si="95"/>
        <v/>
      </c>
      <c r="AN936" t="str">
        <f t="shared" si="97"/>
        <v>Offensive</v>
      </c>
      <c r="BD936" s="23"/>
      <c r="BF936" s="21"/>
    </row>
    <row r="937" spans="1:58" x14ac:dyDescent="0.2">
      <c r="A937">
        <v>479</v>
      </c>
      <c r="E937" s="5" t="s">
        <v>911</v>
      </c>
      <c r="F937" s="5" t="s">
        <v>878</v>
      </c>
      <c r="G937" s="5" t="s">
        <v>910</v>
      </c>
      <c r="H937" s="7" t="s">
        <v>849</v>
      </c>
      <c r="I937" t="s">
        <v>840</v>
      </c>
      <c r="J937">
        <v>5</v>
      </c>
      <c r="K937">
        <v>1</v>
      </c>
      <c r="L937" t="s">
        <v>401</v>
      </c>
      <c r="M937" t="s">
        <v>257</v>
      </c>
      <c r="N937" t="s">
        <v>191</v>
      </c>
      <c r="O937" t="s">
        <v>87</v>
      </c>
      <c r="P937" t="s">
        <v>688</v>
      </c>
      <c r="T937">
        <v>1</v>
      </c>
      <c r="U937" s="8">
        <f t="shared" si="93"/>
        <v>1</v>
      </c>
      <c r="AD937" t="str">
        <f t="shared" si="92"/>
        <v>e</v>
      </c>
      <c r="AE937" t="str">
        <f t="shared" si="96"/>
        <v>Zone_Entry_Exit</v>
      </c>
      <c r="AF937" t="str">
        <f t="shared" si="94"/>
        <v>Zone_Entry</v>
      </c>
      <c r="AG937" t="str">
        <f t="shared" si="95"/>
        <v>ZoneEntry-Rush</v>
      </c>
      <c r="AN937" t="str">
        <f t="shared" si="97"/>
        <v>Offensive</v>
      </c>
      <c r="BD937" s="23"/>
      <c r="BF937" s="21"/>
    </row>
    <row r="938" spans="1:58" x14ac:dyDescent="0.2">
      <c r="A938">
        <v>479</v>
      </c>
      <c r="J938">
        <v>13</v>
      </c>
      <c r="K938">
        <v>1</v>
      </c>
      <c r="U938" s="8">
        <f t="shared" si="93"/>
        <v>1</v>
      </c>
      <c r="AD938" t="str">
        <f t="shared" si="92"/>
        <v>e</v>
      </c>
      <c r="AE938" t="str">
        <f t="shared" si="96"/>
        <v>Zone_Entry_Exit</v>
      </c>
      <c r="AF938" t="str">
        <f t="shared" si="94"/>
        <v>Zone_Entry</v>
      </c>
      <c r="AG938" t="str">
        <f t="shared" si="95"/>
        <v>ZoneEntry-Rush</v>
      </c>
      <c r="AN938" t="str">
        <f t="shared" si="97"/>
        <v>Offensive</v>
      </c>
      <c r="BD938" s="23"/>
      <c r="BF938" s="21"/>
    </row>
    <row r="939" spans="1:58" x14ac:dyDescent="0.2">
      <c r="A939">
        <v>479</v>
      </c>
      <c r="J939">
        <v>52</v>
      </c>
      <c r="Q939" t="s">
        <v>765</v>
      </c>
      <c r="T939">
        <v>1</v>
      </c>
      <c r="U939" s="8">
        <f t="shared" si="93"/>
        <v>1</v>
      </c>
      <c r="AD939" t="str">
        <f t="shared" si="92"/>
        <v>o</v>
      </c>
      <c r="AE939" t="str">
        <f t="shared" si="96"/>
        <v>Zone_Entry_Exit</v>
      </c>
      <c r="AF939" t="str">
        <f t="shared" si="94"/>
        <v>Zone_Entry</v>
      </c>
      <c r="AG939" t="str">
        <f t="shared" si="95"/>
        <v>ZoneEntry-Rush</v>
      </c>
      <c r="AN939" t="str">
        <f t="shared" si="97"/>
        <v>Defensive</v>
      </c>
      <c r="BD939" s="23"/>
      <c r="BF939" s="21"/>
    </row>
    <row r="940" spans="1:58" x14ac:dyDescent="0.2">
      <c r="A940">
        <v>479</v>
      </c>
      <c r="J940">
        <v>84</v>
      </c>
      <c r="U940" s="8">
        <f t="shared" si="93"/>
        <v>1</v>
      </c>
      <c r="AD940" t="str">
        <f t="shared" si="92"/>
        <v>o</v>
      </c>
      <c r="AE940" t="str">
        <f t="shared" si="96"/>
        <v>Zone_Entry_Exit</v>
      </c>
      <c r="AF940" t="str">
        <f t="shared" si="94"/>
        <v>Zone_Entry</v>
      </c>
      <c r="AG940" t="str">
        <f t="shared" si="95"/>
        <v>ZoneEntry-Rush</v>
      </c>
      <c r="AN940" t="str">
        <f t="shared" si="97"/>
        <v>Defensive</v>
      </c>
      <c r="BD940" s="23"/>
      <c r="BF940" s="21"/>
    </row>
    <row r="941" spans="1:58" x14ac:dyDescent="0.2">
      <c r="A941">
        <v>480</v>
      </c>
      <c r="E941" s="5" t="s">
        <v>911</v>
      </c>
      <c r="F941" s="5" t="s">
        <v>849</v>
      </c>
      <c r="I941" t="s">
        <v>840</v>
      </c>
      <c r="J941">
        <v>5</v>
      </c>
      <c r="K941">
        <v>1</v>
      </c>
      <c r="L941" t="s">
        <v>401</v>
      </c>
      <c r="M941" t="s">
        <v>8</v>
      </c>
      <c r="N941" t="s">
        <v>189</v>
      </c>
      <c r="O941" t="s">
        <v>418</v>
      </c>
      <c r="P941" t="s">
        <v>689</v>
      </c>
      <c r="T941">
        <v>1</v>
      </c>
      <c r="U941" s="8">
        <f t="shared" si="93"/>
        <v>1</v>
      </c>
      <c r="AD941" t="str">
        <f t="shared" si="92"/>
        <v>e</v>
      </c>
      <c r="AE941" t="str">
        <f t="shared" si="96"/>
        <v>Pass</v>
      </c>
      <c r="AF941" t="str">
        <f t="shared" si="94"/>
        <v>Pass_Completed</v>
      </c>
      <c r="AG941" t="str">
        <f t="shared" si="95"/>
        <v>Pass-Drop</v>
      </c>
      <c r="AN941" t="str">
        <f t="shared" si="97"/>
        <v>Offensive</v>
      </c>
      <c r="BD941" s="23"/>
      <c r="BF941" s="21"/>
    </row>
    <row r="942" spans="1:58" x14ac:dyDescent="0.2">
      <c r="A942">
        <v>480</v>
      </c>
      <c r="J942">
        <v>13</v>
      </c>
      <c r="K942">
        <v>1</v>
      </c>
      <c r="U942" s="8">
        <f t="shared" si="93"/>
        <v>1</v>
      </c>
      <c r="AD942" t="str">
        <f t="shared" si="92"/>
        <v>e</v>
      </c>
      <c r="AE942" t="str">
        <f t="shared" si="96"/>
        <v>Pass</v>
      </c>
      <c r="AF942" t="str">
        <f t="shared" si="94"/>
        <v>Pass_Completed</v>
      </c>
      <c r="AG942" t="str">
        <f t="shared" si="95"/>
        <v>Pass-Drop</v>
      </c>
      <c r="AN942" t="str">
        <f t="shared" si="97"/>
        <v>Offensive</v>
      </c>
      <c r="BD942" s="23"/>
      <c r="BF942" s="21"/>
    </row>
    <row r="943" spans="1:58" x14ac:dyDescent="0.2">
      <c r="A943">
        <v>480</v>
      </c>
      <c r="J943">
        <v>52</v>
      </c>
      <c r="T943">
        <v>1</v>
      </c>
      <c r="U943" s="8">
        <f t="shared" si="93"/>
        <v>1</v>
      </c>
      <c r="AD943" t="str">
        <f t="shared" si="92"/>
        <v>o</v>
      </c>
      <c r="AE943" t="str">
        <f t="shared" si="96"/>
        <v>Pass</v>
      </c>
      <c r="AF943" t="str">
        <f t="shared" si="94"/>
        <v>Pass_Completed</v>
      </c>
      <c r="AG943" t="str">
        <f t="shared" si="95"/>
        <v>Pass-Drop</v>
      </c>
      <c r="AN943" t="str">
        <f t="shared" si="97"/>
        <v>Defensive</v>
      </c>
      <c r="BD943" s="23"/>
      <c r="BF943" s="21"/>
    </row>
    <row r="944" spans="1:58" x14ac:dyDescent="0.2">
      <c r="A944">
        <v>481</v>
      </c>
      <c r="E944" s="5" t="s">
        <v>911</v>
      </c>
      <c r="F944" s="5" t="s">
        <v>849</v>
      </c>
      <c r="G944" s="5" t="s">
        <v>911</v>
      </c>
      <c r="H944" s="7" t="s">
        <v>850</v>
      </c>
      <c r="I944" t="s">
        <v>840</v>
      </c>
      <c r="J944">
        <v>13</v>
      </c>
      <c r="K944">
        <v>1</v>
      </c>
      <c r="L944" t="s">
        <v>401</v>
      </c>
      <c r="M944" t="s">
        <v>15</v>
      </c>
      <c r="N944" t="s">
        <v>667</v>
      </c>
      <c r="U944" s="8">
        <f t="shared" si="93"/>
        <v>1</v>
      </c>
      <c r="AD944" t="str">
        <f t="shared" si="92"/>
        <v>e</v>
      </c>
      <c r="AE944" t="str">
        <f t="shared" si="96"/>
        <v>Possession</v>
      </c>
      <c r="AF944" t="str">
        <f t="shared" si="94"/>
        <v>Regroup</v>
      </c>
      <c r="AG944" t="str">
        <f t="shared" si="95"/>
        <v/>
      </c>
      <c r="AN944" t="str">
        <f t="shared" si="97"/>
        <v>Offensive</v>
      </c>
      <c r="BD944" s="23"/>
      <c r="BF944" s="21"/>
    </row>
    <row r="945" spans="1:58" x14ac:dyDescent="0.2">
      <c r="A945">
        <v>481</v>
      </c>
      <c r="J945">
        <v>24</v>
      </c>
      <c r="U945" s="8">
        <f t="shared" si="93"/>
        <v>1</v>
      </c>
      <c r="AD945" t="str">
        <f t="shared" si="92"/>
        <v>o</v>
      </c>
      <c r="AE945" t="str">
        <f t="shared" si="96"/>
        <v>Possession</v>
      </c>
      <c r="AF945" t="str">
        <f t="shared" si="94"/>
        <v>Regroup</v>
      </c>
      <c r="AG945" t="str">
        <f t="shared" si="95"/>
        <v/>
      </c>
      <c r="AN945" t="str">
        <f t="shared" si="97"/>
        <v>Defensive</v>
      </c>
      <c r="BD945" s="23"/>
      <c r="BF945" s="21"/>
    </row>
    <row r="946" spans="1:58" x14ac:dyDescent="0.2">
      <c r="A946">
        <v>482</v>
      </c>
      <c r="B946">
        <v>80</v>
      </c>
      <c r="E946" s="5" t="s">
        <v>911</v>
      </c>
      <c r="F946" s="5" t="s">
        <v>850</v>
      </c>
      <c r="I946" t="s">
        <v>840</v>
      </c>
      <c r="J946">
        <v>13</v>
      </c>
      <c r="K946">
        <v>1</v>
      </c>
      <c r="L946" t="s">
        <v>401</v>
      </c>
      <c r="M946" t="s">
        <v>8</v>
      </c>
      <c r="N946" t="s">
        <v>199</v>
      </c>
      <c r="O946" t="s">
        <v>69</v>
      </c>
      <c r="P946" t="s">
        <v>688</v>
      </c>
      <c r="T946">
        <v>1</v>
      </c>
      <c r="U946" s="8">
        <f t="shared" si="93"/>
        <v>1</v>
      </c>
      <c r="AD946" t="str">
        <f t="shared" si="92"/>
        <v>e</v>
      </c>
      <c r="AE946" t="str">
        <f t="shared" si="96"/>
        <v>Pass</v>
      </c>
      <c r="AF946" t="str">
        <f t="shared" si="94"/>
        <v>Pass_Missed</v>
      </c>
      <c r="AG946" t="str">
        <f t="shared" si="95"/>
        <v>Pass-Backhand</v>
      </c>
      <c r="AN946" t="str">
        <f t="shared" si="97"/>
        <v>Offensive</v>
      </c>
      <c r="BD946" s="23"/>
      <c r="BF946" s="21"/>
    </row>
    <row r="947" spans="1:58" x14ac:dyDescent="0.2">
      <c r="A947">
        <v>482</v>
      </c>
      <c r="B947">
        <v>80</v>
      </c>
      <c r="J947">
        <v>5</v>
      </c>
      <c r="K947">
        <v>1</v>
      </c>
      <c r="U947" s="8">
        <f t="shared" si="93"/>
        <v>1</v>
      </c>
      <c r="AD947" t="str">
        <f t="shared" si="92"/>
        <v>e</v>
      </c>
      <c r="AE947" t="str">
        <f t="shared" si="96"/>
        <v>Pass</v>
      </c>
      <c r="AF947" t="str">
        <f t="shared" si="94"/>
        <v>Pass_Missed</v>
      </c>
      <c r="AG947" t="str">
        <f t="shared" si="95"/>
        <v>Pass-Backhand</v>
      </c>
      <c r="AN947" t="str">
        <f t="shared" si="97"/>
        <v>Offensive</v>
      </c>
      <c r="BD947" s="23"/>
      <c r="BF947" s="21"/>
    </row>
    <row r="948" spans="1:58" x14ac:dyDescent="0.2">
      <c r="A948">
        <v>482</v>
      </c>
      <c r="B948">
        <v>80</v>
      </c>
      <c r="J948">
        <v>42</v>
      </c>
      <c r="T948">
        <v>1</v>
      </c>
      <c r="U948" s="8">
        <f t="shared" si="93"/>
        <v>1</v>
      </c>
      <c r="AD948" t="str">
        <f t="shared" si="92"/>
        <v>o</v>
      </c>
      <c r="AE948" t="str">
        <f t="shared" si="96"/>
        <v>Pass</v>
      </c>
      <c r="AF948" t="str">
        <f t="shared" si="94"/>
        <v>Pass_Missed</v>
      </c>
      <c r="AG948" t="str">
        <f t="shared" si="95"/>
        <v>Pass-Backhand</v>
      </c>
      <c r="AN948" t="str">
        <f t="shared" si="97"/>
        <v>Defensive</v>
      </c>
      <c r="BD948" s="23"/>
      <c r="BF948" s="21"/>
    </row>
    <row r="949" spans="1:58" x14ac:dyDescent="0.2">
      <c r="A949">
        <v>483</v>
      </c>
      <c r="B949">
        <v>80</v>
      </c>
      <c r="E949" s="5" t="s">
        <v>911</v>
      </c>
      <c r="F949" s="5" t="s">
        <v>850</v>
      </c>
      <c r="I949" t="s">
        <v>840</v>
      </c>
      <c r="J949">
        <v>13</v>
      </c>
      <c r="K949">
        <v>1</v>
      </c>
      <c r="L949" t="s">
        <v>401</v>
      </c>
      <c r="M949" t="s">
        <v>10</v>
      </c>
      <c r="N949" t="s">
        <v>190</v>
      </c>
      <c r="O949" t="s">
        <v>76</v>
      </c>
      <c r="P949" t="s">
        <v>688</v>
      </c>
      <c r="T949">
        <v>1</v>
      </c>
      <c r="U949" s="8">
        <f t="shared" si="93"/>
        <v>1</v>
      </c>
      <c r="AD949" t="str">
        <f t="shared" si="92"/>
        <v>e</v>
      </c>
      <c r="AE949" t="str">
        <f t="shared" si="96"/>
        <v>Turnover</v>
      </c>
      <c r="AF949" t="str">
        <f t="shared" si="94"/>
        <v>Turnover_Giveaway</v>
      </c>
      <c r="AG949" t="str">
        <f t="shared" si="95"/>
        <v>Giveaway-PassMissed</v>
      </c>
      <c r="AN949" t="str">
        <f t="shared" si="97"/>
        <v>Offensive</v>
      </c>
      <c r="BD949" s="23"/>
      <c r="BF949" s="21"/>
    </row>
    <row r="950" spans="1:58" x14ac:dyDescent="0.2">
      <c r="A950">
        <v>483</v>
      </c>
      <c r="B950">
        <v>80</v>
      </c>
      <c r="J950">
        <v>5</v>
      </c>
      <c r="K950">
        <v>1</v>
      </c>
      <c r="U950" s="8">
        <f t="shared" si="93"/>
        <v>1</v>
      </c>
      <c r="AD950" t="str">
        <f t="shared" si="92"/>
        <v>e</v>
      </c>
      <c r="AE950" t="str">
        <f t="shared" si="96"/>
        <v>Turnover</v>
      </c>
      <c r="AF950" t="str">
        <f t="shared" si="94"/>
        <v>Turnover_Giveaway</v>
      </c>
      <c r="AG950" t="str">
        <f t="shared" si="95"/>
        <v>Giveaway-PassMissed</v>
      </c>
      <c r="AN950" t="str">
        <f t="shared" si="97"/>
        <v>Offensive</v>
      </c>
      <c r="BD950" s="23"/>
      <c r="BF950" s="21"/>
    </row>
    <row r="951" spans="1:58" x14ac:dyDescent="0.2">
      <c r="A951">
        <v>483</v>
      </c>
      <c r="B951">
        <v>80</v>
      </c>
      <c r="J951">
        <v>42</v>
      </c>
      <c r="T951">
        <v>1</v>
      </c>
      <c r="U951" s="8">
        <f t="shared" si="93"/>
        <v>1</v>
      </c>
      <c r="AD951" t="str">
        <f t="shared" si="92"/>
        <v>o</v>
      </c>
      <c r="AE951" t="str">
        <f t="shared" si="96"/>
        <v>Turnover</v>
      </c>
      <c r="AF951" t="str">
        <f t="shared" si="94"/>
        <v>Turnover_Giveaway</v>
      </c>
      <c r="AG951" t="str">
        <f t="shared" si="95"/>
        <v>Giveaway-PassMissed</v>
      </c>
      <c r="AN951" t="str">
        <f t="shared" si="97"/>
        <v>Defensive</v>
      </c>
      <c r="BD951" s="23"/>
      <c r="BF951" s="21"/>
    </row>
    <row r="952" spans="1:58" x14ac:dyDescent="0.2">
      <c r="A952">
        <v>484</v>
      </c>
      <c r="E952" s="5" t="s">
        <v>911</v>
      </c>
      <c r="F952" s="5" t="s">
        <v>853</v>
      </c>
      <c r="G952" s="5" t="s">
        <v>911</v>
      </c>
      <c r="H952" s="7" t="s">
        <v>882</v>
      </c>
      <c r="I952" t="s">
        <v>835</v>
      </c>
      <c r="J952">
        <v>84</v>
      </c>
      <c r="K952">
        <v>1</v>
      </c>
      <c r="L952" t="s">
        <v>845</v>
      </c>
      <c r="M952" t="s">
        <v>15</v>
      </c>
      <c r="N952" t="s">
        <v>680</v>
      </c>
      <c r="P952" t="s">
        <v>689</v>
      </c>
      <c r="Q952" t="s">
        <v>701</v>
      </c>
      <c r="S952" t="s">
        <v>689</v>
      </c>
      <c r="U952" s="8">
        <f t="shared" si="93"/>
        <v>1</v>
      </c>
      <c r="AD952" t="str">
        <f t="shared" si="92"/>
        <v>e</v>
      </c>
      <c r="AE952" t="str">
        <f t="shared" si="96"/>
        <v>Possession</v>
      </c>
      <c r="AF952" t="str">
        <f t="shared" si="94"/>
        <v>PuckRetrieval</v>
      </c>
      <c r="AG952" t="str">
        <f t="shared" si="95"/>
        <v/>
      </c>
      <c r="AN952" t="str">
        <f t="shared" si="97"/>
        <v>Offensive</v>
      </c>
      <c r="BD952" s="23"/>
      <c r="BF952" s="21"/>
    </row>
    <row r="953" spans="1:58" x14ac:dyDescent="0.2">
      <c r="A953">
        <v>485</v>
      </c>
      <c r="B953">
        <v>81</v>
      </c>
      <c r="E953" s="5" t="s">
        <v>911</v>
      </c>
      <c r="F953" s="5" t="s">
        <v>882</v>
      </c>
      <c r="I953" t="s">
        <v>835</v>
      </c>
      <c r="J953">
        <v>84</v>
      </c>
      <c r="K953">
        <v>1</v>
      </c>
      <c r="L953" t="s">
        <v>845</v>
      </c>
      <c r="M953" t="s">
        <v>8</v>
      </c>
      <c r="N953" t="s">
        <v>189</v>
      </c>
      <c r="O953" t="s">
        <v>67</v>
      </c>
      <c r="P953" t="s">
        <v>689</v>
      </c>
      <c r="Q953" t="s">
        <v>749</v>
      </c>
      <c r="R953" t="s">
        <v>662</v>
      </c>
      <c r="S953" t="s">
        <v>689</v>
      </c>
      <c r="U953" s="8">
        <f t="shared" si="93"/>
        <v>1</v>
      </c>
      <c r="AD953" t="str">
        <f t="shared" si="92"/>
        <v>e</v>
      </c>
      <c r="AE953" t="str">
        <f t="shared" si="96"/>
        <v>Pass</v>
      </c>
      <c r="AF953" t="str">
        <f t="shared" si="94"/>
        <v>Pass_Completed</v>
      </c>
      <c r="AG953" t="str">
        <f t="shared" si="95"/>
        <v>Pass-Stretch</v>
      </c>
      <c r="AN953" t="str">
        <f t="shared" si="97"/>
        <v>Offensive</v>
      </c>
      <c r="BD953" s="23"/>
      <c r="BF953" s="21"/>
    </row>
    <row r="954" spans="1:58" x14ac:dyDescent="0.2">
      <c r="A954">
        <v>485</v>
      </c>
      <c r="B954">
        <v>81</v>
      </c>
      <c r="J954">
        <v>87</v>
      </c>
      <c r="K954">
        <v>1</v>
      </c>
      <c r="U954" s="8">
        <f t="shared" si="93"/>
        <v>1</v>
      </c>
      <c r="AD954" t="str">
        <f t="shared" si="92"/>
        <v>e</v>
      </c>
      <c r="AE954" t="str">
        <f t="shared" si="96"/>
        <v>Pass</v>
      </c>
      <c r="AF954" t="str">
        <f t="shared" si="94"/>
        <v>Pass_Completed</v>
      </c>
      <c r="AG954" t="str">
        <f t="shared" si="95"/>
        <v>Pass-Stretch</v>
      </c>
      <c r="AN954" t="str">
        <f t="shared" si="97"/>
        <v>Offensive</v>
      </c>
      <c r="BD954" s="23"/>
      <c r="BF954" s="21"/>
    </row>
    <row r="955" spans="1:58" x14ac:dyDescent="0.2">
      <c r="A955">
        <v>486</v>
      </c>
      <c r="B955">
        <v>81</v>
      </c>
      <c r="E955" s="5" t="s">
        <v>911</v>
      </c>
      <c r="F955" s="5" t="s">
        <v>882</v>
      </c>
      <c r="I955" t="s">
        <v>835</v>
      </c>
      <c r="J955">
        <v>84</v>
      </c>
      <c r="K955">
        <v>1</v>
      </c>
      <c r="L955" t="s">
        <v>845</v>
      </c>
      <c r="M955" t="s">
        <v>257</v>
      </c>
      <c r="N955" t="s">
        <v>201</v>
      </c>
      <c r="O955" t="s">
        <v>91</v>
      </c>
      <c r="P955" t="s">
        <v>689</v>
      </c>
      <c r="Q955" t="s">
        <v>749</v>
      </c>
      <c r="S955" t="s">
        <v>689</v>
      </c>
      <c r="U955" s="8">
        <f t="shared" si="93"/>
        <v>1</v>
      </c>
      <c r="AD955" t="str">
        <f t="shared" si="92"/>
        <v>e</v>
      </c>
      <c r="AE955" t="str">
        <f t="shared" si="96"/>
        <v>Zone_Entry_Exit</v>
      </c>
      <c r="AF955" t="str">
        <f t="shared" si="94"/>
        <v>Zone_Exit</v>
      </c>
      <c r="AG955" t="str">
        <f t="shared" si="95"/>
        <v>ZoneExit-Pass</v>
      </c>
      <c r="AN955" t="str">
        <f t="shared" si="97"/>
        <v>Offensive</v>
      </c>
      <c r="BD955" s="23"/>
      <c r="BF955" s="21"/>
    </row>
    <row r="956" spans="1:58" x14ac:dyDescent="0.2">
      <c r="A956">
        <v>486</v>
      </c>
      <c r="B956">
        <v>81</v>
      </c>
      <c r="J956">
        <v>87</v>
      </c>
      <c r="K956">
        <v>1</v>
      </c>
      <c r="U956" s="8">
        <f t="shared" si="93"/>
        <v>1</v>
      </c>
      <c r="AD956" t="str">
        <f t="shared" si="92"/>
        <v>e</v>
      </c>
      <c r="AE956" t="str">
        <f t="shared" si="96"/>
        <v>Zone_Entry_Exit</v>
      </c>
      <c r="AF956" t="str">
        <f t="shared" si="94"/>
        <v>Zone_Exit</v>
      </c>
      <c r="AG956" t="str">
        <f t="shared" si="95"/>
        <v>ZoneExit-Pass</v>
      </c>
      <c r="AN956" t="str">
        <f t="shared" si="97"/>
        <v>Offensive</v>
      </c>
      <c r="BD956" s="23"/>
      <c r="BF956" s="21"/>
    </row>
    <row r="957" spans="1:58" x14ac:dyDescent="0.2">
      <c r="A957">
        <v>487</v>
      </c>
      <c r="E957" s="5" t="s">
        <v>911</v>
      </c>
      <c r="F957" s="5" t="s">
        <v>854</v>
      </c>
      <c r="G957" s="5" t="s">
        <v>911</v>
      </c>
      <c r="H957" s="7" t="s">
        <v>857</v>
      </c>
      <c r="I957" t="s">
        <v>835</v>
      </c>
      <c r="J957">
        <v>87</v>
      </c>
      <c r="K957">
        <v>1</v>
      </c>
      <c r="L957" t="s">
        <v>401</v>
      </c>
      <c r="M957" t="s">
        <v>257</v>
      </c>
      <c r="N957" t="s">
        <v>191</v>
      </c>
      <c r="O957" t="s">
        <v>87</v>
      </c>
      <c r="P957" t="s">
        <v>688</v>
      </c>
      <c r="T957">
        <v>1</v>
      </c>
      <c r="U957" s="8">
        <f t="shared" si="93"/>
        <v>1</v>
      </c>
      <c r="AD957" t="str">
        <f t="shared" si="92"/>
        <v>e</v>
      </c>
      <c r="AE957" t="str">
        <f t="shared" si="96"/>
        <v>Zone_Entry_Exit</v>
      </c>
      <c r="AF957" t="str">
        <f t="shared" si="94"/>
        <v>Zone_Entry</v>
      </c>
      <c r="AG957" t="str">
        <f t="shared" si="95"/>
        <v>ZoneEntry-Rush</v>
      </c>
      <c r="AN957" t="str">
        <f t="shared" si="97"/>
        <v>Offensive</v>
      </c>
      <c r="BD957" s="23"/>
      <c r="BF957" s="21"/>
    </row>
    <row r="958" spans="1:58" x14ac:dyDescent="0.2">
      <c r="A958">
        <v>487</v>
      </c>
      <c r="J958">
        <v>74</v>
      </c>
      <c r="T958">
        <v>1</v>
      </c>
      <c r="U958" s="8">
        <f t="shared" si="93"/>
        <v>1</v>
      </c>
      <c r="AD958" t="str">
        <f t="shared" si="92"/>
        <v>o</v>
      </c>
      <c r="AE958" t="str">
        <f t="shared" si="96"/>
        <v>Zone_Entry_Exit</v>
      </c>
      <c r="AF958" t="str">
        <f t="shared" si="94"/>
        <v>Zone_Entry</v>
      </c>
      <c r="AG958" t="str">
        <f t="shared" si="95"/>
        <v>ZoneEntry-Rush</v>
      </c>
      <c r="AN958" t="str">
        <f t="shared" si="97"/>
        <v>Defensive</v>
      </c>
      <c r="BD958" s="23"/>
      <c r="BF958" s="21"/>
    </row>
    <row r="959" spans="1:58" x14ac:dyDescent="0.2">
      <c r="A959">
        <v>488</v>
      </c>
      <c r="E959" s="5" t="s">
        <v>911</v>
      </c>
      <c r="F959" s="5" t="s">
        <v>857</v>
      </c>
      <c r="G959" s="5" t="s">
        <v>911</v>
      </c>
      <c r="H959" s="7" t="s">
        <v>859</v>
      </c>
      <c r="I959" t="s">
        <v>835</v>
      </c>
      <c r="J959">
        <v>87</v>
      </c>
      <c r="K959">
        <v>1</v>
      </c>
      <c r="L959" t="s">
        <v>401</v>
      </c>
      <c r="M959" t="s">
        <v>15</v>
      </c>
      <c r="Q959" t="s">
        <v>663</v>
      </c>
      <c r="R959" t="s">
        <v>730</v>
      </c>
      <c r="S959" t="s">
        <v>689</v>
      </c>
      <c r="T959">
        <v>1</v>
      </c>
      <c r="U959" s="8">
        <f t="shared" si="93"/>
        <v>1</v>
      </c>
      <c r="AD959" t="str">
        <f t="shared" si="92"/>
        <v>e</v>
      </c>
      <c r="AE959" t="str">
        <f t="shared" si="96"/>
        <v>Possession</v>
      </c>
      <c r="AF959" t="str">
        <f t="shared" si="94"/>
        <v/>
      </c>
      <c r="AG959" t="str">
        <f t="shared" si="95"/>
        <v/>
      </c>
      <c r="AN959" t="str">
        <f t="shared" si="97"/>
        <v>Offensive</v>
      </c>
      <c r="BD959" s="23"/>
      <c r="BF959" s="21"/>
    </row>
    <row r="960" spans="1:58" x14ac:dyDescent="0.2">
      <c r="A960">
        <v>488</v>
      </c>
      <c r="J960">
        <v>5</v>
      </c>
      <c r="T960">
        <v>1</v>
      </c>
      <c r="U960" s="8">
        <f t="shared" si="93"/>
        <v>1</v>
      </c>
      <c r="AD960" t="str">
        <f t="shared" si="92"/>
        <v>o</v>
      </c>
      <c r="AE960" t="str">
        <f t="shared" si="96"/>
        <v>Possession</v>
      </c>
      <c r="AF960" t="str">
        <f t="shared" si="94"/>
        <v/>
      </c>
      <c r="AG960" t="str">
        <f t="shared" si="95"/>
        <v/>
      </c>
      <c r="AN960" t="str">
        <f t="shared" si="97"/>
        <v>Defensive</v>
      </c>
      <c r="BD960" s="23"/>
      <c r="BF960" s="21"/>
    </row>
    <row r="961" spans="1:58" x14ac:dyDescent="0.2">
      <c r="A961">
        <v>489</v>
      </c>
      <c r="E961" s="5" t="s">
        <v>911</v>
      </c>
      <c r="F961" s="5" t="s">
        <v>859</v>
      </c>
      <c r="G961" s="5" t="s">
        <v>911</v>
      </c>
      <c r="H961" s="7" t="s">
        <v>871</v>
      </c>
      <c r="I961" t="s">
        <v>835</v>
      </c>
      <c r="J961">
        <v>87</v>
      </c>
      <c r="K961">
        <v>1</v>
      </c>
      <c r="L961" t="s">
        <v>401</v>
      </c>
      <c r="M961" t="s">
        <v>15</v>
      </c>
      <c r="Q961" t="s">
        <v>702</v>
      </c>
      <c r="T961">
        <v>1</v>
      </c>
      <c r="U961" s="8">
        <f t="shared" si="93"/>
        <v>1</v>
      </c>
      <c r="AD961" t="str">
        <f t="shared" si="92"/>
        <v>e</v>
      </c>
      <c r="AE961" t="str">
        <f t="shared" si="96"/>
        <v>Possession</v>
      </c>
      <c r="AF961" t="str">
        <f t="shared" si="94"/>
        <v/>
      </c>
      <c r="AG961" t="str">
        <f t="shared" si="95"/>
        <v/>
      </c>
      <c r="AN961" t="str">
        <f t="shared" si="97"/>
        <v>Offensive</v>
      </c>
      <c r="BD961" s="23"/>
      <c r="BF961" s="21"/>
    </row>
    <row r="962" spans="1:58" x14ac:dyDescent="0.2">
      <c r="A962">
        <v>489</v>
      </c>
      <c r="J962">
        <v>13</v>
      </c>
      <c r="T962">
        <v>1</v>
      </c>
      <c r="U962" s="8">
        <f t="shared" si="93"/>
        <v>1</v>
      </c>
      <c r="AD962" t="str">
        <f t="shared" ref="AD962:AD1025" si="98">IF(K962="x","",IF(K962=1,"e","o"))</f>
        <v>o</v>
      </c>
      <c r="AE962" t="str">
        <f t="shared" si="96"/>
        <v>Possession</v>
      </c>
      <c r="AF962" t="str">
        <f t="shared" si="94"/>
        <v/>
      </c>
      <c r="AG962" t="str">
        <f t="shared" si="95"/>
        <v/>
      </c>
      <c r="AN962" t="str">
        <f t="shared" si="97"/>
        <v>Defensive</v>
      </c>
      <c r="BD962" s="23"/>
      <c r="BF962" s="21"/>
    </row>
    <row r="963" spans="1:58" x14ac:dyDescent="0.2">
      <c r="A963">
        <v>490</v>
      </c>
      <c r="E963" s="5" t="s">
        <v>911</v>
      </c>
      <c r="F963" s="5" t="s">
        <v>871</v>
      </c>
      <c r="I963" t="s">
        <v>835</v>
      </c>
      <c r="J963">
        <v>87</v>
      </c>
      <c r="K963">
        <v>1</v>
      </c>
      <c r="L963" t="s">
        <v>401</v>
      </c>
      <c r="M963" t="s">
        <v>8</v>
      </c>
      <c r="N963" t="s">
        <v>189</v>
      </c>
      <c r="O963" t="s">
        <v>70</v>
      </c>
      <c r="P963" t="s">
        <v>689</v>
      </c>
      <c r="T963">
        <v>1</v>
      </c>
      <c r="U963" s="8">
        <f t="shared" ref="U963:U1026" si="99">IF(M963="Intermission",U962+1,U962)</f>
        <v>1</v>
      </c>
      <c r="AD963" t="str">
        <f t="shared" si="98"/>
        <v>e</v>
      </c>
      <c r="AE963" t="str">
        <f t="shared" si="96"/>
        <v>Pass</v>
      </c>
      <c r="AF963" t="str">
        <f t="shared" ref="AF963:AF1026" si="100">IF(N963&lt;&gt;"",N963,IF($A963=$A962,AF962,""))</f>
        <v>Pass_Completed</v>
      </c>
      <c r="AG963" t="str">
        <f t="shared" ref="AG963:AG1026" si="101">IF(O963&lt;&gt;"",O963,IF($A963=$A962,AG962,""))</f>
        <v>Pass-Forehand</v>
      </c>
      <c r="AN963" t="str">
        <f t="shared" si="97"/>
        <v>Offensive</v>
      </c>
      <c r="BD963" s="23"/>
      <c r="BF963" s="21"/>
    </row>
    <row r="964" spans="1:58" x14ac:dyDescent="0.2">
      <c r="A964">
        <v>490</v>
      </c>
      <c r="J964">
        <v>49</v>
      </c>
      <c r="K964">
        <v>1</v>
      </c>
      <c r="U964" s="8">
        <f t="shared" si="99"/>
        <v>1</v>
      </c>
      <c r="AD964" t="str">
        <f t="shared" si="98"/>
        <v>e</v>
      </c>
      <c r="AE964" t="str">
        <f t="shared" ref="AE964:AE1027" si="102">IF(M964&lt;&gt;"",M964,IF($A964=$A963,AE963,""))</f>
        <v>Pass</v>
      </c>
      <c r="AF964" t="str">
        <f t="shared" si="100"/>
        <v>Pass_Completed</v>
      </c>
      <c r="AG964" t="str">
        <f t="shared" si="101"/>
        <v>Pass-Forehand</v>
      </c>
      <c r="AN964" t="str">
        <f t="shared" si="97"/>
        <v>Offensive</v>
      </c>
      <c r="BD964" s="23"/>
      <c r="BF964" s="21"/>
    </row>
    <row r="965" spans="1:58" x14ac:dyDescent="0.2">
      <c r="A965">
        <v>490</v>
      </c>
      <c r="J965">
        <v>13</v>
      </c>
      <c r="T965">
        <v>1</v>
      </c>
      <c r="U965" s="8">
        <f t="shared" si="99"/>
        <v>1</v>
      </c>
      <c r="AD965" t="str">
        <f t="shared" si="98"/>
        <v>o</v>
      </c>
      <c r="AE965" t="str">
        <f t="shared" si="102"/>
        <v>Pass</v>
      </c>
      <c r="AF965" t="str">
        <f t="shared" si="100"/>
        <v>Pass_Completed</v>
      </c>
      <c r="AG965" t="str">
        <f t="shared" si="101"/>
        <v>Pass-Forehand</v>
      </c>
      <c r="AN965" t="str">
        <f t="shared" si="97"/>
        <v>Defensive</v>
      </c>
      <c r="BD965" s="23"/>
      <c r="BF965" s="21"/>
    </row>
    <row r="966" spans="1:58" x14ac:dyDescent="0.2">
      <c r="A966">
        <v>491</v>
      </c>
      <c r="B966">
        <v>82</v>
      </c>
      <c r="E966" s="5" t="s">
        <v>911</v>
      </c>
      <c r="F966" s="5" t="s">
        <v>864</v>
      </c>
      <c r="I966" t="s">
        <v>835</v>
      </c>
      <c r="J966">
        <v>49</v>
      </c>
      <c r="K966">
        <v>1</v>
      </c>
      <c r="L966" t="s">
        <v>401</v>
      </c>
      <c r="M966" t="s">
        <v>8</v>
      </c>
      <c r="N966" t="s">
        <v>209</v>
      </c>
      <c r="O966" t="s">
        <v>70</v>
      </c>
      <c r="P966" t="s">
        <v>688</v>
      </c>
      <c r="Q966" t="s">
        <v>749</v>
      </c>
      <c r="S966" t="s">
        <v>688</v>
      </c>
      <c r="U966" s="8">
        <f t="shared" si="99"/>
        <v>1</v>
      </c>
      <c r="AD966" t="str">
        <f t="shared" si="98"/>
        <v>e</v>
      </c>
      <c r="AE966" t="str">
        <f t="shared" si="102"/>
        <v>Pass</v>
      </c>
      <c r="AF966" t="str">
        <f t="shared" si="100"/>
        <v>Pass_Deflected</v>
      </c>
      <c r="AG966" t="str">
        <f t="shared" si="101"/>
        <v>Pass-Forehand</v>
      </c>
      <c r="AN966" t="str">
        <f t="shared" si="97"/>
        <v>Offensive</v>
      </c>
      <c r="BD966" s="23"/>
      <c r="BF966" s="21"/>
    </row>
    <row r="967" spans="1:58" x14ac:dyDescent="0.2">
      <c r="A967">
        <v>491</v>
      </c>
      <c r="B967">
        <v>82</v>
      </c>
      <c r="J967">
        <v>24</v>
      </c>
      <c r="K967">
        <v>1</v>
      </c>
      <c r="T967">
        <v>1</v>
      </c>
      <c r="U967" s="8">
        <f t="shared" si="99"/>
        <v>1</v>
      </c>
      <c r="AD967" t="str">
        <f t="shared" si="98"/>
        <v>e</v>
      </c>
      <c r="AE967" t="str">
        <f t="shared" si="102"/>
        <v>Pass</v>
      </c>
      <c r="AF967" t="str">
        <f t="shared" si="100"/>
        <v>Pass_Deflected</v>
      </c>
      <c r="AG967" t="str">
        <f t="shared" si="101"/>
        <v>Pass-Forehand</v>
      </c>
      <c r="AN967" t="str">
        <f t="shared" si="97"/>
        <v>Offensive</v>
      </c>
      <c r="BD967" s="23"/>
      <c r="BF967" s="21"/>
    </row>
    <row r="968" spans="1:58" x14ac:dyDescent="0.2">
      <c r="A968">
        <v>491</v>
      </c>
      <c r="B968">
        <v>82</v>
      </c>
      <c r="J968">
        <v>71</v>
      </c>
      <c r="Q968" t="s">
        <v>833</v>
      </c>
      <c r="S968" t="s">
        <v>689</v>
      </c>
      <c r="T968">
        <v>1</v>
      </c>
      <c r="U968" s="8">
        <f t="shared" si="99"/>
        <v>1</v>
      </c>
      <c r="AD968" t="str">
        <f t="shared" si="98"/>
        <v>o</v>
      </c>
      <c r="AE968" t="str">
        <f t="shared" si="102"/>
        <v>Pass</v>
      </c>
      <c r="AF968" t="str">
        <f t="shared" si="100"/>
        <v>Pass_Deflected</v>
      </c>
      <c r="AG968" t="str">
        <f t="shared" si="101"/>
        <v>Pass-Forehand</v>
      </c>
      <c r="AN968" t="str">
        <f t="shared" si="97"/>
        <v>Defensive</v>
      </c>
      <c r="BD968" s="23"/>
      <c r="BF968" s="21"/>
    </row>
    <row r="969" spans="1:58" x14ac:dyDescent="0.2">
      <c r="A969">
        <v>492</v>
      </c>
      <c r="B969">
        <v>82</v>
      </c>
      <c r="E969" s="5" t="s">
        <v>911</v>
      </c>
      <c r="F969" s="5" t="s">
        <v>865</v>
      </c>
      <c r="I969" t="s">
        <v>840</v>
      </c>
      <c r="K969">
        <v>1</v>
      </c>
      <c r="L969" t="s">
        <v>845</v>
      </c>
      <c r="M969" t="s">
        <v>257</v>
      </c>
      <c r="N969" t="s">
        <v>201</v>
      </c>
      <c r="O969" t="s">
        <v>411</v>
      </c>
      <c r="P969" t="s">
        <v>688</v>
      </c>
      <c r="U969" s="8">
        <f t="shared" si="99"/>
        <v>1</v>
      </c>
      <c r="AD969" t="str">
        <f t="shared" si="98"/>
        <v>e</v>
      </c>
      <c r="AE969" t="str">
        <f t="shared" si="102"/>
        <v>Zone_Entry_Exit</v>
      </c>
      <c r="AF969" t="str">
        <f t="shared" si="100"/>
        <v>Zone_Exit</v>
      </c>
      <c r="AG969" t="str">
        <f t="shared" si="101"/>
        <v>ZoneExit-OppTeam</v>
      </c>
      <c r="AN969" t="str">
        <f t="shared" ref="AN969:AN1032" si="103">IF(AND(AD969="e",OR(AE969="Save",AF969="Turnover_Takeaway",AF969="Play_Defensive")),"Defensive",IF(AND(AD969="o",OR(AE969="Save",AF969="Turnover_Takeaway",AF969="Play_Defensive")),"Offensive",IF(OR(AE969="Deadice",AE969="Stoppage",AE969="Intermission"),"",IF(AD969="e","Offensive",IF(AD969="o","Defensive","")))))</f>
        <v>Offensive</v>
      </c>
      <c r="BD969" s="23"/>
      <c r="BF969" s="21"/>
    </row>
    <row r="970" spans="1:58" x14ac:dyDescent="0.2">
      <c r="A970">
        <v>493</v>
      </c>
      <c r="E970" s="5" t="s">
        <v>911</v>
      </c>
      <c r="F970" s="5" t="s">
        <v>899</v>
      </c>
      <c r="G970" s="5" t="s">
        <v>911</v>
      </c>
      <c r="H970" s="7" t="s">
        <v>892</v>
      </c>
      <c r="I970" t="s">
        <v>835</v>
      </c>
      <c r="J970">
        <v>84</v>
      </c>
      <c r="K970">
        <v>1</v>
      </c>
      <c r="L970" t="s">
        <v>839</v>
      </c>
      <c r="M970" t="s">
        <v>15</v>
      </c>
      <c r="N970" t="s">
        <v>681</v>
      </c>
      <c r="P970" t="s">
        <v>689</v>
      </c>
      <c r="Q970" t="s">
        <v>714</v>
      </c>
      <c r="S970" t="s">
        <v>689</v>
      </c>
      <c r="U970" s="8">
        <f t="shared" si="99"/>
        <v>1</v>
      </c>
      <c r="AD970" t="str">
        <f t="shared" si="98"/>
        <v>e</v>
      </c>
      <c r="AE970" t="str">
        <f t="shared" si="102"/>
        <v>Possession</v>
      </c>
      <c r="AF970" t="str">
        <f t="shared" si="100"/>
        <v>PuckRecovery</v>
      </c>
      <c r="AG970" t="str">
        <f t="shared" si="101"/>
        <v/>
      </c>
      <c r="AN970" t="str">
        <f t="shared" si="103"/>
        <v>Offensive</v>
      </c>
      <c r="BD970" s="23"/>
      <c r="BF970" s="21"/>
    </row>
    <row r="971" spans="1:58" x14ac:dyDescent="0.2">
      <c r="A971">
        <v>494</v>
      </c>
      <c r="E971" s="5" t="s">
        <v>911</v>
      </c>
      <c r="F971" s="5" t="s">
        <v>892</v>
      </c>
      <c r="G971" s="5" t="s">
        <v>911</v>
      </c>
      <c r="H971" s="7" t="s">
        <v>902</v>
      </c>
      <c r="I971" t="s">
        <v>835</v>
      </c>
      <c r="J971">
        <v>84</v>
      </c>
      <c r="K971">
        <v>1</v>
      </c>
      <c r="L971" t="s">
        <v>401</v>
      </c>
      <c r="M971" t="s">
        <v>257</v>
      </c>
      <c r="N971" t="s">
        <v>191</v>
      </c>
      <c r="O971" t="s">
        <v>87</v>
      </c>
      <c r="P971" t="s">
        <v>689</v>
      </c>
      <c r="Q971" t="s">
        <v>702</v>
      </c>
      <c r="U971" s="8">
        <f t="shared" si="99"/>
        <v>1</v>
      </c>
      <c r="AD971" t="str">
        <f t="shared" si="98"/>
        <v>e</v>
      </c>
      <c r="AE971" t="str">
        <f t="shared" si="102"/>
        <v>Zone_Entry_Exit</v>
      </c>
      <c r="AF971" t="str">
        <f t="shared" si="100"/>
        <v>Zone_Entry</v>
      </c>
      <c r="AG971" t="str">
        <f t="shared" si="101"/>
        <v>ZoneEntry-Rush</v>
      </c>
      <c r="AN971" t="str">
        <f t="shared" si="103"/>
        <v>Offensive</v>
      </c>
      <c r="BD971" s="23"/>
      <c r="BF971" s="21"/>
    </row>
    <row r="972" spans="1:58" x14ac:dyDescent="0.2">
      <c r="A972">
        <v>494</v>
      </c>
      <c r="J972">
        <v>49</v>
      </c>
      <c r="K972">
        <v>1</v>
      </c>
      <c r="U972" s="8">
        <f t="shared" si="99"/>
        <v>1</v>
      </c>
      <c r="AD972" t="str">
        <f t="shared" si="98"/>
        <v>e</v>
      </c>
      <c r="AE972" t="str">
        <f t="shared" si="102"/>
        <v>Zone_Entry_Exit</v>
      </c>
      <c r="AF972" t="str">
        <f t="shared" si="100"/>
        <v>Zone_Entry</v>
      </c>
      <c r="AG972" t="str">
        <f t="shared" si="101"/>
        <v>ZoneEntry-Rush</v>
      </c>
      <c r="AN972" t="str">
        <f t="shared" si="103"/>
        <v>Offensive</v>
      </c>
      <c r="BD972" s="23"/>
      <c r="BF972" s="21"/>
    </row>
    <row r="973" spans="1:58" x14ac:dyDescent="0.2">
      <c r="A973">
        <v>494</v>
      </c>
      <c r="J973">
        <v>74</v>
      </c>
      <c r="U973" s="8">
        <f t="shared" si="99"/>
        <v>1</v>
      </c>
      <c r="AD973" t="str">
        <f t="shared" si="98"/>
        <v>o</v>
      </c>
      <c r="AE973" t="str">
        <f t="shared" si="102"/>
        <v>Zone_Entry_Exit</v>
      </c>
      <c r="AF973" t="str">
        <f t="shared" si="100"/>
        <v>Zone_Entry</v>
      </c>
      <c r="AG973" t="str">
        <f t="shared" si="101"/>
        <v>ZoneEntry-Rush</v>
      </c>
      <c r="AN973" t="str">
        <f t="shared" si="103"/>
        <v>Defensive</v>
      </c>
      <c r="BD973" s="23"/>
      <c r="BF973" s="21"/>
    </row>
    <row r="974" spans="1:58" x14ac:dyDescent="0.2">
      <c r="A974">
        <v>494</v>
      </c>
      <c r="J974">
        <v>17</v>
      </c>
      <c r="U974" s="8">
        <f t="shared" si="99"/>
        <v>1</v>
      </c>
      <c r="AD974" t="str">
        <f t="shared" si="98"/>
        <v>o</v>
      </c>
      <c r="AE974" t="str">
        <f t="shared" si="102"/>
        <v>Zone_Entry_Exit</v>
      </c>
      <c r="AF974" t="str">
        <f t="shared" si="100"/>
        <v>Zone_Entry</v>
      </c>
      <c r="AG974" t="str">
        <f t="shared" si="101"/>
        <v>ZoneEntry-Rush</v>
      </c>
      <c r="AN974" t="str">
        <f t="shared" si="103"/>
        <v>Defensive</v>
      </c>
      <c r="BD974" s="23"/>
      <c r="BF974" s="21"/>
    </row>
    <row r="975" spans="1:58" x14ac:dyDescent="0.2">
      <c r="A975">
        <v>495</v>
      </c>
      <c r="B975">
        <v>83</v>
      </c>
      <c r="E975" s="5" t="s">
        <v>911</v>
      </c>
      <c r="F975" s="5" t="s">
        <v>893</v>
      </c>
      <c r="I975" t="s">
        <v>835</v>
      </c>
      <c r="J975">
        <v>84</v>
      </c>
      <c r="K975">
        <v>1</v>
      </c>
      <c r="L975" t="s">
        <v>401</v>
      </c>
      <c r="M975" t="s">
        <v>7</v>
      </c>
      <c r="N975" t="s">
        <v>222</v>
      </c>
      <c r="O975" t="s">
        <v>53</v>
      </c>
      <c r="P975" t="s">
        <v>689</v>
      </c>
      <c r="U975" s="8">
        <f t="shared" si="99"/>
        <v>1</v>
      </c>
      <c r="AD975" t="str">
        <f t="shared" si="98"/>
        <v>e</v>
      </c>
      <c r="AE975" t="str">
        <f t="shared" si="102"/>
        <v>Shot</v>
      </c>
      <c r="AF975" t="str">
        <f t="shared" si="100"/>
        <v>Shot_OnNetSaved</v>
      </c>
      <c r="AG975" t="str">
        <f t="shared" si="101"/>
        <v>Shot-Wrist</v>
      </c>
      <c r="AN975" t="str">
        <f t="shared" si="103"/>
        <v>Offensive</v>
      </c>
      <c r="BD975" s="23"/>
      <c r="BF975" s="21"/>
    </row>
    <row r="976" spans="1:58" x14ac:dyDescent="0.2">
      <c r="A976">
        <v>495</v>
      </c>
      <c r="B976">
        <v>83</v>
      </c>
      <c r="J976">
        <v>38</v>
      </c>
      <c r="U976" s="8">
        <f t="shared" si="99"/>
        <v>1</v>
      </c>
      <c r="AD976" t="str">
        <f t="shared" si="98"/>
        <v>o</v>
      </c>
      <c r="AE976" t="str">
        <f t="shared" si="102"/>
        <v>Shot</v>
      </c>
      <c r="AF976" t="str">
        <f t="shared" si="100"/>
        <v>Shot_OnNetSaved</v>
      </c>
      <c r="AG976" t="str">
        <f t="shared" si="101"/>
        <v>Shot-Wrist</v>
      </c>
      <c r="AN976" t="str">
        <f t="shared" si="103"/>
        <v>Defensive</v>
      </c>
      <c r="BD976" s="23"/>
      <c r="BF976" s="21"/>
    </row>
    <row r="977" spans="1:58" x14ac:dyDescent="0.2">
      <c r="A977">
        <v>496</v>
      </c>
      <c r="B977">
        <v>83</v>
      </c>
      <c r="E977" s="5" t="s">
        <v>911</v>
      </c>
      <c r="F977" s="5" t="s">
        <v>893</v>
      </c>
      <c r="I977" t="s">
        <v>840</v>
      </c>
      <c r="J977">
        <v>38</v>
      </c>
      <c r="K977">
        <v>1</v>
      </c>
      <c r="L977" t="s">
        <v>845</v>
      </c>
      <c r="M977" t="s">
        <v>17</v>
      </c>
      <c r="N977" t="s">
        <v>196</v>
      </c>
      <c r="O977" t="s">
        <v>99</v>
      </c>
      <c r="U977" s="8">
        <f t="shared" si="99"/>
        <v>1</v>
      </c>
      <c r="AD977" t="str">
        <f t="shared" si="98"/>
        <v>e</v>
      </c>
      <c r="AE977" t="str">
        <f t="shared" si="102"/>
        <v>Save</v>
      </c>
      <c r="AF977" t="str">
        <f t="shared" si="100"/>
        <v>Save_Rebound</v>
      </c>
      <c r="AG977" t="str">
        <f t="shared" si="101"/>
        <v>Save-RightPad</v>
      </c>
      <c r="AN977" t="str">
        <f t="shared" si="103"/>
        <v>Defensive</v>
      </c>
      <c r="BD977" s="23"/>
      <c r="BF977" s="21"/>
    </row>
    <row r="978" spans="1:58" x14ac:dyDescent="0.2">
      <c r="A978">
        <v>496</v>
      </c>
      <c r="B978">
        <v>83</v>
      </c>
      <c r="J978">
        <v>84</v>
      </c>
      <c r="U978" s="8">
        <f t="shared" si="99"/>
        <v>1</v>
      </c>
      <c r="AD978" t="str">
        <f t="shared" si="98"/>
        <v>o</v>
      </c>
      <c r="AE978" t="str">
        <f t="shared" si="102"/>
        <v>Save</v>
      </c>
      <c r="AF978" t="str">
        <f t="shared" si="100"/>
        <v>Save_Rebound</v>
      </c>
      <c r="AG978" t="str">
        <f t="shared" si="101"/>
        <v>Save-RightPad</v>
      </c>
      <c r="AN978" t="str">
        <f t="shared" si="103"/>
        <v>Offensive</v>
      </c>
      <c r="BD978" s="23"/>
      <c r="BF978" s="21"/>
    </row>
    <row r="979" spans="1:58" x14ac:dyDescent="0.2">
      <c r="A979">
        <v>497</v>
      </c>
      <c r="B979">
        <v>83</v>
      </c>
      <c r="E979" s="5" t="s">
        <v>911</v>
      </c>
      <c r="F979" s="5" t="s">
        <v>893</v>
      </c>
      <c r="I979" t="s">
        <v>840</v>
      </c>
      <c r="J979">
        <v>38</v>
      </c>
      <c r="K979">
        <v>1</v>
      </c>
      <c r="L979" t="s">
        <v>845</v>
      </c>
      <c r="M979" t="s">
        <v>250</v>
      </c>
      <c r="N979" t="s">
        <v>251</v>
      </c>
      <c r="U979" s="8">
        <f t="shared" si="99"/>
        <v>1</v>
      </c>
      <c r="AD979" t="str">
        <f t="shared" si="98"/>
        <v>e</v>
      </c>
      <c r="AE979" t="str">
        <f t="shared" si="102"/>
        <v>Rebound</v>
      </c>
      <c r="AF979" t="str">
        <f t="shared" si="100"/>
        <v>Rebound_TeamRecovered</v>
      </c>
      <c r="AG979" t="str">
        <f t="shared" si="101"/>
        <v/>
      </c>
      <c r="AN979" t="str">
        <f t="shared" si="103"/>
        <v>Offensive</v>
      </c>
      <c r="BD979" s="23"/>
      <c r="BF979" s="21"/>
    </row>
    <row r="980" spans="1:58" x14ac:dyDescent="0.2">
      <c r="A980">
        <v>498</v>
      </c>
      <c r="E980" s="5" t="s">
        <v>911</v>
      </c>
      <c r="F980" s="5" t="s">
        <v>870</v>
      </c>
      <c r="I980" t="s">
        <v>840</v>
      </c>
      <c r="J980">
        <v>19</v>
      </c>
      <c r="K980">
        <v>1</v>
      </c>
      <c r="L980" t="s">
        <v>845</v>
      </c>
      <c r="M980" t="s">
        <v>15</v>
      </c>
      <c r="N980" t="s">
        <v>681</v>
      </c>
      <c r="P980" t="s">
        <v>688</v>
      </c>
      <c r="Q980" t="s">
        <v>747</v>
      </c>
      <c r="S980" t="s">
        <v>688</v>
      </c>
      <c r="U980" s="8">
        <f t="shared" si="99"/>
        <v>1</v>
      </c>
      <c r="AD980" t="str">
        <f t="shared" si="98"/>
        <v>e</v>
      </c>
      <c r="AE980" t="str">
        <f t="shared" si="102"/>
        <v>Possession</v>
      </c>
      <c r="AF980" t="str">
        <f t="shared" si="100"/>
        <v>PuckRecovery</v>
      </c>
      <c r="AG980" t="str">
        <f t="shared" si="101"/>
        <v/>
      </c>
      <c r="AN980" t="str">
        <f t="shared" si="103"/>
        <v>Offensive</v>
      </c>
      <c r="BD980" s="23"/>
      <c r="BF980" s="21"/>
    </row>
    <row r="981" spans="1:58" x14ac:dyDescent="0.2">
      <c r="A981">
        <v>499</v>
      </c>
      <c r="E981" s="5" t="s">
        <v>911</v>
      </c>
      <c r="F981" s="5" t="s">
        <v>870</v>
      </c>
      <c r="I981" t="s">
        <v>840</v>
      </c>
      <c r="J981">
        <v>19</v>
      </c>
      <c r="K981">
        <v>1</v>
      </c>
      <c r="L981" t="s">
        <v>845</v>
      </c>
      <c r="M981" t="s">
        <v>257</v>
      </c>
      <c r="N981" t="s">
        <v>201</v>
      </c>
      <c r="O981" t="s">
        <v>407</v>
      </c>
      <c r="P981" t="s">
        <v>688</v>
      </c>
      <c r="Q981" t="s">
        <v>716</v>
      </c>
      <c r="S981" t="s">
        <v>688</v>
      </c>
      <c r="T981">
        <v>1</v>
      </c>
      <c r="U981" s="8">
        <f t="shared" si="99"/>
        <v>1</v>
      </c>
      <c r="AD981" t="str">
        <f t="shared" si="98"/>
        <v>e</v>
      </c>
      <c r="AE981" t="str">
        <f t="shared" si="102"/>
        <v>Zone_Entry_Exit</v>
      </c>
      <c r="AF981" t="str">
        <f t="shared" si="100"/>
        <v>Zone_Exit</v>
      </c>
      <c r="AG981" t="str">
        <f t="shared" si="101"/>
        <v>ZoneExit-Chip</v>
      </c>
      <c r="AN981" t="str">
        <f t="shared" si="103"/>
        <v>Offensive</v>
      </c>
      <c r="BD981" s="23"/>
      <c r="BF981" s="21"/>
    </row>
    <row r="982" spans="1:58" x14ac:dyDescent="0.2">
      <c r="A982">
        <v>499</v>
      </c>
      <c r="J982">
        <v>61</v>
      </c>
      <c r="T982">
        <v>1</v>
      </c>
      <c r="U982" s="8">
        <f t="shared" si="99"/>
        <v>1</v>
      </c>
      <c r="AD982" t="str">
        <f t="shared" si="98"/>
        <v>o</v>
      </c>
      <c r="AE982" t="str">
        <f t="shared" si="102"/>
        <v>Zone_Entry_Exit</v>
      </c>
      <c r="AF982" t="str">
        <f t="shared" si="100"/>
        <v>Zone_Exit</v>
      </c>
      <c r="AG982" t="str">
        <f t="shared" si="101"/>
        <v>ZoneExit-Chip</v>
      </c>
      <c r="AN982" t="str">
        <f t="shared" si="103"/>
        <v>Defensive</v>
      </c>
      <c r="BD982" s="23"/>
      <c r="BF982" s="21"/>
    </row>
    <row r="983" spans="1:58" x14ac:dyDescent="0.2">
      <c r="A983">
        <v>500</v>
      </c>
      <c r="E983" s="5" t="s">
        <v>900</v>
      </c>
      <c r="F983" s="5" t="s">
        <v>837</v>
      </c>
      <c r="I983" t="s">
        <v>835</v>
      </c>
      <c r="J983">
        <v>55</v>
      </c>
      <c r="K983">
        <v>1</v>
      </c>
      <c r="L983" t="s">
        <v>839</v>
      </c>
      <c r="M983" t="s">
        <v>15</v>
      </c>
      <c r="N983" t="s">
        <v>680</v>
      </c>
      <c r="P983" t="s">
        <v>689</v>
      </c>
      <c r="Q983" t="s">
        <v>698</v>
      </c>
      <c r="S983" t="s">
        <v>688</v>
      </c>
      <c r="U983" s="8">
        <f t="shared" si="99"/>
        <v>1</v>
      </c>
      <c r="AD983" t="str">
        <f t="shared" si="98"/>
        <v>e</v>
      </c>
      <c r="AE983" t="str">
        <f t="shared" si="102"/>
        <v>Possession</v>
      </c>
      <c r="AF983" t="str">
        <f t="shared" si="100"/>
        <v>PuckRetrieval</v>
      </c>
      <c r="AG983" t="str">
        <f t="shared" si="101"/>
        <v/>
      </c>
      <c r="AN983" t="str">
        <f t="shared" si="103"/>
        <v>Offensive</v>
      </c>
      <c r="BD983" s="23"/>
      <c r="BF983" s="21"/>
    </row>
    <row r="984" spans="1:58" x14ac:dyDescent="0.2">
      <c r="A984">
        <v>501</v>
      </c>
      <c r="E984" s="5" t="s">
        <v>900</v>
      </c>
      <c r="F984" s="5" t="s">
        <v>837</v>
      </c>
      <c r="I984" t="s">
        <v>835</v>
      </c>
      <c r="J984">
        <v>55</v>
      </c>
      <c r="K984">
        <v>1</v>
      </c>
      <c r="L984" t="s">
        <v>839</v>
      </c>
      <c r="M984" t="s">
        <v>8</v>
      </c>
      <c r="N984" t="s">
        <v>189</v>
      </c>
      <c r="O984" t="s">
        <v>71</v>
      </c>
      <c r="P984" t="s">
        <v>689</v>
      </c>
      <c r="Q984" t="s">
        <v>749</v>
      </c>
      <c r="S984" t="s">
        <v>689</v>
      </c>
      <c r="U984" s="8">
        <f t="shared" si="99"/>
        <v>1</v>
      </c>
      <c r="AD984" t="str">
        <f t="shared" si="98"/>
        <v>e</v>
      </c>
      <c r="AE984" t="str">
        <f t="shared" si="102"/>
        <v>Pass</v>
      </c>
      <c r="AF984" t="str">
        <f t="shared" si="100"/>
        <v>Pass_Completed</v>
      </c>
      <c r="AG984" t="str">
        <f t="shared" si="101"/>
        <v>Pass-Bank</v>
      </c>
      <c r="AN984" t="str">
        <f t="shared" si="103"/>
        <v>Offensive</v>
      </c>
      <c r="BD984" s="23"/>
      <c r="BF984" s="21"/>
    </row>
    <row r="985" spans="1:58" x14ac:dyDescent="0.2">
      <c r="A985">
        <v>501</v>
      </c>
      <c r="J985">
        <v>61</v>
      </c>
      <c r="U985" s="8">
        <f t="shared" si="99"/>
        <v>1</v>
      </c>
      <c r="AD985" t="str">
        <f t="shared" si="98"/>
        <v>o</v>
      </c>
      <c r="AE985" t="str">
        <f t="shared" si="102"/>
        <v>Pass</v>
      </c>
      <c r="AF985" t="str">
        <f t="shared" si="100"/>
        <v>Pass_Completed</v>
      </c>
      <c r="AG985" t="str">
        <f t="shared" si="101"/>
        <v>Pass-Bank</v>
      </c>
      <c r="AN985" t="str">
        <f t="shared" si="103"/>
        <v>Defensive</v>
      </c>
      <c r="BD985" s="23"/>
      <c r="BF985" s="21"/>
    </row>
    <row r="986" spans="1:58" x14ac:dyDescent="0.2">
      <c r="A986">
        <v>502</v>
      </c>
      <c r="E986" s="5" t="s">
        <v>900</v>
      </c>
      <c r="F986" s="5" t="s">
        <v>872</v>
      </c>
      <c r="G986" s="5" t="s">
        <v>900</v>
      </c>
      <c r="H986" s="7" t="s">
        <v>838</v>
      </c>
      <c r="I986" t="s">
        <v>835</v>
      </c>
      <c r="J986">
        <v>61</v>
      </c>
      <c r="K986">
        <v>1</v>
      </c>
      <c r="L986" t="s">
        <v>839</v>
      </c>
      <c r="M986" t="s">
        <v>15</v>
      </c>
      <c r="U986" s="8">
        <f t="shared" si="99"/>
        <v>1</v>
      </c>
      <c r="AD986" t="str">
        <f t="shared" si="98"/>
        <v>e</v>
      </c>
      <c r="AE986" t="str">
        <f t="shared" si="102"/>
        <v>Possession</v>
      </c>
      <c r="AF986" t="str">
        <f t="shared" si="100"/>
        <v/>
      </c>
      <c r="AG986" t="str">
        <f t="shared" si="101"/>
        <v/>
      </c>
      <c r="AN986" t="str">
        <f t="shared" si="103"/>
        <v>Offensive</v>
      </c>
      <c r="BD986" s="23"/>
      <c r="BF986" s="21"/>
    </row>
    <row r="987" spans="1:58" x14ac:dyDescent="0.2">
      <c r="A987">
        <v>503</v>
      </c>
      <c r="B987">
        <v>84</v>
      </c>
      <c r="E987" s="5" t="s">
        <v>900</v>
      </c>
      <c r="F987" s="5" t="s">
        <v>895</v>
      </c>
      <c r="I987" t="s">
        <v>835</v>
      </c>
      <c r="J987">
        <v>61</v>
      </c>
      <c r="K987">
        <v>1</v>
      </c>
      <c r="L987" t="s">
        <v>839</v>
      </c>
      <c r="M987" t="s">
        <v>8</v>
      </c>
      <c r="N987" t="s">
        <v>189</v>
      </c>
      <c r="O987" t="s">
        <v>70</v>
      </c>
      <c r="P987" t="s">
        <v>689</v>
      </c>
      <c r="U987" s="8">
        <f t="shared" si="99"/>
        <v>1</v>
      </c>
      <c r="AD987" t="str">
        <f t="shared" si="98"/>
        <v>e</v>
      </c>
      <c r="AE987" t="str">
        <f t="shared" si="102"/>
        <v>Pass</v>
      </c>
      <c r="AF987" t="str">
        <f t="shared" si="100"/>
        <v>Pass_Completed</v>
      </c>
      <c r="AG987" t="str">
        <f t="shared" si="101"/>
        <v>Pass-Forehand</v>
      </c>
      <c r="AN987" t="str">
        <f t="shared" si="103"/>
        <v>Offensive</v>
      </c>
      <c r="BD987" s="23"/>
      <c r="BF987" s="21"/>
    </row>
    <row r="988" spans="1:58" x14ac:dyDescent="0.2">
      <c r="A988">
        <v>503</v>
      </c>
      <c r="B988">
        <v>84</v>
      </c>
      <c r="J988">
        <v>84</v>
      </c>
      <c r="U988" s="8">
        <f t="shared" si="99"/>
        <v>1</v>
      </c>
      <c r="AD988" t="str">
        <f t="shared" si="98"/>
        <v>o</v>
      </c>
      <c r="AE988" t="str">
        <f t="shared" si="102"/>
        <v>Pass</v>
      </c>
      <c r="AF988" t="str">
        <f t="shared" si="100"/>
        <v>Pass_Completed</v>
      </c>
      <c r="AG988" t="str">
        <f t="shared" si="101"/>
        <v>Pass-Forehand</v>
      </c>
      <c r="AN988" t="str">
        <f t="shared" si="103"/>
        <v>Defensive</v>
      </c>
      <c r="BD988" s="23"/>
      <c r="BF988" s="21"/>
    </row>
    <row r="989" spans="1:58" x14ac:dyDescent="0.2">
      <c r="A989">
        <v>504</v>
      </c>
      <c r="B989">
        <v>84</v>
      </c>
      <c r="E989" s="5" t="s">
        <v>900</v>
      </c>
      <c r="F989" s="5" t="s">
        <v>895</v>
      </c>
      <c r="I989" t="s">
        <v>835</v>
      </c>
      <c r="J989">
        <v>61</v>
      </c>
      <c r="K989">
        <v>1</v>
      </c>
      <c r="L989" t="s">
        <v>839</v>
      </c>
      <c r="M989" t="s">
        <v>257</v>
      </c>
      <c r="N989" t="s">
        <v>191</v>
      </c>
      <c r="O989" t="s">
        <v>88</v>
      </c>
      <c r="P989" t="s">
        <v>689</v>
      </c>
      <c r="U989" s="8">
        <f t="shared" si="99"/>
        <v>1</v>
      </c>
      <c r="AD989" t="str">
        <f t="shared" si="98"/>
        <v>e</v>
      </c>
      <c r="AE989" t="str">
        <f t="shared" si="102"/>
        <v>Zone_Entry_Exit</v>
      </c>
      <c r="AF989" t="str">
        <f t="shared" si="100"/>
        <v>Zone_Entry</v>
      </c>
      <c r="AG989" t="str">
        <f t="shared" si="101"/>
        <v>ZoneEntry-Pass</v>
      </c>
      <c r="AN989" t="str">
        <f t="shared" si="103"/>
        <v>Offensive</v>
      </c>
      <c r="BD989" s="23"/>
      <c r="BF989" s="21"/>
    </row>
    <row r="990" spans="1:58" x14ac:dyDescent="0.2">
      <c r="A990">
        <v>504</v>
      </c>
      <c r="B990">
        <v>84</v>
      </c>
      <c r="J990">
        <v>84</v>
      </c>
      <c r="U990" s="8">
        <f t="shared" si="99"/>
        <v>1</v>
      </c>
      <c r="AD990" t="str">
        <f t="shared" si="98"/>
        <v>o</v>
      </c>
      <c r="AE990" t="str">
        <f t="shared" si="102"/>
        <v>Zone_Entry_Exit</v>
      </c>
      <c r="AF990" t="str">
        <f t="shared" si="100"/>
        <v>Zone_Entry</v>
      </c>
      <c r="AG990" t="str">
        <f t="shared" si="101"/>
        <v>ZoneEntry-Pass</v>
      </c>
      <c r="AN990" t="str">
        <f t="shared" si="103"/>
        <v>Defensive</v>
      </c>
      <c r="BD990" s="23"/>
      <c r="BF990" s="21"/>
    </row>
    <row r="991" spans="1:58" x14ac:dyDescent="0.2">
      <c r="A991">
        <v>505</v>
      </c>
      <c r="E991" s="5" t="s">
        <v>900</v>
      </c>
      <c r="F991" s="5" t="s">
        <v>885</v>
      </c>
      <c r="G991" s="5" t="s">
        <v>900</v>
      </c>
      <c r="H991" s="7" t="s">
        <v>875</v>
      </c>
      <c r="I991" t="s">
        <v>835</v>
      </c>
      <c r="J991">
        <v>84</v>
      </c>
      <c r="K991">
        <v>1</v>
      </c>
      <c r="L991" t="s">
        <v>401</v>
      </c>
      <c r="M991" t="s">
        <v>15</v>
      </c>
      <c r="Q991" t="s">
        <v>702</v>
      </c>
      <c r="T991">
        <v>1</v>
      </c>
      <c r="U991" s="8">
        <f t="shared" si="99"/>
        <v>1</v>
      </c>
      <c r="AD991" t="str">
        <f t="shared" si="98"/>
        <v>e</v>
      </c>
      <c r="AE991" t="str">
        <f t="shared" si="102"/>
        <v>Possession</v>
      </c>
      <c r="AF991" t="str">
        <f t="shared" si="100"/>
        <v/>
      </c>
      <c r="AG991" t="str">
        <f t="shared" si="101"/>
        <v/>
      </c>
      <c r="AN991" t="str">
        <f t="shared" si="103"/>
        <v>Offensive</v>
      </c>
      <c r="BD991" s="23"/>
      <c r="BF991" s="21"/>
    </row>
    <row r="992" spans="1:58" x14ac:dyDescent="0.2">
      <c r="A992">
        <v>505</v>
      </c>
      <c r="J992">
        <v>74</v>
      </c>
      <c r="T992">
        <v>1</v>
      </c>
      <c r="U992" s="8">
        <f t="shared" si="99"/>
        <v>1</v>
      </c>
      <c r="AD992" t="str">
        <f t="shared" si="98"/>
        <v>o</v>
      </c>
      <c r="AE992" t="str">
        <f t="shared" si="102"/>
        <v>Possession</v>
      </c>
      <c r="AF992" t="str">
        <f t="shared" si="100"/>
        <v/>
      </c>
      <c r="AG992" t="str">
        <f t="shared" si="101"/>
        <v/>
      </c>
      <c r="AN992" t="str">
        <f t="shared" si="103"/>
        <v>Defensive</v>
      </c>
      <c r="BD992" s="23"/>
      <c r="BF992" s="21"/>
    </row>
    <row r="993" spans="1:58" x14ac:dyDescent="0.2">
      <c r="A993">
        <v>506</v>
      </c>
      <c r="E993" s="5" t="s">
        <v>900</v>
      </c>
      <c r="F993" s="5" t="s">
        <v>875</v>
      </c>
      <c r="G993" s="5" t="s">
        <v>900</v>
      </c>
      <c r="H993" s="7" t="s">
        <v>843</v>
      </c>
      <c r="I993" t="s">
        <v>835</v>
      </c>
      <c r="J993">
        <v>84</v>
      </c>
      <c r="K993">
        <v>1</v>
      </c>
      <c r="L993" t="s">
        <v>401</v>
      </c>
      <c r="M993" t="s">
        <v>15</v>
      </c>
      <c r="Q993" t="s">
        <v>663</v>
      </c>
      <c r="R993" t="s">
        <v>730</v>
      </c>
      <c r="S993" t="s">
        <v>689</v>
      </c>
      <c r="T993">
        <v>1</v>
      </c>
      <c r="U993" s="8">
        <f t="shared" si="99"/>
        <v>1</v>
      </c>
      <c r="AD993" t="str">
        <f t="shared" si="98"/>
        <v>e</v>
      </c>
      <c r="AE993" t="str">
        <f t="shared" si="102"/>
        <v>Possession</v>
      </c>
      <c r="AF993" t="str">
        <f t="shared" si="100"/>
        <v/>
      </c>
      <c r="AG993" t="str">
        <f t="shared" si="101"/>
        <v/>
      </c>
      <c r="AN993" t="str">
        <f t="shared" si="103"/>
        <v>Offensive</v>
      </c>
      <c r="BD993" s="23"/>
      <c r="BF993" s="21"/>
    </row>
    <row r="994" spans="1:58" x14ac:dyDescent="0.2">
      <c r="A994">
        <v>506</v>
      </c>
      <c r="J994">
        <v>8</v>
      </c>
      <c r="Q994" t="s">
        <v>696</v>
      </c>
      <c r="T994">
        <v>1</v>
      </c>
      <c r="U994" s="8">
        <f t="shared" si="99"/>
        <v>1</v>
      </c>
      <c r="AD994" t="str">
        <f t="shared" si="98"/>
        <v>o</v>
      </c>
      <c r="AE994" t="str">
        <f t="shared" si="102"/>
        <v>Possession</v>
      </c>
      <c r="AF994" t="str">
        <f t="shared" si="100"/>
        <v/>
      </c>
      <c r="AG994" t="str">
        <f t="shared" si="101"/>
        <v/>
      </c>
      <c r="AN994" t="str">
        <f t="shared" si="103"/>
        <v>Defensive</v>
      </c>
      <c r="BD994" s="23"/>
      <c r="BF994" s="21"/>
    </row>
    <row r="995" spans="1:58" x14ac:dyDescent="0.2">
      <c r="A995">
        <v>506</v>
      </c>
      <c r="J995">
        <v>74</v>
      </c>
      <c r="Q995" t="s">
        <v>696</v>
      </c>
      <c r="T995">
        <v>1</v>
      </c>
      <c r="U995" s="8">
        <f t="shared" si="99"/>
        <v>1</v>
      </c>
      <c r="AD995" t="str">
        <f t="shared" si="98"/>
        <v>o</v>
      </c>
      <c r="AE995" t="str">
        <f t="shared" si="102"/>
        <v>Possession</v>
      </c>
      <c r="AF995" t="str">
        <f t="shared" si="100"/>
        <v/>
      </c>
      <c r="AG995" t="str">
        <f t="shared" si="101"/>
        <v/>
      </c>
      <c r="AN995" t="str">
        <f t="shared" si="103"/>
        <v>Defensive</v>
      </c>
      <c r="BD995" s="23"/>
      <c r="BF995" s="21"/>
    </row>
    <row r="996" spans="1:58" x14ac:dyDescent="0.2">
      <c r="A996">
        <v>507</v>
      </c>
      <c r="E996" s="5" t="s">
        <v>900</v>
      </c>
      <c r="F996" s="5" t="s">
        <v>876</v>
      </c>
      <c r="I996" t="s">
        <v>835</v>
      </c>
      <c r="J996">
        <v>84</v>
      </c>
      <c r="K996">
        <v>1</v>
      </c>
      <c r="L996" t="s">
        <v>401</v>
      </c>
      <c r="M996" t="s">
        <v>8</v>
      </c>
      <c r="N996" t="s">
        <v>189</v>
      </c>
      <c r="O996" t="s">
        <v>69</v>
      </c>
      <c r="P996" t="s">
        <v>689</v>
      </c>
      <c r="T996">
        <v>1</v>
      </c>
      <c r="U996" s="8">
        <f t="shared" si="99"/>
        <v>1</v>
      </c>
      <c r="AD996" t="str">
        <f t="shared" si="98"/>
        <v>e</v>
      </c>
      <c r="AE996" t="str">
        <f t="shared" si="102"/>
        <v>Pass</v>
      </c>
      <c r="AF996" t="str">
        <f t="shared" si="100"/>
        <v>Pass_Completed</v>
      </c>
      <c r="AG996" t="str">
        <f t="shared" si="101"/>
        <v>Pass-Backhand</v>
      </c>
      <c r="AN996" t="str">
        <f t="shared" si="103"/>
        <v>Offensive</v>
      </c>
      <c r="BD996" s="23"/>
      <c r="BF996" s="21"/>
    </row>
    <row r="997" spans="1:58" x14ac:dyDescent="0.2">
      <c r="A997">
        <v>507</v>
      </c>
      <c r="J997">
        <v>49</v>
      </c>
      <c r="K997">
        <v>1</v>
      </c>
      <c r="U997" s="8">
        <f t="shared" si="99"/>
        <v>1</v>
      </c>
      <c r="AD997" t="str">
        <f t="shared" si="98"/>
        <v>e</v>
      </c>
      <c r="AE997" t="str">
        <f t="shared" si="102"/>
        <v>Pass</v>
      </c>
      <c r="AF997" t="str">
        <f t="shared" si="100"/>
        <v>Pass_Completed</v>
      </c>
      <c r="AG997" t="str">
        <f t="shared" si="101"/>
        <v>Pass-Backhand</v>
      </c>
      <c r="AN997" t="str">
        <f t="shared" si="103"/>
        <v>Offensive</v>
      </c>
      <c r="BD997" s="23"/>
      <c r="BF997" s="21"/>
    </row>
    <row r="998" spans="1:58" x14ac:dyDescent="0.2">
      <c r="A998">
        <v>507</v>
      </c>
      <c r="J998">
        <v>74</v>
      </c>
      <c r="Q998" t="s">
        <v>696</v>
      </c>
      <c r="T998">
        <v>1</v>
      </c>
      <c r="U998" s="8">
        <f t="shared" si="99"/>
        <v>1</v>
      </c>
      <c r="AD998" t="str">
        <f t="shared" si="98"/>
        <v>o</v>
      </c>
      <c r="AE998" t="str">
        <f t="shared" si="102"/>
        <v>Pass</v>
      </c>
      <c r="AF998" t="str">
        <f t="shared" si="100"/>
        <v>Pass_Completed</v>
      </c>
      <c r="AG998" t="str">
        <f t="shared" si="101"/>
        <v>Pass-Backhand</v>
      </c>
      <c r="AN998" t="str">
        <f t="shared" si="103"/>
        <v>Defensive</v>
      </c>
      <c r="BD998" s="23"/>
      <c r="BF998" s="21"/>
    </row>
    <row r="999" spans="1:58" x14ac:dyDescent="0.2">
      <c r="A999">
        <v>508</v>
      </c>
      <c r="E999" s="5" t="s">
        <v>900</v>
      </c>
      <c r="F999" s="5" t="s">
        <v>846</v>
      </c>
      <c r="G999" s="5" t="s">
        <v>900</v>
      </c>
      <c r="H999" s="7" t="s">
        <v>877</v>
      </c>
      <c r="I999" t="s">
        <v>835</v>
      </c>
      <c r="J999">
        <v>49</v>
      </c>
      <c r="K999">
        <v>1</v>
      </c>
      <c r="M999" t="s">
        <v>15</v>
      </c>
      <c r="Q999" t="s">
        <v>702</v>
      </c>
      <c r="T999">
        <v>1</v>
      </c>
      <c r="U999" s="8">
        <f t="shared" si="99"/>
        <v>1</v>
      </c>
      <c r="AD999" t="str">
        <f t="shared" si="98"/>
        <v>e</v>
      </c>
      <c r="AE999" t="str">
        <f t="shared" si="102"/>
        <v>Possession</v>
      </c>
      <c r="AF999" t="str">
        <f t="shared" si="100"/>
        <v/>
      </c>
      <c r="AG999" t="str">
        <f t="shared" si="101"/>
        <v/>
      </c>
      <c r="AN999" t="str">
        <f t="shared" si="103"/>
        <v>Offensive</v>
      </c>
      <c r="BD999" s="23"/>
      <c r="BF999" s="21"/>
    </row>
    <row r="1000" spans="1:58" x14ac:dyDescent="0.2">
      <c r="A1000">
        <v>508</v>
      </c>
      <c r="J1000">
        <v>19</v>
      </c>
      <c r="T1000">
        <v>1</v>
      </c>
      <c r="U1000" s="8">
        <f t="shared" si="99"/>
        <v>1</v>
      </c>
      <c r="AD1000" t="str">
        <f t="shared" si="98"/>
        <v>o</v>
      </c>
      <c r="AE1000" t="str">
        <f t="shared" si="102"/>
        <v>Possession</v>
      </c>
      <c r="AF1000" t="str">
        <f t="shared" si="100"/>
        <v/>
      </c>
      <c r="AG1000" t="str">
        <f t="shared" si="101"/>
        <v/>
      </c>
      <c r="AN1000" t="str">
        <f t="shared" si="103"/>
        <v>Defensive</v>
      </c>
      <c r="BD1000" s="23"/>
      <c r="BF1000" s="21"/>
    </row>
    <row r="1001" spans="1:58" x14ac:dyDescent="0.2">
      <c r="A1001">
        <v>509</v>
      </c>
      <c r="E1001" s="5" t="s">
        <v>900</v>
      </c>
      <c r="F1001" s="5" t="s">
        <v>877</v>
      </c>
      <c r="I1001" t="s">
        <v>835</v>
      </c>
      <c r="J1001">
        <v>49</v>
      </c>
      <c r="K1001">
        <v>1</v>
      </c>
      <c r="L1001" t="s">
        <v>401</v>
      </c>
      <c r="M1001" t="s">
        <v>8</v>
      </c>
      <c r="N1001" t="s">
        <v>189</v>
      </c>
      <c r="O1001" t="s">
        <v>68</v>
      </c>
      <c r="P1001" t="s">
        <v>689</v>
      </c>
      <c r="U1001" s="8">
        <f t="shared" si="99"/>
        <v>1</v>
      </c>
      <c r="AD1001" t="str">
        <f t="shared" si="98"/>
        <v>e</v>
      </c>
      <c r="AE1001" t="str">
        <f t="shared" si="102"/>
        <v>Pass</v>
      </c>
      <c r="AF1001" t="str">
        <f t="shared" si="100"/>
        <v>Pass_Completed</v>
      </c>
      <c r="AG1001" t="str">
        <f t="shared" si="101"/>
        <v>Pass-Rim/Wrap</v>
      </c>
      <c r="AN1001" t="str">
        <f t="shared" si="103"/>
        <v>Offensive</v>
      </c>
      <c r="BD1001" s="23"/>
      <c r="BF1001" s="21"/>
    </row>
    <row r="1002" spans="1:58" x14ac:dyDescent="0.2">
      <c r="A1002">
        <v>509</v>
      </c>
      <c r="J1002">
        <v>55</v>
      </c>
      <c r="K1002">
        <v>1</v>
      </c>
      <c r="U1002" s="8">
        <f t="shared" si="99"/>
        <v>1</v>
      </c>
      <c r="AD1002" t="str">
        <f t="shared" si="98"/>
        <v>e</v>
      </c>
      <c r="AE1002" t="str">
        <f t="shared" si="102"/>
        <v>Pass</v>
      </c>
      <c r="AF1002" t="str">
        <f t="shared" si="100"/>
        <v>Pass_Completed</v>
      </c>
      <c r="AG1002" t="str">
        <f t="shared" si="101"/>
        <v>Pass-Rim/Wrap</v>
      </c>
      <c r="AN1002" t="str">
        <f t="shared" si="103"/>
        <v>Offensive</v>
      </c>
      <c r="BD1002" s="23"/>
      <c r="BF1002" s="21"/>
    </row>
    <row r="1003" spans="1:58" x14ac:dyDescent="0.2">
      <c r="A1003">
        <v>510</v>
      </c>
      <c r="E1003" s="5" t="s">
        <v>900</v>
      </c>
      <c r="F1003" s="5" t="s">
        <v>849</v>
      </c>
      <c r="I1003" t="s">
        <v>835</v>
      </c>
      <c r="J1003">
        <v>55</v>
      </c>
      <c r="K1003">
        <v>1</v>
      </c>
      <c r="L1003" t="s">
        <v>401</v>
      </c>
      <c r="M1003" t="s">
        <v>7</v>
      </c>
      <c r="N1003" t="s">
        <v>208</v>
      </c>
      <c r="O1003" t="s">
        <v>53</v>
      </c>
      <c r="P1003" t="s">
        <v>688</v>
      </c>
      <c r="U1003" s="8">
        <f t="shared" si="99"/>
        <v>1</v>
      </c>
      <c r="AD1003" t="str">
        <f t="shared" si="98"/>
        <v>e</v>
      </c>
      <c r="AE1003" t="str">
        <f t="shared" si="102"/>
        <v>Shot</v>
      </c>
      <c r="AF1003" t="str">
        <f t="shared" si="100"/>
        <v>Shot_Blocked</v>
      </c>
      <c r="AG1003" t="str">
        <f t="shared" si="101"/>
        <v>Shot-Wrist</v>
      </c>
      <c r="AN1003" t="str">
        <f t="shared" si="103"/>
        <v>Offensive</v>
      </c>
      <c r="BD1003" s="23"/>
      <c r="BF1003" s="21"/>
    </row>
    <row r="1004" spans="1:58" x14ac:dyDescent="0.2">
      <c r="A1004">
        <v>510</v>
      </c>
      <c r="J1004">
        <v>84</v>
      </c>
      <c r="K1004">
        <v>1</v>
      </c>
      <c r="Q1004" t="s">
        <v>779</v>
      </c>
      <c r="U1004" s="8">
        <f t="shared" si="99"/>
        <v>1</v>
      </c>
      <c r="AD1004" t="str">
        <f t="shared" si="98"/>
        <v>e</v>
      </c>
      <c r="AE1004" t="str">
        <f t="shared" si="102"/>
        <v>Shot</v>
      </c>
      <c r="AF1004" t="str">
        <f t="shared" si="100"/>
        <v>Shot_Blocked</v>
      </c>
      <c r="AG1004" t="str">
        <f t="shared" si="101"/>
        <v>Shot-Wrist</v>
      </c>
      <c r="AN1004" t="str">
        <f t="shared" si="103"/>
        <v>Offensive</v>
      </c>
      <c r="BD1004" s="23"/>
      <c r="BF1004" s="21"/>
    </row>
    <row r="1005" spans="1:58" x14ac:dyDescent="0.2">
      <c r="A1005">
        <v>510</v>
      </c>
      <c r="J1005">
        <v>17</v>
      </c>
      <c r="Q1005" t="s">
        <v>665</v>
      </c>
      <c r="S1005" t="s">
        <v>689</v>
      </c>
      <c r="U1005" s="8">
        <f t="shared" si="99"/>
        <v>1</v>
      </c>
      <c r="AD1005" t="str">
        <f t="shared" si="98"/>
        <v>o</v>
      </c>
      <c r="AE1005" t="str">
        <f t="shared" si="102"/>
        <v>Shot</v>
      </c>
      <c r="AF1005" t="str">
        <f t="shared" si="100"/>
        <v>Shot_Blocked</v>
      </c>
      <c r="AG1005" t="str">
        <f t="shared" si="101"/>
        <v>Shot-Wrist</v>
      </c>
      <c r="AN1005" t="str">
        <f t="shared" si="103"/>
        <v>Defensive</v>
      </c>
      <c r="BD1005" s="23"/>
      <c r="BF1005" s="21"/>
    </row>
    <row r="1006" spans="1:58" x14ac:dyDescent="0.2">
      <c r="A1006">
        <v>510</v>
      </c>
      <c r="J1006">
        <v>74</v>
      </c>
      <c r="U1006" s="8">
        <f t="shared" si="99"/>
        <v>1</v>
      </c>
      <c r="AD1006" t="str">
        <f t="shared" si="98"/>
        <v>o</v>
      </c>
      <c r="AE1006" t="str">
        <f t="shared" si="102"/>
        <v>Shot</v>
      </c>
      <c r="AF1006" t="str">
        <f t="shared" si="100"/>
        <v>Shot_Blocked</v>
      </c>
      <c r="AG1006" t="str">
        <f t="shared" si="101"/>
        <v>Shot-Wrist</v>
      </c>
      <c r="AN1006" t="str">
        <f t="shared" si="103"/>
        <v>Defensive</v>
      </c>
      <c r="BD1006" s="23"/>
      <c r="BF1006" s="21"/>
    </row>
    <row r="1007" spans="1:58" x14ac:dyDescent="0.2">
      <c r="A1007">
        <v>511</v>
      </c>
      <c r="E1007" s="5" t="s">
        <v>900</v>
      </c>
      <c r="F1007" s="5" t="s">
        <v>850</v>
      </c>
      <c r="G1007" s="5" t="s">
        <v>900</v>
      </c>
      <c r="H1007" s="7" t="s">
        <v>852</v>
      </c>
      <c r="I1007" t="s">
        <v>835</v>
      </c>
      <c r="J1007">
        <v>49</v>
      </c>
      <c r="K1007">
        <v>1</v>
      </c>
      <c r="L1007" t="s">
        <v>401</v>
      </c>
      <c r="M1007" t="s">
        <v>15</v>
      </c>
      <c r="N1007" t="s">
        <v>681</v>
      </c>
      <c r="P1007" t="s">
        <v>689</v>
      </c>
      <c r="Q1007" t="s">
        <v>705</v>
      </c>
      <c r="S1007" t="s">
        <v>689</v>
      </c>
      <c r="T1007">
        <v>1</v>
      </c>
      <c r="U1007" s="8">
        <f t="shared" si="99"/>
        <v>1</v>
      </c>
      <c r="AD1007" t="str">
        <f t="shared" si="98"/>
        <v>e</v>
      </c>
      <c r="AE1007" t="str">
        <f t="shared" si="102"/>
        <v>Possession</v>
      </c>
      <c r="AF1007" t="str">
        <f t="shared" si="100"/>
        <v>PuckRecovery</v>
      </c>
      <c r="AG1007" t="str">
        <f t="shared" si="101"/>
        <v/>
      </c>
      <c r="AN1007" t="str">
        <f t="shared" si="103"/>
        <v>Offensive</v>
      </c>
      <c r="BD1007" s="23"/>
      <c r="BF1007" s="21"/>
    </row>
    <row r="1008" spans="1:58" x14ac:dyDescent="0.2">
      <c r="A1008">
        <v>511</v>
      </c>
      <c r="J1008">
        <v>74</v>
      </c>
      <c r="T1008">
        <v>1</v>
      </c>
      <c r="U1008" s="8">
        <f t="shared" si="99"/>
        <v>1</v>
      </c>
      <c r="AD1008" t="str">
        <f t="shared" si="98"/>
        <v>o</v>
      </c>
      <c r="AE1008" t="str">
        <f t="shared" si="102"/>
        <v>Possession</v>
      </c>
      <c r="AF1008" t="str">
        <f t="shared" si="100"/>
        <v>PuckRecovery</v>
      </c>
      <c r="AG1008" t="str">
        <f t="shared" si="101"/>
        <v/>
      </c>
      <c r="AN1008" t="str">
        <f t="shared" si="103"/>
        <v>Defensive</v>
      </c>
      <c r="BD1008" s="23"/>
      <c r="BF1008" s="21"/>
    </row>
    <row r="1009" spans="1:58" x14ac:dyDescent="0.2">
      <c r="A1009">
        <v>512</v>
      </c>
      <c r="E1009" s="5" t="s">
        <v>900</v>
      </c>
      <c r="F1009" s="5" t="s">
        <v>852</v>
      </c>
      <c r="I1009" t="s">
        <v>835</v>
      </c>
      <c r="J1009">
        <v>49</v>
      </c>
      <c r="K1009">
        <v>1</v>
      </c>
      <c r="L1009" t="s">
        <v>401</v>
      </c>
      <c r="M1009" t="s">
        <v>8</v>
      </c>
      <c r="N1009" t="s">
        <v>189</v>
      </c>
      <c r="O1009" t="s">
        <v>70</v>
      </c>
      <c r="P1009" t="s">
        <v>689</v>
      </c>
      <c r="U1009" s="8">
        <f t="shared" si="99"/>
        <v>1</v>
      </c>
      <c r="AD1009" t="str">
        <f t="shared" si="98"/>
        <v>e</v>
      </c>
      <c r="AE1009" t="str">
        <f t="shared" si="102"/>
        <v>Pass</v>
      </c>
      <c r="AF1009" t="str">
        <f t="shared" si="100"/>
        <v>Pass_Completed</v>
      </c>
      <c r="AG1009" t="str">
        <f t="shared" si="101"/>
        <v>Pass-Forehand</v>
      </c>
      <c r="AN1009" t="str">
        <f t="shared" si="103"/>
        <v>Offensive</v>
      </c>
      <c r="BD1009" s="23"/>
      <c r="BF1009" s="21"/>
    </row>
    <row r="1010" spans="1:58" x14ac:dyDescent="0.2">
      <c r="A1010">
        <v>512</v>
      </c>
      <c r="J1010">
        <v>84</v>
      </c>
      <c r="K1010">
        <v>1</v>
      </c>
      <c r="U1010" s="8">
        <f t="shared" si="99"/>
        <v>1</v>
      </c>
      <c r="AD1010" t="str">
        <f t="shared" si="98"/>
        <v>e</v>
      </c>
      <c r="AE1010" t="str">
        <f t="shared" si="102"/>
        <v>Pass</v>
      </c>
      <c r="AF1010" t="str">
        <f t="shared" si="100"/>
        <v>Pass_Completed</v>
      </c>
      <c r="AG1010" t="str">
        <f t="shared" si="101"/>
        <v>Pass-Forehand</v>
      </c>
      <c r="AN1010" t="str">
        <f t="shared" si="103"/>
        <v>Offensive</v>
      </c>
      <c r="BD1010" s="23"/>
      <c r="BF1010" s="21"/>
    </row>
    <row r="1011" spans="1:58" x14ac:dyDescent="0.2">
      <c r="A1011">
        <v>513</v>
      </c>
      <c r="E1011" s="5" t="s">
        <v>900</v>
      </c>
      <c r="F1011" s="5" t="s">
        <v>855</v>
      </c>
      <c r="I1011" t="s">
        <v>835</v>
      </c>
      <c r="J1011">
        <v>84</v>
      </c>
      <c r="K1011">
        <v>1</v>
      </c>
      <c r="L1011" t="s">
        <v>401</v>
      </c>
      <c r="M1011" t="s">
        <v>8</v>
      </c>
      <c r="N1011" t="s">
        <v>189</v>
      </c>
      <c r="O1011" t="s">
        <v>70</v>
      </c>
      <c r="P1011" t="s">
        <v>689</v>
      </c>
      <c r="Q1011" t="s">
        <v>749</v>
      </c>
      <c r="S1011" t="s">
        <v>689</v>
      </c>
      <c r="U1011" s="8">
        <f t="shared" si="99"/>
        <v>1</v>
      </c>
      <c r="AD1011" t="str">
        <f t="shared" si="98"/>
        <v>e</v>
      </c>
      <c r="AE1011" t="str">
        <f t="shared" si="102"/>
        <v>Pass</v>
      </c>
      <c r="AF1011" t="str">
        <f t="shared" si="100"/>
        <v>Pass_Completed</v>
      </c>
      <c r="AG1011" t="str">
        <f t="shared" si="101"/>
        <v>Pass-Forehand</v>
      </c>
      <c r="AN1011" t="str">
        <f t="shared" si="103"/>
        <v>Offensive</v>
      </c>
      <c r="BD1011" s="23"/>
      <c r="BF1011" s="21"/>
    </row>
    <row r="1012" spans="1:58" x14ac:dyDescent="0.2">
      <c r="A1012">
        <v>513</v>
      </c>
      <c r="J1012">
        <v>55</v>
      </c>
      <c r="K1012">
        <v>1</v>
      </c>
      <c r="U1012" s="8">
        <f t="shared" si="99"/>
        <v>1</v>
      </c>
      <c r="AD1012" t="str">
        <f t="shared" si="98"/>
        <v>e</v>
      </c>
      <c r="AE1012" t="str">
        <f t="shared" si="102"/>
        <v>Pass</v>
      </c>
      <c r="AF1012" t="str">
        <f t="shared" si="100"/>
        <v>Pass_Completed</v>
      </c>
      <c r="AG1012" t="str">
        <f t="shared" si="101"/>
        <v>Pass-Forehand</v>
      </c>
      <c r="AN1012" t="str">
        <f t="shared" si="103"/>
        <v>Offensive</v>
      </c>
      <c r="BD1012" s="23"/>
      <c r="BF1012" s="21"/>
    </row>
    <row r="1013" spans="1:58" x14ac:dyDescent="0.2">
      <c r="A1013">
        <v>514</v>
      </c>
      <c r="E1013" s="5" t="s">
        <v>900</v>
      </c>
      <c r="F1013" s="5" t="s">
        <v>853</v>
      </c>
      <c r="I1013" t="s">
        <v>835</v>
      </c>
      <c r="J1013">
        <v>55</v>
      </c>
      <c r="K1013">
        <v>1</v>
      </c>
      <c r="L1013" t="s">
        <v>401</v>
      </c>
      <c r="M1013" t="s">
        <v>8</v>
      </c>
      <c r="N1013" t="s">
        <v>189</v>
      </c>
      <c r="O1013" t="s">
        <v>70</v>
      </c>
      <c r="P1013" t="s">
        <v>689</v>
      </c>
      <c r="Q1013" t="s">
        <v>749</v>
      </c>
      <c r="S1013" t="s">
        <v>689</v>
      </c>
      <c r="T1013">
        <v>1</v>
      </c>
      <c r="U1013" s="8">
        <f t="shared" si="99"/>
        <v>1</v>
      </c>
      <c r="AD1013" t="str">
        <f t="shared" si="98"/>
        <v>e</v>
      </c>
      <c r="AE1013" t="str">
        <f t="shared" si="102"/>
        <v>Pass</v>
      </c>
      <c r="AF1013" t="str">
        <f t="shared" si="100"/>
        <v>Pass_Completed</v>
      </c>
      <c r="AG1013" t="str">
        <f t="shared" si="101"/>
        <v>Pass-Forehand</v>
      </c>
      <c r="AN1013" t="str">
        <f t="shared" si="103"/>
        <v>Offensive</v>
      </c>
      <c r="BD1013" s="23"/>
      <c r="BF1013" s="21"/>
    </row>
    <row r="1014" spans="1:58" x14ac:dyDescent="0.2">
      <c r="A1014">
        <v>514</v>
      </c>
      <c r="J1014">
        <v>61</v>
      </c>
      <c r="K1014">
        <v>1</v>
      </c>
      <c r="U1014" s="8">
        <f t="shared" si="99"/>
        <v>1</v>
      </c>
      <c r="AD1014" t="str">
        <f t="shared" si="98"/>
        <v>e</v>
      </c>
      <c r="AE1014" t="str">
        <f t="shared" si="102"/>
        <v>Pass</v>
      </c>
      <c r="AF1014" t="str">
        <f t="shared" si="100"/>
        <v>Pass_Completed</v>
      </c>
      <c r="AG1014" t="str">
        <f t="shared" si="101"/>
        <v>Pass-Forehand</v>
      </c>
      <c r="AN1014" t="str">
        <f t="shared" si="103"/>
        <v>Offensive</v>
      </c>
      <c r="BD1014" s="23"/>
      <c r="BF1014" s="21"/>
    </row>
    <row r="1015" spans="1:58" x14ac:dyDescent="0.2">
      <c r="A1015">
        <v>514</v>
      </c>
      <c r="J1015">
        <v>17</v>
      </c>
      <c r="Q1015" t="s">
        <v>699</v>
      </c>
      <c r="T1015">
        <v>1</v>
      </c>
      <c r="U1015" s="8">
        <f t="shared" si="99"/>
        <v>1</v>
      </c>
      <c r="AD1015" t="str">
        <f t="shared" si="98"/>
        <v>o</v>
      </c>
      <c r="AE1015" t="str">
        <f t="shared" si="102"/>
        <v>Pass</v>
      </c>
      <c r="AF1015" t="str">
        <f t="shared" si="100"/>
        <v>Pass_Completed</v>
      </c>
      <c r="AG1015" t="str">
        <f t="shared" si="101"/>
        <v>Pass-Forehand</v>
      </c>
      <c r="AN1015" t="str">
        <f t="shared" si="103"/>
        <v>Defensive</v>
      </c>
      <c r="BD1015" s="23"/>
      <c r="BF1015" s="21"/>
    </row>
    <row r="1016" spans="1:58" x14ac:dyDescent="0.2">
      <c r="A1016">
        <v>515</v>
      </c>
      <c r="B1016">
        <v>85</v>
      </c>
      <c r="E1016" s="5" t="s">
        <v>900</v>
      </c>
      <c r="F1016" s="5" t="s">
        <v>882</v>
      </c>
      <c r="I1016" t="s">
        <v>835</v>
      </c>
      <c r="J1016">
        <v>61</v>
      </c>
      <c r="K1016">
        <v>1</v>
      </c>
      <c r="L1016" t="s">
        <v>401</v>
      </c>
      <c r="M1016" t="s">
        <v>7</v>
      </c>
      <c r="N1016" t="s">
        <v>222</v>
      </c>
      <c r="O1016" t="s">
        <v>53</v>
      </c>
      <c r="P1016" t="s">
        <v>689</v>
      </c>
      <c r="U1016" s="8">
        <f t="shared" si="99"/>
        <v>1</v>
      </c>
      <c r="AD1016" t="str">
        <f t="shared" si="98"/>
        <v>e</v>
      </c>
      <c r="AE1016" t="str">
        <f t="shared" si="102"/>
        <v>Shot</v>
      </c>
      <c r="AF1016" t="str">
        <f t="shared" si="100"/>
        <v>Shot_OnNetSaved</v>
      </c>
      <c r="AG1016" t="str">
        <f t="shared" si="101"/>
        <v>Shot-Wrist</v>
      </c>
      <c r="AN1016" t="str">
        <f t="shared" si="103"/>
        <v>Offensive</v>
      </c>
      <c r="BD1016" s="23"/>
      <c r="BF1016" s="21"/>
    </row>
    <row r="1017" spans="1:58" x14ac:dyDescent="0.2">
      <c r="A1017">
        <v>515</v>
      </c>
      <c r="B1017">
        <v>85</v>
      </c>
      <c r="J1017">
        <v>38</v>
      </c>
      <c r="U1017" s="8">
        <f t="shared" si="99"/>
        <v>1</v>
      </c>
      <c r="AD1017" t="str">
        <f t="shared" si="98"/>
        <v>o</v>
      </c>
      <c r="AE1017" t="str">
        <f t="shared" si="102"/>
        <v>Shot</v>
      </c>
      <c r="AF1017" t="str">
        <f t="shared" si="100"/>
        <v>Shot_OnNetSaved</v>
      </c>
      <c r="AG1017" t="str">
        <f t="shared" si="101"/>
        <v>Shot-Wrist</v>
      </c>
      <c r="AN1017" t="str">
        <f t="shared" si="103"/>
        <v>Defensive</v>
      </c>
      <c r="BD1017" s="23"/>
      <c r="BF1017" s="21"/>
    </row>
    <row r="1018" spans="1:58" x14ac:dyDescent="0.2">
      <c r="A1018">
        <v>516</v>
      </c>
      <c r="B1018">
        <v>85</v>
      </c>
      <c r="E1018" s="5" t="s">
        <v>900</v>
      </c>
      <c r="F1018" s="5" t="s">
        <v>882</v>
      </c>
      <c r="I1018" t="s">
        <v>840</v>
      </c>
      <c r="J1018">
        <v>38</v>
      </c>
      <c r="K1018">
        <v>1</v>
      </c>
      <c r="L1018" t="s">
        <v>845</v>
      </c>
      <c r="M1018" t="s">
        <v>17</v>
      </c>
      <c r="N1018" t="s">
        <v>196</v>
      </c>
      <c r="O1018" t="s">
        <v>102</v>
      </c>
      <c r="U1018" s="8">
        <f t="shared" si="99"/>
        <v>1</v>
      </c>
      <c r="AD1018" t="str">
        <f t="shared" si="98"/>
        <v>e</v>
      </c>
      <c r="AE1018" t="str">
        <f t="shared" si="102"/>
        <v>Save</v>
      </c>
      <c r="AF1018" t="str">
        <f t="shared" si="100"/>
        <v>Save_Rebound</v>
      </c>
      <c r="AG1018" t="str">
        <f t="shared" si="101"/>
        <v>Save-Butterfly</v>
      </c>
      <c r="AN1018" t="str">
        <f t="shared" si="103"/>
        <v>Defensive</v>
      </c>
      <c r="BD1018" s="23"/>
      <c r="BF1018" s="21"/>
    </row>
    <row r="1019" spans="1:58" x14ac:dyDescent="0.2">
      <c r="A1019">
        <v>516</v>
      </c>
      <c r="B1019">
        <v>85</v>
      </c>
      <c r="J1019">
        <v>61</v>
      </c>
      <c r="U1019" s="8">
        <f t="shared" si="99"/>
        <v>1</v>
      </c>
      <c r="AD1019" t="str">
        <f t="shared" si="98"/>
        <v>o</v>
      </c>
      <c r="AE1019" t="str">
        <f t="shared" si="102"/>
        <v>Save</v>
      </c>
      <c r="AF1019" t="str">
        <f t="shared" si="100"/>
        <v>Save_Rebound</v>
      </c>
      <c r="AG1019" t="str">
        <f t="shared" si="101"/>
        <v>Save-Butterfly</v>
      </c>
      <c r="AN1019" t="str">
        <f t="shared" si="103"/>
        <v>Offensive</v>
      </c>
      <c r="BD1019" s="23"/>
      <c r="BF1019" s="21"/>
    </row>
    <row r="1020" spans="1:58" x14ac:dyDescent="0.2">
      <c r="A1020">
        <v>517</v>
      </c>
      <c r="B1020">
        <v>85</v>
      </c>
      <c r="E1020" s="5" t="s">
        <v>900</v>
      </c>
      <c r="F1020" s="5" t="s">
        <v>882</v>
      </c>
      <c r="I1020" t="s">
        <v>840</v>
      </c>
      <c r="J1020">
        <v>38</v>
      </c>
      <c r="K1020">
        <v>1</v>
      </c>
      <c r="L1020" t="s">
        <v>845</v>
      </c>
      <c r="M1020" t="s">
        <v>250</v>
      </c>
      <c r="N1020" t="s">
        <v>251</v>
      </c>
      <c r="U1020" s="8">
        <f t="shared" si="99"/>
        <v>1</v>
      </c>
      <c r="AD1020" t="str">
        <f t="shared" si="98"/>
        <v>e</v>
      </c>
      <c r="AE1020" t="str">
        <f t="shared" si="102"/>
        <v>Rebound</v>
      </c>
      <c r="AF1020" t="str">
        <f t="shared" si="100"/>
        <v>Rebound_TeamRecovered</v>
      </c>
      <c r="AG1020" t="str">
        <f t="shared" si="101"/>
        <v/>
      </c>
      <c r="AN1020" t="str">
        <f t="shared" si="103"/>
        <v>Offensive</v>
      </c>
      <c r="BD1020" s="23"/>
      <c r="BF1020" s="21"/>
    </row>
    <row r="1021" spans="1:58" x14ac:dyDescent="0.2">
      <c r="A1021">
        <v>518</v>
      </c>
      <c r="E1021" s="5" t="s">
        <v>900</v>
      </c>
      <c r="F1021" s="5" t="s">
        <v>856</v>
      </c>
      <c r="G1021" s="5" t="s">
        <v>900</v>
      </c>
      <c r="H1021" s="7" t="s">
        <v>883</v>
      </c>
      <c r="I1021" t="s">
        <v>840</v>
      </c>
      <c r="J1021">
        <v>17</v>
      </c>
      <c r="K1021">
        <v>1</v>
      </c>
      <c r="L1021" t="s">
        <v>845</v>
      </c>
      <c r="M1021" t="s">
        <v>15</v>
      </c>
      <c r="N1021" t="s">
        <v>681</v>
      </c>
      <c r="P1021" t="s">
        <v>689</v>
      </c>
      <c r="Q1021" t="s">
        <v>747</v>
      </c>
      <c r="S1021" t="s">
        <v>689</v>
      </c>
      <c r="U1021" s="8">
        <f t="shared" si="99"/>
        <v>1</v>
      </c>
      <c r="AD1021" t="str">
        <f t="shared" si="98"/>
        <v>e</v>
      </c>
      <c r="AE1021" t="str">
        <f t="shared" si="102"/>
        <v>Possession</v>
      </c>
      <c r="AF1021" t="str">
        <f t="shared" si="100"/>
        <v>PuckRecovery</v>
      </c>
      <c r="AG1021" t="str">
        <f t="shared" si="101"/>
        <v/>
      </c>
      <c r="AN1021" t="str">
        <f t="shared" si="103"/>
        <v>Offensive</v>
      </c>
      <c r="BD1021" s="23"/>
      <c r="BF1021" s="21"/>
    </row>
    <row r="1022" spans="1:58" x14ac:dyDescent="0.2">
      <c r="A1022">
        <v>519</v>
      </c>
      <c r="B1022">
        <v>86</v>
      </c>
      <c r="E1022" s="5" t="s">
        <v>900</v>
      </c>
      <c r="F1022" s="5" t="s">
        <v>883</v>
      </c>
      <c r="I1022" t="s">
        <v>840</v>
      </c>
      <c r="J1022">
        <v>17</v>
      </c>
      <c r="K1022">
        <v>1</v>
      </c>
      <c r="L1022" t="s">
        <v>845</v>
      </c>
      <c r="M1022" t="s">
        <v>8</v>
      </c>
      <c r="N1022" t="s">
        <v>199</v>
      </c>
      <c r="O1022" t="s">
        <v>70</v>
      </c>
      <c r="P1022" t="s">
        <v>688</v>
      </c>
      <c r="Q1022" t="s">
        <v>706</v>
      </c>
      <c r="S1022" t="s">
        <v>688</v>
      </c>
      <c r="U1022" s="8">
        <f t="shared" si="99"/>
        <v>1</v>
      </c>
      <c r="AD1022" t="str">
        <f t="shared" si="98"/>
        <v>e</v>
      </c>
      <c r="AE1022" t="str">
        <f t="shared" si="102"/>
        <v>Pass</v>
      </c>
      <c r="AF1022" t="str">
        <f t="shared" si="100"/>
        <v>Pass_Missed</v>
      </c>
      <c r="AG1022" t="str">
        <f t="shared" si="101"/>
        <v>Pass-Forehand</v>
      </c>
      <c r="AN1022" t="str">
        <f t="shared" si="103"/>
        <v>Offensive</v>
      </c>
      <c r="BD1022" s="23"/>
      <c r="BF1022" s="21"/>
    </row>
    <row r="1023" spans="1:58" x14ac:dyDescent="0.2">
      <c r="A1023">
        <v>519</v>
      </c>
      <c r="B1023">
        <v>86</v>
      </c>
      <c r="J1023">
        <v>26</v>
      </c>
      <c r="K1023">
        <v>1</v>
      </c>
      <c r="T1023">
        <v>1</v>
      </c>
      <c r="U1023" s="8">
        <f t="shared" si="99"/>
        <v>1</v>
      </c>
      <c r="AD1023" t="str">
        <f t="shared" si="98"/>
        <v>e</v>
      </c>
      <c r="AE1023" t="str">
        <f t="shared" si="102"/>
        <v>Pass</v>
      </c>
      <c r="AF1023" t="str">
        <f t="shared" si="100"/>
        <v>Pass_Missed</v>
      </c>
      <c r="AG1023" t="str">
        <f t="shared" si="101"/>
        <v>Pass-Forehand</v>
      </c>
      <c r="AN1023" t="str">
        <f t="shared" si="103"/>
        <v>Offensive</v>
      </c>
      <c r="BD1023" s="23"/>
      <c r="BF1023" s="21"/>
    </row>
    <row r="1024" spans="1:58" x14ac:dyDescent="0.2">
      <c r="A1024">
        <v>519</v>
      </c>
      <c r="B1024">
        <v>86</v>
      </c>
      <c r="J1024">
        <v>9</v>
      </c>
      <c r="Q1024" t="s">
        <v>704</v>
      </c>
      <c r="S1024" t="s">
        <v>688</v>
      </c>
      <c r="T1024">
        <v>1</v>
      </c>
      <c r="U1024" s="8">
        <f t="shared" si="99"/>
        <v>1</v>
      </c>
      <c r="AD1024" t="str">
        <f t="shared" si="98"/>
        <v>o</v>
      </c>
      <c r="AE1024" t="str">
        <f t="shared" si="102"/>
        <v>Pass</v>
      </c>
      <c r="AF1024" t="str">
        <f t="shared" si="100"/>
        <v>Pass_Missed</v>
      </c>
      <c r="AG1024" t="str">
        <f t="shared" si="101"/>
        <v>Pass-Forehand</v>
      </c>
      <c r="AN1024" t="str">
        <f t="shared" si="103"/>
        <v>Defensive</v>
      </c>
      <c r="BD1024" s="23"/>
      <c r="BF1024" s="21"/>
    </row>
    <row r="1025" spans="1:58" x14ac:dyDescent="0.2">
      <c r="A1025">
        <v>520</v>
      </c>
      <c r="B1025">
        <v>86</v>
      </c>
      <c r="E1025" s="5" t="s">
        <v>900</v>
      </c>
      <c r="F1025" s="5" t="s">
        <v>883</v>
      </c>
      <c r="I1025" t="s">
        <v>840</v>
      </c>
      <c r="J1025">
        <v>17</v>
      </c>
      <c r="K1025">
        <v>1</v>
      </c>
      <c r="L1025" t="s">
        <v>845</v>
      </c>
      <c r="M1025" t="s">
        <v>257</v>
      </c>
      <c r="N1025" t="s">
        <v>201</v>
      </c>
      <c r="O1025" t="s">
        <v>409</v>
      </c>
      <c r="P1025" t="s">
        <v>688</v>
      </c>
      <c r="Q1025" t="s">
        <v>706</v>
      </c>
      <c r="S1025" t="s">
        <v>688</v>
      </c>
      <c r="U1025" s="8">
        <f t="shared" si="99"/>
        <v>1</v>
      </c>
      <c r="AD1025" t="str">
        <f t="shared" si="98"/>
        <v>e</v>
      </c>
      <c r="AE1025" t="str">
        <f t="shared" si="102"/>
        <v>Zone_Entry_Exit</v>
      </c>
      <c r="AF1025" t="str">
        <f t="shared" si="100"/>
        <v>Zone_Exit</v>
      </c>
      <c r="AG1025" t="str">
        <f t="shared" si="101"/>
        <v>ZoneExit-PassMiss/Misplay</v>
      </c>
      <c r="AN1025" t="str">
        <f t="shared" si="103"/>
        <v>Offensive</v>
      </c>
      <c r="BD1025" s="23"/>
      <c r="BF1025" s="21"/>
    </row>
    <row r="1026" spans="1:58" x14ac:dyDescent="0.2">
      <c r="A1026">
        <v>520</v>
      </c>
      <c r="B1026">
        <v>86</v>
      </c>
      <c r="J1026">
        <v>26</v>
      </c>
      <c r="K1026">
        <v>1</v>
      </c>
      <c r="T1026">
        <v>1</v>
      </c>
      <c r="U1026" s="8">
        <f t="shared" si="99"/>
        <v>1</v>
      </c>
      <c r="AD1026" t="str">
        <f t="shared" ref="AD1026:AD1089" si="104">IF(K1026="x","",IF(K1026=1,"e","o"))</f>
        <v>e</v>
      </c>
      <c r="AE1026" t="str">
        <f t="shared" si="102"/>
        <v>Zone_Entry_Exit</v>
      </c>
      <c r="AF1026" t="str">
        <f t="shared" si="100"/>
        <v>Zone_Exit</v>
      </c>
      <c r="AG1026" t="str">
        <f t="shared" si="101"/>
        <v>ZoneExit-PassMiss/Misplay</v>
      </c>
      <c r="AN1026" t="str">
        <f t="shared" si="103"/>
        <v>Offensive</v>
      </c>
      <c r="BD1026" s="23"/>
      <c r="BF1026" s="21"/>
    </row>
    <row r="1027" spans="1:58" x14ac:dyDescent="0.2">
      <c r="A1027">
        <v>520</v>
      </c>
      <c r="B1027">
        <v>86</v>
      </c>
      <c r="J1027">
        <v>9</v>
      </c>
      <c r="Q1027" t="s">
        <v>704</v>
      </c>
      <c r="S1027" t="s">
        <v>688</v>
      </c>
      <c r="T1027">
        <v>1</v>
      </c>
      <c r="U1027" s="8">
        <f t="shared" ref="U1027:U1090" si="105">IF(M1027="Intermission",U1026+1,U1026)</f>
        <v>1</v>
      </c>
      <c r="AD1027" t="str">
        <f t="shared" si="104"/>
        <v>o</v>
      </c>
      <c r="AE1027" t="str">
        <f t="shared" si="102"/>
        <v>Zone_Entry_Exit</v>
      </c>
      <c r="AF1027" t="str">
        <f t="shared" ref="AF1027:AF1090" si="106">IF(N1027&lt;&gt;"",N1027,IF($A1027=$A1026,AF1026,""))</f>
        <v>Zone_Exit</v>
      </c>
      <c r="AG1027" t="str">
        <f t="shared" ref="AG1027:AG1090" si="107">IF(O1027&lt;&gt;"",O1027,IF($A1027=$A1026,AG1026,""))</f>
        <v>ZoneExit-PassMiss/Misplay</v>
      </c>
      <c r="AN1027" t="str">
        <f t="shared" si="103"/>
        <v>Defensive</v>
      </c>
      <c r="BD1027" s="23"/>
      <c r="BF1027" s="21"/>
    </row>
    <row r="1028" spans="1:58" x14ac:dyDescent="0.2">
      <c r="A1028">
        <v>521</v>
      </c>
      <c r="B1028">
        <v>86</v>
      </c>
      <c r="E1028" s="5" t="s">
        <v>900</v>
      </c>
      <c r="F1028" s="5" t="s">
        <v>883</v>
      </c>
      <c r="I1028" t="s">
        <v>840</v>
      </c>
      <c r="J1028">
        <v>17</v>
      </c>
      <c r="K1028">
        <v>1</v>
      </c>
      <c r="L1028" t="s">
        <v>845</v>
      </c>
      <c r="M1028" t="s">
        <v>257</v>
      </c>
      <c r="N1028" t="s">
        <v>191</v>
      </c>
      <c r="O1028" t="s">
        <v>408</v>
      </c>
      <c r="P1028" t="s">
        <v>688</v>
      </c>
      <c r="Q1028" t="s">
        <v>706</v>
      </c>
      <c r="S1028" t="s">
        <v>688</v>
      </c>
      <c r="U1028" s="8">
        <f t="shared" si="105"/>
        <v>1</v>
      </c>
      <c r="AD1028" t="str">
        <f t="shared" si="104"/>
        <v>e</v>
      </c>
      <c r="AE1028" t="str">
        <f t="shared" ref="AE1028:AE1091" si="108">IF(M1028&lt;&gt;"",M1028,IF($A1028=$A1027,AE1027,""))</f>
        <v>Zone_Entry_Exit</v>
      </c>
      <c r="AF1028" t="str">
        <f t="shared" si="106"/>
        <v>Zone_Entry</v>
      </c>
      <c r="AG1028" t="str">
        <f t="shared" si="107"/>
        <v>ZoneEntry-FromExitClear</v>
      </c>
      <c r="AN1028" t="str">
        <f t="shared" si="103"/>
        <v>Offensive</v>
      </c>
      <c r="BD1028" s="23"/>
      <c r="BF1028" s="21"/>
    </row>
    <row r="1029" spans="1:58" x14ac:dyDescent="0.2">
      <c r="A1029">
        <v>521</v>
      </c>
      <c r="B1029">
        <v>86</v>
      </c>
      <c r="J1029">
        <v>26</v>
      </c>
      <c r="K1029">
        <v>1</v>
      </c>
      <c r="T1029">
        <v>1</v>
      </c>
      <c r="U1029" s="8">
        <f t="shared" si="105"/>
        <v>1</v>
      </c>
      <c r="AD1029" t="str">
        <f t="shared" si="104"/>
        <v>e</v>
      </c>
      <c r="AE1029" t="str">
        <f t="shared" si="108"/>
        <v>Zone_Entry_Exit</v>
      </c>
      <c r="AF1029" t="str">
        <f t="shared" si="106"/>
        <v>Zone_Entry</v>
      </c>
      <c r="AG1029" t="str">
        <f t="shared" si="107"/>
        <v>ZoneEntry-FromExitClear</v>
      </c>
      <c r="AN1029" t="str">
        <f t="shared" si="103"/>
        <v>Offensive</v>
      </c>
      <c r="BD1029" s="23"/>
      <c r="BF1029" s="21"/>
    </row>
    <row r="1030" spans="1:58" x14ac:dyDescent="0.2">
      <c r="A1030">
        <v>521</v>
      </c>
      <c r="B1030">
        <v>86</v>
      </c>
      <c r="J1030">
        <v>9</v>
      </c>
      <c r="Q1030" t="s">
        <v>704</v>
      </c>
      <c r="S1030" t="s">
        <v>688</v>
      </c>
      <c r="T1030">
        <v>1</v>
      </c>
      <c r="U1030" s="8">
        <f t="shared" si="105"/>
        <v>1</v>
      </c>
      <c r="AD1030" t="str">
        <f t="shared" si="104"/>
        <v>o</v>
      </c>
      <c r="AE1030" t="str">
        <f t="shared" si="108"/>
        <v>Zone_Entry_Exit</v>
      </c>
      <c r="AF1030" t="str">
        <f t="shared" si="106"/>
        <v>Zone_Entry</v>
      </c>
      <c r="AG1030" t="str">
        <f t="shared" si="107"/>
        <v>ZoneEntry-FromExitClear</v>
      </c>
      <c r="AN1030" t="str">
        <f t="shared" si="103"/>
        <v>Defensive</v>
      </c>
      <c r="BD1030" s="23"/>
      <c r="BF1030" s="21"/>
    </row>
    <row r="1031" spans="1:58" x14ac:dyDescent="0.2">
      <c r="A1031">
        <v>522</v>
      </c>
      <c r="E1031" s="5" t="s">
        <v>900</v>
      </c>
      <c r="F1031" s="5" t="s">
        <v>836</v>
      </c>
      <c r="G1031" s="5" t="s">
        <v>900</v>
      </c>
      <c r="H1031" s="7" t="s">
        <v>871</v>
      </c>
      <c r="I1031" t="s">
        <v>840</v>
      </c>
      <c r="J1031">
        <v>19</v>
      </c>
      <c r="K1031">
        <v>1</v>
      </c>
      <c r="L1031" t="s">
        <v>401</v>
      </c>
      <c r="M1031" t="s">
        <v>15</v>
      </c>
      <c r="N1031" t="s">
        <v>681</v>
      </c>
      <c r="P1031" t="s">
        <v>689</v>
      </c>
      <c r="Q1031" t="s">
        <v>791</v>
      </c>
      <c r="S1031" t="s">
        <v>689</v>
      </c>
      <c r="T1031">
        <v>1</v>
      </c>
      <c r="U1031" s="8">
        <f t="shared" si="105"/>
        <v>1</v>
      </c>
      <c r="AD1031" t="str">
        <f t="shared" si="104"/>
        <v>e</v>
      </c>
      <c r="AE1031" t="str">
        <f t="shared" si="108"/>
        <v>Possession</v>
      </c>
      <c r="AF1031" t="str">
        <f t="shared" si="106"/>
        <v>PuckRecovery</v>
      </c>
      <c r="AG1031" t="str">
        <f t="shared" si="107"/>
        <v/>
      </c>
      <c r="AN1031" t="str">
        <f t="shared" si="103"/>
        <v>Offensive</v>
      </c>
      <c r="BD1031" s="23"/>
      <c r="BF1031" s="21"/>
    </row>
    <row r="1032" spans="1:58" x14ac:dyDescent="0.2">
      <c r="A1032">
        <v>522</v>
      </c>
      <c r="J1032">
        <v>22</v>
      </c>
      <c r="Q1032" t="s">
        <v>696</v>
      </c>
      <c r="S1032" t="s">
        <v>688</v>
      </c>
      <c r="T1032">
        <v>1</v>
      </c>
      <c r="U1032" s="8">
        <f t="shared" si="105"/>
        <v>1</v>
      </c>
      <c r="AD1032" t="str">
        <f t="shared" si="104"/>
        <v>o</v>
      </c>
      <c r="AE1032" t="str">
        <f t="shared" si="108"/>
        <v>Possession</v>
      </c>
      <c r="AF1032" t="str">
        <f t="shared" si="106"/>
        <v>PuckRecovery</v>
      </c>
      <c r="AG1032" t="str">
        <f t="shared" si="107"/>
        <v/>
      </c>
      <c r="AN1032" t="str">
        <f t="shared" si="103"/>
        <v>Defensive</v>
      </c>
      <c r="BD1032" s="23"/>
      <c r="BF1032" s="21"/>
    </row>
    <row r="1033" spans="1:58" x14ac:dyDescent="0.2">
      <c r="A1033">
        <v>523</v>
      </c>
      <c r="B1033">
        <v>87</v>
      </c>
      <c r="E1033" s="5" t="s">
        <v>900</v>
      </c>
      <c r="F1033" s="5" t="s">
        <v>871</v>
      </c>
      <c r="I1033" t="s">
        <v>840</v>
      </c>
      <c r="J1033">
        <v>19</v>
      </c>
      <c r="K1033">
        <v>1</v>
      </c>
      <c r="L1033" t="s">
        <v>401</v>
      </c>
      <c r="M1033" t="s">
        <v>7</v>
      </c>
      <c r="N1033" t="s">
        <v>222</v>
      </c>
      <c r="O1033" t="s">
        <v>55</v>
      </c>
      <c r="P1033" t="s">
        <v>689</v>
      </c>
      <c r="U1033" s="8">
        <f t="shared" si="105"/>
        <v>1</v>
      </c>
      <c r="AD1033" t="str">
        <f t="shared" si="104"/>
        <v>e</v>
      </c>
      <c r="AE1033" t="str">
        <f t="shared" si="108"/>
        <v>Shot</v>
      </c>
      <c r="AF1033" t="str">
        <f t="shared" si="106"/>
        <v>Shot_OnNetSaved</v>
      </c>
      <c r="AG1033" t="str">
        <f t="shared" si="107"/>
        <v>Shot-Backhand</v>
      </c>
      <c r="AN1033" t="str">
        <f t="shared" ref="AN1033:AN1096" si="109">IF(AND(AD1033="e",OR(AE1033="Save",AF1033="Turnover_Takeaway",AF1033="Play_Defensive")),"Defensive",IF(AND(AD1033="o",OR(AE1033="Save",AF1033="Turnover_Takeaway",AF1033="Play_Defensive")),"Offensive",IF(OR(AE1033="Deadice",AE1033="Stoppage",AE1033="Intermission"),"",IF(AD1033="e","Offensive",IF(AD1033="o","Defensive","")))))</f>
        <v>Offensive</v>
      </c>
      <c r="BD1033" s="23"/>
      <c r="BF1033" s="21"/>
    </row>
    <row r="1034" spans="1:58" x14ac:dyDescent="0.2">
      <c r="A1034">
        <v>523</v>
      </c>
      <c r="B1034">
        <v>87</v>
      </c>
      <c r="J1034">
        <v>39</v>
      </c>
      <c r="U1034" s="8">
        <f t="shared" si="105"/>
        <v>1</v>
      </c>
      <c r="AD1034" t="str">
        <f t="shared" si="104"/>
        <v>o</v>
      </c>
      <c r="AE1034" t="str">
        <f t="shared" si="108"/>
        <v>Shot</v>
      </c>
      <c r="AF1034" t="str">
        <f t="shared" si="106"/>
        <v>Shot_OnNetSaved</v>
      </c>
      <c r="AG1034" t="str">
        <f t="shared" si="107"/>
        <v>Shot-Backhand</v>
      </c>
      <c r="AN1034" t="str">
        <f t="shared" si="109"/>
        <v>Defensive</v>
      </c>
      <c r="BD1034" s="23"/>
      <c r="BF1034" s="21"/>
    </row>
    <row r="1035" spans="1:58" x14ac:dyDescent="0.2">
      <c r="A1035">
        <v>524</v>
      </c>
      <c r="B1035">
        <v>87</v>
      </c>
      <c r="E1035" s="5" t="s">
        <v>900</v>
      </c>
      <c r="F1035" s="5" t="s">
        <v>871</v>
      </c>
      <c r="I1035" t="s">
        <v>835</v>
      </c>
      <c r="J1035">
        <v>39</v>
      </c>
      <c r="K1035">
        <v>1</v>
      </c>
      <c r="L1035" t="s">
        <v>845</v>
      </c>
      <c r="M1035" t="s">
        <v>17</v>
      </c>
      <c r="N1035" t="s">
        <v>196</v>
      </c>
      <c r="O1035" t="s">
        <v>99</v>
      </c>
      <c r="U1035" s="8">
        <f t="shared" si="105"/>
        <v>1</v>
      </c>
      <c r="AD1035" t="str">
        <f t="shared" si="104"/>
        <v>e</v>
      </c>
      <c r="AE1035" t="str">
        <f t="shared" si="108"/>
        <v>Save</v>
      </c>
      <c r="AF1035" t="str">
        <f t="shared" si="106"/>
        <v>Save_Rebound</v>
      </c>
      <c r="AG1035" t="str">
        <f t="shared" si="107"/>
        <v>Save-RightPad</v>
      </c>
      <c r="AN1035" t="str">
        <f t="shared" si="109"/>
        <v>Defensive</v>
      </c>
      <c r="BD1035" s="23"/>
      <c r="BF1035" s="21"/>
    </row>
    <row r="1036" spans="1:58" x14ac:dyDescent="0.2">
      <c r="A1036">
        <v>524</v>
      </c>
      <c r="B1036">
        <v>87</v>
      </c>
      <c r="J1036">
        <v>19</v>
      </c>
      <c r="U1036" s="8">
        <f t="shared" si="105"/>
        <v>1</v>
      </c>
      <c r="AD1036" t="str">
        <f t="shared" si="104"/>
        <v>o</v>
      </c>
      <c r="AE1036" t="str">
        <f t="shared" si="108"/>
        <v>Save</v>
      </c>
      <c r="AF1036" t="str">
        <f t="shared" si="106"/>
        <v>Save_Rebound</v>
      </c>
      <c r="AG1036" t="str">
        <f t="shared" si="107"/>
        <v>Save-RightPad</v>
      </c>
      <c r="AN1036" t="str">
        <f t="shared" si="109"/>
        <v>Offensive</v>
      </c>
      <c r="BD1036" s="23"/>
      <c r="BF1036" s="21"/>
    </row>
    <row r="1037" spans="1:58" x14ac:dyDescent="0.2">
      <c r="A1037">
        <v>525</v>
      </c>
      <c r="B1037">
        <v>87</v>
      </c>
      <c r="E1037" s="5" t="s">
        <v>900</v>
      </c>
      <c r="F1037" s="5" t="s">
        <v>871</v>
      </c>
      <c r="I1037" t="s">
        <v>835</v>
      </c>
      <c r="J1037">
        <v>39</v>
      </c>
      <c r="K1037">
        <v>1</v>
      </c>
      <c r="L1037" t="s">
        <v>845</v>
      </c>
      <c r="M1037" t="s">
        <v>250</v>
      </c>
      <c r="N1037" t="s">
        <v>252</v>
      </c>
      <c r="U1037" s="8">
        <f t="shared" si="105"/>
        <v>1</v>
      </c>
      <c r="AD1037" t="str">
        <f t="shared" si="104"/>
        <v>e</v>
      </c>
      <c r="AE1037" t="str">
        <f t="shared" si="108"/>
        <v>Rebound</v>
      </c>
      <c r="AF1037" t="str">
        <f t="shared" si="106"/>
        <v>Rebound_OppTeamRecovered</v>
      </c>
      <c r="AG1037" t="str">
        <f t="shared" si="107"/>
        <v/>
      </c>
      <c r="AN1037" t="str">
        <f t="shared" si="109"/>
        <v>Offensive</v>
      </c>
      <c r="BD1037" s="23"/>
      <c r="BF1037" s="21"/>
    </row>
    <row r="1038" spans="1:58" x14ac:dyDescent="0.2">
      <c r="A1038">
        <v>526</v>
      </c>
      <c r="E1038" s="5" t="s">
        <v>900</v>
      </c>
      <c r="F1038" s="5" t="s">
        <v>866</v>
      </c>
      <c r="G1038" s="5" t="s">
        <v>900</v>
      </c>
      <c r="H1038" s="7" t="s">
        <v>891</v>
      </c>
      <c r="I1038" t="s">
        <v>840</v>
      </c>
      <c r="J1038">
        <v>17</v>
      </c>
      <c r="K1038">
        <v>1</v>
      </c>
      <c r="L1038" t="s">
        <v>401</v>
      </c>
      <c r="M1038" t="s">
        <v>15</v>
      </c>
      <c r="N1038" t="s">
        <v>681</v>
      </c>
      <c r="P1038" t="s">
        <v>689</v>
      </c>
      <c r="Q1038" t="s">
        <v>705</v>
      </c>
      <c r="S1038" t="s">
        <v>689</v>
      </c>
      <c r="U1038" s="8">
        <f t="shared" si="105"/>
        <v>1</v>
      </c>
      <c r="AD1038" t="str">
        <f t="shared" si="104"/>
        <v>e</v>
      </c>
      <c r="AE1038" t="str">
        <f t="shared" si="108"/>
        <v>Possession</v>
      </c>
      <c r="AF1038" t="str">
        <f t="shared" si="106"/>
        <v>PuckRecovery</v>
      </c>
      <c r="AG1038" t="str">
        <f t="shared" si="107"/>
        <v/>
      </c>
      <c r="AN1038" t="str">
        <f t="shared" si="109"/>
        <v>Offensive</v>
      </c>
      <c r="BD1038" s="23"/>
      <c r="BF1038" s="21"/>
    </row>
    <row r="1039" spans="1:58" x14ac:dyDescent="0.2">
      <c r="A1039">
        <v>527</v>
      </c>
      <c r="E1039" s="5" t="s">
        <v>900</v>
      </c>
      <c r="F1039" s="5" t="s">
        <v>891</v>
      </c>
      <c r="I1039" t="s">
        <v>840</v>
      </c>
      <c r="J1039">
        <v>17</v>
      </c>
      <c r="K1039">
        <v>1</v>
      </c>
      <c r="L1039" t="s">
        <v>840</v>
      </c>
      <c r="M1039" t="s">
        <v>8</v>
      </c>
      <c r="N1039" t="s">
        <v>209</v>
      </c>
      <c r="O1039" t="s">
        <v>70</v>
      </c>
      <c r="P1039" t="s">
        <v>688</v>
      </c>
      <c r="U1039" s="8">
        <f t="shared" si="105"/>
        <v>1</v>
      </c>
      <c r="AD1039" t="str">
        <f t="shared" si="104"/>
        <v>e</v>
      </c>
      <c r="AE1039" t="str">
        <f t="shared" si="108"/>
        <v>Pass</v>
      </c>
      <c r="AF1039" t="str">
        <f t="shared" si="106"/>
        <v>Pass_Deflected</v>
      </c>
      <c r="AG1039" t="str">
        <f t="shared" si="107"/>
        <v>Pass-Forehand</v>
      </c>
      <c r="AN1039" t="str">
        <f t="shared" si="109"/>
        <v>Offensive</v>
      </c>
      <c r="BD1039" s="23"/>
      <c r="BF1039" s="21"/>
    </row>
    <row r="1040" spans="1:58" x14ac:dyDescent="0.2">
      <c r="A1040">
        <v>527</v>
      </c>
      <c r="J1040">
        <v>26</v>
      </c>
      <c r="K1040">
        <v>1</v>
      </c>
      <c r="U1040" s="8">
        <f t="shared" si="105"/>
        <v>1</v>
      </c>
      <c r="AD1040" t="str">
        <f t="shared" si="104"/>
        <v>e</v>
      </c>
      <c r="AE1040" t="str">
        <f t="shared" si="108"/>
        <v>Pass</v>
      </c>
      <c r="AF1040" t="str">
        <f t="shared" si="106"/>
        <v>Pass_Deflected</v>
      </c>
      <c r="AG1040" t="str">
        <f t="shared" si="107"/>
        <v>Pass-Forehand</v>
      </c>
      <c r="AN1040" t="str">
        <f t="shared" si="109"/>
        <v>Offensive</v>
      </c>
      <c r="BD1040" s="23"/>
      <c r="BF1040" s="21"/>
    </row>
    <row r="1041" spans="1:58" x14ac:dyDescent="0.2">
      <c r="A1041">
        <v>527</v>
      </c>
      <c r="J1041">
        <v>22</v>
      </c>
      <c r="Q1041" t="s">
        <v>833</v>
      </c>
      <c r="S1041" t="s">
        <v>689</v>
      </c>
      <c r="U1041" s="8">
        <f t="shared" si="105"/>
        <v>1</v>
      </c>
      <c r="AD1041" t="str">
        <f t="shared" si="104"/>
        <v>o</v>
      </c>
      <c r="AE1041" t="str">
        <f t="shared" si="108"/>
        <v>Pass</v>
      </c>
      <c r="AF1041" t="str">
        <f t="shared" si="106"/>
        <v>Pass_Deflected</v>
      </c>
      <c r="AG1041" t="str">
        <f t="shared" si="107"/>
        <v>Pass-Forehand</v>
      </c>
      <c r="AN1041" t="str">
        <f t="shared" si="109"/>
        <v>Defensive</v>
      </c>
      <c r="BD1041" s="23"/>
      <c r="BF1041" s="21"/>
    </row>
    <row r="1042" spans="1:58" x14ac:dyDescent="0.2">
      <c r="A1042">
        <v>528</v>
      </c>
      <c r="E1042" s="5" t="s">
        <v>900</v>
      </c>
      <c r="F1042" s="5" t="s">
        <v>867</v>
      </c>
      <c r="I1042" t="s">
        <v>840</v>
      </c>
      <c r="J1042">
        <v>26</v>
      </c>
      <c r="K1042">
        <v>1</v>
      </c>
      <c r="L1042" t="s">
        <v>840</v>
      </c>
      <c r="M1042" t="s">
        <v>15</v>
      </c>
      <c r="N1042" t="s">
        <v>681</v>
      </c>
      <c r="P1042" t="s">
        <v>689</v>
      </c>
      <c r="Q1042" t="s">
        <v>714</v>
      </c>
      <c r="S1042" t="s">
        <v>689</v>
      </c>
      <c r="U1042" s="8">
        <f t="shared" si="105"/>
        <v>1</v>
      </c>
      <c r="AD1042" t="str">
        <f t="shared" si="104"/>
        <v>e</v>
      </c>
      <c r="AE1042" t="str">
        <f t="shared" si="108"/>
        <v>Possession</v>
      </c>
      <c r="AF1042" t="str">
        <f t="shared" si="106"/>
        <v>PuckRecovery</v>
      </c>
      <c r="AG1042" t="str">
        <f t="shared" si="107"/>
        <v/>
      </c>
      <c r="AN1042" t="str">
        <f t="shared" si="109"/>
        <v>Offensive</v>
      </c>
      <c r="BD1042" s="23"/>
      <c r="BF1042" s="21"/>
    </row>
    <row r="1043" spans="1:58" x14ac:dyDescent="0.2">
      <c r="A1043">
        <v>529</v>
      </c>
      <c r="E1043" s="5" t="s">
        <v>900</v>
      </c>
      <c r="F1043" s="5" t="s">
        <v>867</v>
      </c>
      <c r="I1043" t="s">
        <v>840</v>
      </c>
      <c r="J1043">
        <v>26</v>
      </c>
      <c r="K1043">
        <v>1</v>
      </c>
      <c r="L1043" t="s">
        <v>840</v>
      </c>
      <c r="M1043" t="s">
        <v>8</v>
      </c>
      <c r="N1043" t="s">
        <v>189</v>
      </c>
      <c r="O1043" t="s">
        <v>69</v>
      </c>
      <c r="P1043" t="s">
        <v>689</v>
      </c>
      <c r="Q1043" t="s">
        <v>749</v>
      </c>
      <c r="S1043" t="s">
        <v>689</v>
      </c>
      <c r="U1043" s="8">
        <f t="shared" si="105"/>
        <v>1</v>
      </c>
      <c r="AD1043" t="str">
        <f t="shared" si="104"/>
        <v>e</v>
      </c>
      <c r="AE1043" t="str">
        <f t="shared" si="108"/>
        <v>Pass</v>
      </c>
      <c r="AF1043" t="str">
        <f t="shared" si="106"/>
        <v>Pass_Completed</v>
      </c>
      <c r="AG1043" t="str">
        <f t="shared" si="107"/>
        <v>Pass-Backhand</v>
      </c>
      <c r="AN1043" t="str">
        <f t="shared" si="109"/>
        <v>Offensive</v>
      </c>
      <c r="BD1043" s="23"/>
      <c r="BF1043" s="21"/>
    </row>
    <row r="1044" spans="1:58" x14ac:dyDescent="0.2">
      <c r="A1044">
        <v>529</v>
      </c>
      <c r="J1044">
        <v>8</v>
      </c>
      <c r="K1044">
        <v>1</v>
      </c>
      <c r="U1044" s="8">
        <f t="shared" si="105"/>
        <v>1</v>
      </c>
      <c r="AD1044" t="str">
        <f t="shared" si="104"/>
        <v>e</v>
      </c>
      <c r="AE1044" t="str">
        <f t="shared" si="108"/>
        <v>Pass</v>
      </c>
      <c r="AF1044" t="str">
        <f t="shared" si="106"/>
        <v>Pass_Completed</v>
      </c>
      <c r="AG1044" t="str">
        <f t="shared" si="107"/>
        <v>Pass-Backhand</v>
      </c>
      <c r="AN1044" t="str">
        <f t="shared" si="109"/>
        <v>Offensive</v>
      </c>
      <c r="BD1044" s="23"/>
      <c r="BF1044" s="21"/>
    </row>
    <row r="1045" spans="1:58" x14ac:dyDescent="0.2">
      <c r="A1045">
        <v>530</v>
      </c>
      <c r="B1045">
        <v>88</v>
      </c>
      <c r="E1045" s="5" t="s">
        <v>900</v>
      </c>
      <c r="F1045" s="5" t="s">
        <v>892</v>
      </c>
      <c r="I1045" t="s">
        <v>840</v>
      </c>
      <c r="J1045">
        <v>8</v>
      </c>
      <c r="K1045">
        <v>1</v>
      </c>
      <c r="L1045" t="s">
        <v>840</v>
      </c>
      <c r="M1045" t="s">
        <v>7</v>
      </c>
      <c r="N1045" t="s">
        <v>222</v>
      </c>
      <c r="O1045" t="s">
        <v>65</v>
      </c>
      <c r="P1045" t="s">
        <v>689</v>
      </c>
      <c r="U1045" s="8">
        <f t="shared" si="105"/>
        <v>1</v>
      </c>
      <c r="AD1045" t="str">
        <f t="shared" si="104"/>
        <v>e</v>
      </c>
      <c r="AE1045" t="str">
        <f t="shared" si="108"/>
        <v>Shot</v>
      </c>
      <c r="AF1045" t="str">
        <f t="shared" si="106"/>
        <v>Shot_OnNetSaved</v>
      </c>
      <c r="AG1045" t="str">
        <f t="shared" si="107"/>
        <v>Shot-OneTime</v>
      </c>
      <c r="AN1045" t="str">
        <f t="shared" si="109"/>
        <v>Offensive</v>
      </c>
      <c r="BD1045" s="23"/>
      <c r="BF1045" s="21"/>
    </row>
    <row r="1046" spans="1:58" x14ac:dyDescent="0.2">
      <c r="A1046">
        <v>530</v>
      </c>
      <c r="B1046">
        <v>88</v>
      </c>
      <c r="J1046">
        <v>39</v>
      </c>
      <c r="U1046" s="8">
        <f t="shared" si="105"/>
        <v>1</v>
      </c>
      <c r="AD1046" t="str">
        <f t="shared" si="104"/>
        <v>o</v>
      </c>
      <c r="AE1046" t="str">
        <f t="shared" si="108"/>
        <v>Shot</v>
      </c>
      <c r="AF1046" t="str">
        <f t="shared" si="106"/>
        <v>Shot_OnNetSaved</v>
      </c>
      <c r="AG1046" t="str">
        <f t="shared" si="107"/>
        <v>Shot-OneTime</v>
      </c>
      <c r="AN1046" t="str">
        <f t="shared" si="109"/>
        <v>Defensive</v>
      </c>
      <c r="BD1046" s="23"/>
      <c r="BF1046" s="21"/>
    </row>
    <row r="1047" spans="1:58" x14ac:dyDescent="0.2">
      <c r="A1047">
        <v>531</v>
      </c>
      <c r="B1047">
        <v>88</v>
      </c>
      <c r="E1047" s="5" t="s">
        <v>900</v>
      </c>
      <c r="F1047" s="5" t="s">
        <v>892</v>
      </c>
      <c r="I1047" t="s">
        <v>835</v>
      </c>
      <c r="J1047">
        <v>39</v>
      </c>
      <c r="K1047">
        <v>1</v>
      </c>
      <c r="L1047" t="s">
        <v>845</v>
      </c>
      <c r="M1047" t="s">
        <v>17</v>
      </c>
      <c r="N1047" t="s">
        <v>196</v>
      </c>
      <c r="O1047" t="s">
        <v>98</v>
      </c>
      <c r="U1047" s="8">
        <f t="shared" si="105"/>
        <v>1</v>
      </c>
      <c r="AD1047" t="str">
        <f t="shared" si="104"/>
        <v>e</v>
      </c>
      <c r="AE1047" t="str">
        <f t="shared" si="108"/>
        <v>Save</v>
      </c>
      <c r="AF1047" t="str">
        <f t="shared" si="106"/>
        <v>Save_Rebound</v>
      </c>
      <c r="AG1047" t="str">
        <f t="shared" si="107"/>
        <v>Save-LeftPad</v>
      </c>
      <c r="AN1047" t="str">
        <f t="shared" si="109"/>
        <v>Defensive</v>
      </c>
      <c r="BD1047" s="23"/>
      <c r="BF1047" s="21"/>
    </row>
    <row r="1048" spans="1:58" x14ac:dyDescent="0.2">
      <c r="A1048">
        <v>531</v>
      </c>
      <c r="B1048">
        <v>88</v>
      </c>
      <c r="J1048">
        <v>8</v>
      </c>
      <c r="U1048" s="8">
        <f t="shared" si="105"/>
        <v>1</v>
      </c>
      <c r="AD1048" t="str">
        <f t="shared" si="104"/>
        <v>o</v>
      </c>
      <c r="AE1048" t="str">
        <f t="shared" si="108"/>
        <v>Save</v>
      </c>
      <c r="AF1048" t="str">
        <f t="shared" si="106"/>
        <v>Save_Rebound</v>
      </c>
      <c r="AG1048" t="str">
        <f t="shared" si="107"/>
        <v>Save-LeftPad</v>
      </c>
      <c r="AN1048" t="str">
        <f t="shared" si="109"/>
        <v>Offensive</v>
      </c>
      <c r="BD1048" s="23"/>
      <c r="BF1048" s="21"/>
    </row>
    <row r="1049" spans="1:58" x14ac:dyDescent="0.2">
      <c r="A1049">
        <v>532</v>
      </c>
      <c r="B1049">
        <v>88</v>
      </c>
      <c r="E1049" s="5" t="s">
        <v>900</v>
      </c>
      <c r="F1049" s="5" t="s">
        <v>892</v>
      </c>
      <c r="I1049" t="s">
        <v>835</v>
      </c>
      <c r="J1049">
        <v>39</v>
      </c>
      <c r="K1049">
        <v>1</v>
      </c>
      <c r="L1049" t="s">
        <v>845</v>
      </c>
      <c r="M1049" t="s">
        <v>250</v>
      </c>
      <c r="N1049" t="s">
        <v>252</v>
      </c>
      <c r="U1049" s="8">
        <f t="shared" si="105"/>
        <v>1</v>
      </c>
      <c r="AD1049" t="str">
        <f t="shared" si="104"/>
        <v>e</v>
      </c>
      <c r="AE1049" t="str">
        <f t="shared" si="108"/>
        <v>Rebound</v>
      </c>
      <c r="AF1049" t="str">
        <f t="shared" si="106"/>
        <v>Rebound_OppTeamRecovered</v>
      </c>
      <c r="AG1049" t="str">
        <f t="shared" si="107"/>
        <v/>
      </c>
      <c r="AN1049" t="str">
        <f t="shared" si="109"/>
        <v>Offensive</v>
      </c>
      <c r="BD1049" s="23"/>
      <c r="BF1049" s="21"/>
    </row>
    <row r="1050" spans="1:58" x14ac:dyDescent="0.2">
      <c r="A1050">
        <v>533</v>
      </c>
      <c r="E1050" s="5" t="s">
        <v>900</v>
      </c>
      <c r="F1050" s="5" t="s">
        <v>902</v>
      </c>
      <c r="G1050" s="5" t="s">
        <v>900</v>
      </c>
      <c r="H1050" s="7" t="s">
        <v>884</v>
      </c>
      <c r="I1050" t="s">
        <v>840</v>
      </c>
      <c r="J1050">
        <v>8</v>
      </c>
      <c r="K1050">
        <v>1</v>
      </c>
      <c r="L1050" t="s">
        <v>401</v>
      </c>
      <c r="M1050" t="s">
        <v>15</v>
      </c>
      <c r="N1050" t="s">
        <v>681</v>
      </c>
      <c r="P1050" t="s">
        <v>689</v>
      </c>
      <c r="Q1050" t="s">
        <v>747</v>
      </c>
      <c r="R1050" t="s">
        <v>721</v>
      </c>
      <c r="S1050" t="s">
        <v>689</v>
      </c>
      <c r="T1050">
        <v>1</v>
      </c>
      <c r="U1050" s="8">
        <f t="shared" si="105"/>
        <v>1</v>
      </c>
      <c r="AD1050" t="str">
        <f t="shared" si="104"/>
        <v>e</v>
      </c>
      <c r="AE1050" t="str">
        <f t="shared" si="108"/>
        <v>Possession</v>
      </c>
      <c r="AF1050" t="str">
        <f t="shared" si="106"/>
        <v>PuckRecovery</v>
      </c>
      <c r="AG1050" t="str">
        <f t="shared" si="107"/>
        <v/>
      </c>
      <c r="AN1050" t="str">
        <f t="shared" si="109"/>
        <v>Offensive</v>
      </c>
      <c r="BD1050" s="23"/>
      <c r="BF1050" s="21"/>
    </row>
    <row r="1051" spans="1:58" x14ac:dyDescent="0.2">
      <c r="A1051">
        <v>533</v>
      </c>
      <c r="J1051">
        <v>55</v>
      </c>
      <c r="Q1051" t="s">
        <v>719</v>
      </c>
      <c r="U1051" s="8">
        <f t="shared" si="105"/>
        <v>1</v>
      </c>
      <c r="AD1051" t="str">
        <f t="shared" si="104"/>
        <v>o</v>
      </c>
      <c r="AE1051" t="str">
        <f t="shared" si="108"/>
        <v>Possession</v>
      </c>
      <c r="AF1051" t="str">
        <f t="shared" si="106"/>
        <v>PuckRecovery</v>
      </c>
      <c r="AG1051" t="str">
        <f t="shared" si="107"/>
        <v/>
      </c>
      <c r="AN1051" t="str">
        <f t="shared" si="109"/>
        <v>Defensive</v>
      </c>
      <c r="BD1051" s="23"/>
      <c r="BF1051" s="21"/>
    </row>
    <row r="1052" spans="1:58" x14ac:dyDescent="0.2">
      <c r="A1052">
        <v>534</v>
      </c>
      <c r="B1052">
        <v>89</v>
      </c>
      <c r="E1052" s="5" t="s">
        <v>900</v>
      </c>
      <c r="F1052" s="5" t="s">
        <v>884</v>
      </c>
      <c r="I1052" t="s">
        <v>840</v>
      </c>
      <c r="J1052">
        <v>8</v>
      </c>
      <c r="K1052">
        <v>1</v>
      </c>
      <c r="L1052" t="s">
        <v>840</v>
      </c>
      <c r="M1052" t="s">
        <v>7</v>
      </c>
      <c r="N1052" t="s">
        <v>222</v>
      </c>
      <c r="O1052" t="s">
        <v>58</v>
      </c>
      <c r="P1052" t="s">
        <v>689</v>
      </c>
      <c r="T1052">
        <v>1</v>
      </c>
      <c r="U1052" s="8">
        <f t="shared" si="105"/>
        <v>1</v>
      </c>
      <c r="AD1052" t="str">
        <f t="shared" si="104"/>
        <v>e</v>
      </c>
      <c r="AE1052" t="str">
        <f t="shared" si="108"/>
        <v>Shot</v>
      </c>
      <c r="AF1052" t="str">
        <f t="shared" si="106"/>
        <v>Shot_OnNetSaved</v>
      </c>
      <c r="AG1052" t="str">
        <f t="shared" si="107"/>
        <v>Shot-WrapAround</v>
      </c>
      <c r="AN1052" t="str">
        <f t="shared" si="109"/>
        <v>Offensive</v>
      </c>
      <c r="BD1052" s="23"/>
      <c r="BF1052" s="21"/>
    </row>
    <row r="1053" spans="1:58" x14ac:dyDescent="0.2">
      <c r="A1053">
        <v>534</v>
      </c>
      <c r="B1053">
        <v>89</v>
      </c>
      <c r="J1053">
        <v>39</v>
      </c>
      <c r="U1053" s="8">
        <f t="shared" si="105"/>
        <v>1</v>
      </c>
      <c r="AD1053" t="str">
        <f t="shared" si="104"/>
        <v>o</v>
      </c>
      <c r="AE1053" t="str">
        <f t="shared" si="108"/>
        <v>Shot</v>
      </c>
      <c r="AF1053" t="str">
        <f t="shared" si="106"/>
        <v>Shot_OnNetSaved</v>
      </c>
      <c r="AG1053" t="str">
        <f t="shared" si="107"/>
        <v>Shot-WrapAround</v>
      </c>
      <c r="AN1053" t="str">
        <f t="shared" si="109"/>
        <v>Defensive</v>
      </c>
      <c r="BD1053" s="23"/>
      <c r="BF1053" s="21"/>
    </row>
    <row r="1054" spans="1:58" x14ac:dyDescent="0.2">
      <c r="A1054">
        <v>535</v>
      </c>
      <c r="B1054">
        <v>89</v>
      </c>
      <c r="E1054" s="5" t="s">
        <v>900</v>
      </c>
      <c r="F1054" s="5" t="s">
        <v>884</v>
      </c>
      <c r="I1054" t="s">
        <v>835</v>
      </c>
      <c r="J1054">
        <v>39</v>
      </c>
      <c r="K1054">
        <v>1</v>
      </c>
      <c r="L1054" t="s">
        <v>845</v>
      </c>
      <c r="M1054" t="s">
        <v>17</v>
      </c>
      <c r="N1054" t="s">
        <v>196</v>
      </c>
      <c r="O1054" t="s">
        <v>98</v>
      </c>
      <c r="U1054" s="8">
        <f t="shared" si="105"/>
        <v>1</v>
      </c>
      <c r="AD1054" t="str">
        <f t="shared" si="104"/>
        <v>e</v>
      </c>
      <c r="AE1054" t="str">
        <f t="shared" si="108"/>
        <v>Save</v>
      </c>
      <c r="AF1054" t="str">
        <f t="shared" si="106"/>
        <v>Save_Rebound</v>
      </c>
      <c r="AG1054" t="str">
        <f t="shared" si="107"/>
        <v>Save-LeftPad</v>
      </c>
      <c r="AN1054" t="str">
        <f t="shared" si="109"/>
        <v>Defensive</v>
      </c>
      <c r="BD1054" s="23"/>
      <c r="BF1054" s="21"/>
    </row>
    <row r="1055" spans="1:58" x14ac:dyDescent="0.2">
      <c r="A1055">
        <v>535</v>
      </c>
      <c r="B1055">
        <v>89</v>
      </c>
      <c r="J1055">
        <v>8</v>
      </c>
      <c r="U1055" s="8">
        <f t="shared" si="105"/>
        <v>1</v>
      </c>
      <c r="AD1055" t="str">
        <f t="shared" si="104"/>
        <v>o</v>
      </c>
      <c r="AE1055" t="str">
        <f t="shared" si="108"/>
        <v>Save</v>
      </c>
      <c r="AF1055" t="str">
        <f t="shared" si="106"/>
        <v>Save_Rebound</v>
      </c>
      <c r="AG1055" t="str">
        <f t="shared" si="107"/>
        <v>Save-LeftPad</v>
      </c>
      <c r="AN1055" t="str">
        <f t="shared" si="109"/>
        <v>Offensive</v>
      </c>
      <c r="BD1055" s="23"/>
      <c r="BF1055" s="21"/>
    </row>
    <row r="1056" spans="1:58" x14ac:dyDescent="0.2">
      <c r="A1056">
        <v>536</v>
      </c>
      <c r="B1056">
        <v>89</v>
      </c>
      <c r="E1056" s="5" t="s">
        <v>900</v>
      </c>
      <c r="F1056" s="5" t="s">
        <v>884</v>
      </c>
      <c r="I1056" t="s">
        <v>835</v>
      </c>
      <c r="J1056">
        <v>39</v>
      </c>
      <c r="K1056">
        <v>1</v>
      </c>
      <c r="L1056" t="s">
        <v>845</v>
      </c>
      <c r="M1056" t="s">
        <v>250</v>
      </c>
      <c r="N1056" t="s">
        <v>251</v>
      </c>
      <c r="U1056" s="8">
        <f t="shared" si="105"/>
        <v>1</v>
      </c>
      <c r="AD1056" t="str">
        <f t="shared" si="104"/>
        <v>e</v>
      </c>
      <c r="AE1056" t="str">
        <f t="shared" si="108"/>
        <v>Rebound</v>
      </c>
      <c r="AF1056" t="str">
        <f t="shared" si="106"/>
        <v>Rebound_TeamRecovered</v>
      </c>
      <c r="AG1056" t="str">
        <f t="shared" si="107"/>
        <v/>
      </c>
      <c r="AN1056" t="str">
        <f t="shared" si="109"/>
        <v>Offensive</v>
      </c>
      <c r="BD1056" s="23"/>
      <c r="BF1056" s="21"/>
    </row>
    <row r="1057" spans="1:58" x14ac:dyDescent="0.2">
      <c r="A1057">
        <v>537</v>
      </c>
      <c r="E1057" s="5" t="s">
        <v>900</v>
      </c>
      <c r="F1057" s="5" t="s">
        <v>870</v>
      </c>
      <c r="I1057" t="s">
        <v>835</v>
      </c>
      <c r="J1057">
        <v>22</v>
      </c>
      <c r="K1057">
        <v>1</v>
      </c>
      <c r="L1057" t="s">
        <v>845</v>
      </c>
      <c r="M1057" t="s">
        <v>15</v>
      </c>
      <c r="N1057" t="s">
        <v>680</v>
      </c>
      <c r="P1057" t="s">
        <v>689</v>
      </c>
      <c r="Q1057" t="s">
        <v>789</v>
      </c>
      <c r="S1057" t="s">
        <v>689</v>
      </c>
      <c r="T1057">
        <v>1</v>
      </c>
      <c r="U1057" s="8">
        <f t="shared" si="105"/>
        <v>1</v>
      </c>
      <c r="AD1057" t="str">
        <f t="shared" si="104"/>
        <v>e</v>
      </c>
      <c r="AE1057" t="str">
        <f t="shared" si="108"/>
        <v>Possession</v>
      </c>
      <c r="AF1057" t="str">
        <f t="shared" si="106"/>
        <v>PuckRetrieval</v>
      </c>
      <c r="AG1057" t="str">
        <f t="shared" si="107"/>
        <v/>
      </c>
      <c r="AN1057" t="str">
        <f t="shared" si="109"/>
        <v>Offensive</v>
      </c>
      <c r="BD1057" s="23"/>
      <c r="BF1057" s="21"/>
    </row>
    <row r="1058" spans="1:58" x14ac:dyDescent="0.2">
      <c r="A1058">
        <v>537</v>
      </c>
      <c r="J1058">
        <v>19</v>
      </c>
      <c r="T1058">
        <v>1</v>
      </c>
      <c r="U1058" s="8">
        <f t="shared" si="105"/>
        <v>1</v>
      </c>
      <c r="AD1058" t="str">
        <f t="shared" si="104"/>
        <v>o</v>
      </c>
      <c r="AE1058" t="str">
        <f t="shared" si="108"/>
        <v>Possession</v>
      </c>
      <c r="AF1058" t="str">
        <f t="shared" si="106"/>
        <v>PuckRetrieval</v>
      </c>
      <c r="AG1058" t="str">
        <f t="shared" si="107"/>
        <v/>
      </c>
      <c r="AN1058" t="str">
        <f t="shared" si="109"/>
        <v>Defensive</v>
      </c>
      <c r="BD1058" s="23"/>
      <c r="BF1058" s="21"/>
    </row>
    <row r="1059" spans="1:58" x14ac:dyDescent="0.2">
      <c r="A1059">
        <v>537</v>
      </c>
      <c r="J1059">
        <v>26</v>
      </c>
      <c r="T1059">
        <v>1</v>
      </c>
      <c r="U1059" s="8">
        <f t="shared" si="105"/>
        <v>1</v>
      </c>
      <c r="AD1059" t="str">
        <f t="shared" si="104"/>
        <v>o</v>
      </c>
      <c r="AE1059" t="str">
        <f t="shared" si="108"/>
        <v>Possession</v>
      </c>
      <c r="AF1059" t="str">
        <f t="shared" si="106"/>
        <v>PuckRetrieval</v>
      </c>
      <c r="AG1059" t="str">
        <f t="shared" si="107"/>
        <v/>
      </c>
      <c r="AN1059" t="str">
        <f t="shared" si="109"/>
        <v>Defensive</v>
      </c>
      <c r="BD1059" s="23"/>
      <c r="BF1059" s="21"/>
    </row>
    <row r="1060" spans="1:58" x14ac:dyDescent="0.2">
      <c r="A1060">
        <v>538</v>
      </c>
      <c r="E1060" s="5" t="s">
        <v>861</v>
      </c>
      <c r="F1060" s="5" t="s">
        <v>837</v>
      </c>
      <c r="G1060" s="5" t="s">
        <v>861</v>
      </c>
      <c r="H1060" s="7" t="s">
        <v>872</v>
      </c>
      <c r="I1060" t="s">
        <v>835</v>
      </c>
      <c r="J1060">
        <v>22</v>
      </c>
      <c r="K1060">
        <v>1</v>
      </c>
      <c r="L1060" t="s">
        <v>845</v>
      </c>
      <c r="M1060" t="s">
        <v>257</v>
      </c>
      <c r="N1060" t="s">
        <v>201</v>
      </c>
      <c r="O1060" t="s">
        <v>90</v>
      </c>
      <c r="P1060" t="s">
        <v>689</v>
      </c>
      <c r="U1060" s="8">
        <f t="shared" si="105"/>
        <v>1</v>
      </c>
      <c r="AD1060" t="str">
        <f t="shared" si="104"/>
        <v>e</v>
      </c>
      <c r="AE1060" t="str">
        <f t="shared" si="108"/>
        <v>Zone_Entry_Exit</v>
      </c>
      <c r="AF1060" t="str">
        <f t="shared" si="106"/>
        <v>Zone_Exit</v>
      </c>
      <c r="AG1060" t="str">
        <f t="shared" si="107"/>
        <v>ZoneExit-Rush</v>
      </c>
      <c r="AN1060" t="str">
        <f t="shared" si="109"/>
        <v>Offensive</v>
      </c>
      <c r="BD1060" s="23"/>
      <c r="BF1060" s="21"/>
    </row>
    <row r="1061" spans="1:58" x14ac:dyDescent="0.2">
      <c r="A1061">
        <v>539</v>
      </c>
      <c r="E1061" s="5" t="s">
        <v>861</v>
      </c>
      <c r="F1061" s="5" t="s">
        <v>872</v>
      </c>
      <c r="G1061" s="5" t="s">
        <v>861</v>
      </c>
      <c r="H1061" s="7" t="s">
        <v>838</v>
      </c>
      <c r="I1061" t="s">
        <v>835</v>
      </c>
      <c r="J1061">
        <v>22</v>
      </c>
      <c r="K1061">
        <v>1</v>
      </c>
      <c r="L1061" t="s">
        <v>839</v>
      </c>
      <c r="M1061" t="s">
        <v>15</v>
      </c>
      <c r="U1061" s="8">
        <f t="shared" si="105"/>
        <v>1</v>
      </c>
      <c r="AD1061" t="str">
        <f t="shared" si="104"/>
        <v>e</v>
      </c>
      <c r="AE1061" t="str">
        <f t="shared" si="108"/>
        <v>Possession</v>
      </c>
      <c r="AF1061" t="str">
        <f t="shared" si="106"/>
        <v/>
      </c>
      <c r="AG1061" t="str">
        <f t="shared" si="107"/>
        <v/>
      </c>
      <c r="AN1061" t="str">
        <f t="shared" si="109"/>
        <v>Offensive</v>
      </c>
      <c r="BD1061" s="23"/>
      <c r="BF1061" s="21"/>
    </row>
    <row r="1062" spans="1:58" x14ac:dyDescent="0.2">
      <c r="A1062">
        <v>540</v>
      </c>
      <c r="E1062" s="5" t="s">
        <v>861</v>
      </c>
      <c r="F1062" s="5" t="s">
        <v>838</v>
      </c>
      <c r="G1062" s="5" t="s">
        <v>861</v>
      </c>
      <c r="H1062" s="7" t="s">
        <v>874</v>
      </c>
      <c r="I1062" t="s">
        <v>835</v>
      </c>
      <c r="J1062">
        <v>22</v>
      </c>
      <c r="K1062">
        <v>1</v>
      </c>
      <c r="L1062" t="s">
        <v>401</v>
      </c>
      <c r="M1062" t="s">
        <v>257</v>
      </c>
      <c r="N1062" t="s">
        <v>191</v>
      </c>
      <c r="O1062" t="s">
        <v>87</v>
      </c>
      <c r="P1062" t="s">
        <v>689</v>
      </c>
      <c r="Q1062" t="s">
        <v>702</v>
      </c>
      <c r="T1062">
        <v>1</v>
      </c>
      <c r="U1062" s="8">
        <f t="shared" si="105"/>
        <v>1</v>
      </c>
      <c r="AD1062" t="str">
        <f t="shared" si="104"/>
        <v>e</v>
      </c>
      <c r="AE1062" t="str">
        <f t="shared" si="108"/>
        <v>Zone_Entry_Exit</v>
      </c>
      <c r="AF1062" t="str">
        <f t="shared" si="106"/>
        <v>Zone_Entry</v>
      </c>
      <c r="AG1062" t="str">
        <f t="shared" si="107"/>
        <v>ZoneEntry-Rush</v>
      </c>
      <c r="AN1062" t="str">
        <f t="shared" si="109"/>
        <v>Offensive</v>
      </c>
      <c r="BD1062" s="23"/>
      <c r="BF1062" s="21"/>
    </row>
    <row r="1063" spans="1:58" x14ac:dyDescent="0.2">
      <c r="A1063">
        <v>540</v>
      </c>
      <c r="J1063">
        <v>49</v>
      </c>
      <c r="K1063">
        <v>1</v>
      </c>
      <c r="U1063" s="8">
        <f t="shared" si="105"/>
        <v>1</v>
      </c>
      <c r="AD1063" t="str">
        <f t="shared" si="104"/>
        <v>e</v>
      </c>
      <c r="AE1063" t="str">
        <f t="shared" si="108"/>
        <v>Zone_Entry_Exit</v>
      </c>
      <c r="AF1063" t="str">
        <f t="shared" si="106"/>
        <v>Zone_Entry</v>
      </c>
      <c r="AG1063" t="str">
        <f t="shared" si="107"/>
        <v>ZoneEntry-Rush</v>
      </c>
      <c r="AN1063" t="str">
        <f t="shared" si="109"/>
        <v>Offensive</v>
      </c>
      <c r="BD1063" s="23"/>
      <c r="BF1063" s="21"/>
    </row>
    <row r="1064" spans="1:58" x14ac:dyDescent="0.2">
      <c r="A1064">
        <v>540</v>
      </c>
      <c r="J1064">
        <v>94</v>
      </c>
      <c r="T1064">
        <v>1</v>
      </c>
      <c r="U1064" s="8">
        <f t="shared" si="105"/>
        <v>1</v>
      </c>
      <c r="AD1064" t="str">
        <f t="shared" si="104"/>
        <v>o</v>
      </c>
      <c r="AE1064" t="str">
        <f t="shared" si="108"/>
        <v>Zone_Entry_Exit</v>
      </c>
      <c r="AF1064" t="str">
        <f t="shared" si="106"/>
        <v>Zone_Entry</v>
      </c>
      <c r="AG1064" t="str">
        <f t="shared" si="107"/>
        <v>ZoneEntry-Rush</v>
      </c>
      <c r="AN1064" t="str">
        <f t="shared" si="109"/>
        <v>Defensive</v>
      </c>
      <c r="BD1064" s="23"/>
      <c r="BF1064" s="21"/>
    </row>
    <row r="1065" spans="1:58" x14ac:dyDescent="0.2">
      <c r="A1065">
        <v>540</v>
      </c>
      <c r="J1065">
        <v>17</v>
      </c>
      <c r="U1065" s="8">
        <f t="shared" si="105"/>
        <v>1</v>
      </c>
      <c r="AD1065" t="str">
        <f t="shared" si="104"/>
        <v>o</v>
      </c>
      <c r="AE1065" t="str">
        <f t="shared" si="108"/>
        <v>Zone_Entry_Exit</v>
      </c>
      <c r="AF1065" t="str">
        <f t="shared" si="106"/>
        <v>Zone_Entry</v>
      </c>
      <c r="AG1065" t="str">
        <f t="shared" si="107"/>
        <v>ZoneEntry-Rush</v>
      </c>
      <c r="AN1065" t="str">
        <f t="shared" si="109"/>
        <v>Defensive</v>
      </c>
      <c r="BD1065" s="23"/>
      <c r="BF1065" s="21"/>
    </row>
    <row r="1066" spans="1:58" x14ac:dyDescent="0.2">
      <c r="A1066">
        <v>541</v>
      </c>
      <c r="B1066">
        <v>89</v>
      </c>
      <c r="E1066" s="5" t="s">
        <v>861</v>
      </c>
      <c r="F1066" s="5" t="s">
        <v>874</v>
      </c>
      <c r="I1066" t="s">
        <v>835</v>
      </c>
      <c r="J1066">
        <v>22</v>
      </c>
      <c r="K1066">
        <v>1</v>
      </c>
      <c r="L1066" t="s">
        <v>401</v>
      </c>
      <c r="M1066" t="s">
        <v>7</v>
      </c>
      <c r="N1066" t="s">
        <v>222</v>
      </c>
      <c r="O1066" t="s">
        <v>53</v>
      </c>
      <c r="P1066" t="s">
        <v>689</v>
      </c>
      <c r="U1066" s="8">
        <f t="shared" si="105"/>
        <v>1</v>
      </c>
      <c r="AD1066" t="str">
        <f t="shared" si="104"/>
        <v>e</v>
      </c>
      <c r="AE1066" t="str">
        <f t="shared" si="108"/>
        <v>Shot</v>
      </c>
      <c r="AF1066" t="str">
        <f t="shared" si="106"/>
        <v>Shot_OnNetSaved</v>
      </c>
      <c r="AG1066" t="str">
        <f t="shared" si="107"/>
        <v>Shot-Wrist</v>
      </c>
      <c r="AN1066" t="str">
        <f t="shared" si="109"/>
        <v>Offensive</v>
      </c>
      <c r="BD1066" s="23"/>
      <c r="BF1066" s="21"/>
    </row>
    <row r="1067" spans="1:58" x14ac:dyDescent="0.2">
      <c r="A1067">
        <v>541</v>
      </c>
      <c r="B1067">
        <v>89</v>
      </c>
      <c r="J1067">
        <v>38</v>
      </c>
      <c r="U1067" s="8">
        <f t="shared" si="105"/>
        <v>1</v>
      </c>
      <c r="AD1067" t="str">
        <f t="shared" si="104"/>
        <v>o</v>
      </c>
      <c r="AE1067" t="str">
        <f t="shared" si="108"/>
        <v>Shot</v>
      </c>
      <c r="AF1067" t="str">
        <f t="shared" si="106"/>
        <v>Shot_OnNetSaved</v>
      </c>
      <c r="AG1067" t="str">
        <f t="shared" si="107"/>
        <v>Shot-Wrist</v>
      </c>
      <c r="AN1067" t="str">
        <f t="shared" si="109"/>
        <v>Defensive</v>
      </c>
      <c r="BD1067" s="23"/>
      <c r="BF1067" s="21"/>
    </row>
    <row r="1068" spans="1:58" x14ac:dyDescent="0.2">
      <c r="A1068">
        <v>541</v>
      </c>
      <c r="B1068">
        <v>89</v>
      </c>
      <c r="J1068">
        <v>94</v>
      </c>
      <c r="Q1068" t="s">
        <v>696</v>
      </c>
      <c r="U1068" s="8">
        <f t="shared" si="105"/>
        <v>1</v>
      </c>
      <c r="AD1068" t="str">
        <f t="shared" si="104"/>
        <v>o</v>
      </c>
      <c r="AE1068" t="str">
        <f t="shared" si="108"/>
        <v>Shot</v>
      </c>
      <c r="AF1068" t="str">
        <f t="shared" si="106"/>
        <v>Shot_OnNetSaved</v>
      </c>
      <c r="AG1068" t="str">
        <f t="shared" si="107"/>
        <v>Shot-Wrist</v>
      </c>
      <c r="AN1068" t="str">
        <f t="shared" si="109"/>
        <v>Defensive</v>
      </c>
      <c r="BD1068" s="23"/>
      <c r="BF1068" s="21"/>
    </row>
    <row r="1069" spans="1:58" x14ac:dyDescent="0.2">
      <c r="A1069">
        <v>542</v>
      </c>
      <c r="B1069">
        <v>89</v>
      </c>
      <c r="E1069" s="5" t="s">
        <v>861</v>
      </c>
      <c r="F1069" s="5" t="s">
        <v>874</v>
      </c>
      <c r="I1069" t="s">
        <v>840</v>
      </c>
      <c r="J1069">
        <v>38</v>
      </c>
      <c r="K1069">
        <v>1</v>
      </c>
      <c r="L1069" t="s">
        <v>845</v>
      </c>
      <c r="M1069" t="s">
        <v>17</v>
      </c>
      <c r="N1069" t="s">
        <v>196</v>
      </c>
      <c r="O1069" t="s">
        <v>103</v>
      </c>
      <c r="U1069" s="8">
        <f t="shared" si="105"/>
        <v>1</v>
      </c>
      <c r="AD1069" t="str">
        <f t="shared" si="104"/>
        <v>e</v>
      </c>
      <c r="AE1069" t="str">
        <f t="shared" si="108"/>
        <v>Save</v>
      </c>
      <c r="AF1069" t="str">
        <f t="shared" si="106"/>
        <v>Save_Rebound</v>
      </c>
      <c r="AG1069" t="str">
        <f t="shared" si="107"/>
        <v>Save-Chest</v>
      </c>
      <c r="AN1069" t="str">
        <f t="shared" si="109"/>
        <v>Defensive</v>
      </c>
      <c r="BD1069" s="23"/>
      <c r="BF1069" s="21"/>
    </row>
    <row r="1070" spans="1:58" x14ac:dyDescent="0.2">
      <c r="A1070">
        <v>542</v>
      </c>
      <c r="B1070">
        <v>89</v>
      </c>
      <c r="J1070">
        <v>94</v>
      </c>
      <c r="K1070">
        <v>1</v>
      </c>
      <c r="Q1070" t="s">
        <v>696</v>
      </c>
      <c r="U1070" s="8">
        <f t="shared" si="105"/>
        <v>1</v>
      </c>
      <c r="AD1070" t="str">
        <f t="shared" si="104"/>
        <v>e</v>
      </c>
      <c r="AE1070" t="str">
        <f t="shared" si="108"/>
        <v>Save</v>
      </c>
      <c r="AF1070" t="str">
        <f t="shared" si="106"/>
        <v>Save_Rebound</v>
      </c>
      <c r="AG1070" t="str">
        <f t="shared" si="107"/>
        <v>Save-Chest</v>
      </c>
      <c r="AN1070" t="str">
        <f t="shared" si="109"/>
        <v>Defensive</v>
      </c>
      <c r="BD1070" s="23"/>
      <c r="BF1070" s="21"/>
    </row>
    <row r="1071" spans="1:58" x14ac:dyDescent="0.2">
      <c r="A1071">
        <v>542</v>
      </c>
      <c r="B1071">
        <v>89</v>
      </c>
      <c r="J1071">
        <v>22</v>
      </c>
      <c r="U1071" s="8">
        <f t="shared" si="105"/>
        <v>1</v>
      </c>
      <c r="AD1071" t="str">
        <f t="shared" si="104"/>
        <v>o</v>
      </c>
      <c r="AE1071" t="str">
        <f t="shared" si="108"/>
        <v>Save</v>
      </c>
      <c r="AF1071" t="str">
        <f t="shared" si="106"/>
        <v>Save_Rebound</v>
      </c>
      <c r="AG1071" t="str">
        <f t="shared" si="107"/>
        <v>Save-Chest</v>
      </c>
      <c r="AN1071" t="str">
        <f t="shared" si="109"/>
        <v>Offensive</v>
      </c>
      <c r="BD1071" s="23"/>
      <c r="BF1071" s="21"/>
    </row>
    <row r="1072" spans="1:58" x14ac:dyDescent="0.2">
      <c r="A1072">
        <v>543</v>
      </c>
      <c r="B1072">
        <v>89</v>
      </c>
      <c r="E1072" s="5" t="s">
        <v>861</v>
      </c>
      <c r="F1072" s="5" t="s">
        <v>874</v>
      </c>
      <c r="I1072" t="s">
        <v>840</v>
      </c>
      <c r="J1072" s="20">
        <v>38</v>
      </c>
      <c r="K1072">
        <v>1</v>
      </c>
      <c r="L1072" t="s">
        <v>845</v>
      </c>
      <c r="M1072" t="s">
        <v>250</v>
      </c>
      <c r="N1072" t="s">
        <v>251</v>
      </c>
      <c r="U1072" s="8">
        <f t="shared" si="105"/>
        <v>1</v>
      </c>
      <c r="AD1072" t="str">
        <f t="shared" si="104"/>
        <v>e</v>
      </c>
      <c r="AE1072" t="str">
        <f t="shared" si="108"/>
        <v>Rebound</v>
      </c>
      <c r="AF1072" t="str">
        <f t="shared" si="106"/>
        <v>Rebound_TeamRecovered</v>
      </c>
      <c r="AG1072" t="str">
        <f t="shared" si="107"/>
        <v/>
      </c>
      <c r="AN1072" t="str">
        <f t="shared" si="109"/>
        <v>Offensive</v>
      </c>
      <c r="BD1072" s="23"/>
      <c r="BF1072" s="21"/>
    </row>
    <row r="1073" spans="1:58" x14ac:dyDescent="0.2">
      <c r="A1073">
        <v>544</v>
      </c>
      <c r="E1073" s="5" t="s">
        <v>861</v>
      </c>
      <c r="F1073" s="5" t="s">
        <v>841</v>
      </c>
      <c r="G1073" s="5" t="s">
        <v>861</v>
      </c>
      <c r="H1073" s="7" t="s">
        <v>875</v>
      </c>
      <c r="I1073" t="s">
        <v>840</v>
      </c>
      <c r="J1073">
        <v>94</v>
      </c>
      <c r="K1073">
        <v>1</v>
      </c>
      <c r="L1073" t="s">
        <v>845</v>
      </c>
      <c r="M1073" t="s">
        <v>15</v>
      </c>
      <c r="N1073" t="s">
        <v>680</v>
      </c>
      <c r="P1073" t="s">
        <v>688</v>
      </c>
      <c r="Q1073" t="s">
        <v>789</v>
      </c>
      <c r="S1073" t="s">
        <v>688</v>
      </c>
      <c r="U1073" s="8">
        <f t="shared" si="105"/>
        <v>1</v>
      </c>
      <c r="AD1073" t="str">
        <f t="shared" si="104"/>
        <v>e</v>
      </c>
      <c r="AE1073" t="str">
        <f t="shared" si="108"/>
        <v>Possession</v>
      </c>
      <c r="AF1073" t="str">
        <f t="shared" si="106"/>
        <v>PuckRetrieval</v>
      </c>
      <c r="AG1073" t="str">
        <f t="shared" si="107"/>
        <v/>
      </c>
      <c r="AN1073" t="str">
        <f t="shared" si="109"/>
        <v>Offensive</v>
      </c>
      <c r="BD1073" s="23"/>
      <c r="BF1073" s="21"/>
    </row>
    <row r="1074" spans="1:58" x14ac:dyDescent="0.2">
      <c r="A1074">
        <v>545</v>
      </c>
      <c r="E1074" s="5" t="s">
        <v>861</v>
      </c>
      <c r="F1074" s="5" t="s">
        <v>875</v>
      </c>
      <c r="I1074" t="s">
        <v>840</v>
      </c>
      <c r="J1074">
        <v>94</v>
      </c>
      <c r="K1074">
        <v>1</v>
      </c>
      <c r="L1074" t="s">
        <v>845</v>
      </c>
      <c r="M1074" t="s">
        <v>10</v>
      </c>
      <c r="N1074" t="s">
        <v>190</v>
      </c>
      <c r="O1074" t="s">
        <v>73</v>
      </c>
      <c r="U1074" s="8">
        <f t="shared" si="105"/>
        <v>1</v>
      </c>
      <c r="AD1074" t="str">
        <f t="shared" si="104"/>
        <v>e</v>
      </c>
      <c r="AE1074" t="str">
        <f t="shared" si="108"/>
        <v>Turnover</v>
      </c>
      <c r="AF1074" t="str">
        <f t="shared" si="106"/>
        <v>Turnover_Giveaway</v>
      </c>
      <c r="AG1074" t="str">
        <f t="shared" si="107"/>
        <v>Giveaway-Misplayed</v>
      </c>
      <c r="AN1074" t="str">
        <f t="shared" si="109"/>
        <v>Offensive</v>
      </c>
      <c r="BD1074" s="23"/>
      <c r="BF1074" s="21"/>
    </row>
    <row r="1075" spans="1:58" x14ac:dyDescent="0.2">
      <c r="A1075">
        <v>546</v>
      </c>
      <c r="E1075" s="5" t="s">
        <v>861</v>
      </c>
      <c r="F1075" s="5" t="s">
        <v>842</v>
      </c>
      <c r="I1075" t="s">
        <v>835</v>
      </c>
      <c r="J1075">
        <v>49</v>
      </c>
      <c r="K1075">
        <v>1</v>
      </c>
      <c r="L1075" t="s">
        <v>401</v>
      </c>
      <c r="M1075" t="s">
        <v>15</v>
      </c>
      <c r="N1075" t="s">
        <v>680</v>
      </c>
      <c r="P1075" t="s">
        <v>689</v>
      </c>
      <c r="Q1075" t="s">
        <v>694</v>
      </c>
      <c r="S1075" t="s">
        <v>689</v>
      </c>
      <c r="U1075" s="8">
        <f t="shared" si="105"/>
        <v>1</v>
      </c>
      <c r="AD1075" t="str">
        <f t="shared" si="104"/>
        <v>e</v>
      </c>
      <c r="AE1075" t="str">
        <f t="shared" si="108"/>
        <v>Possession</v>
      </c>
      <c r="AF1075" t="str">
        <f t="shared" si="106"/>
        <v>PuckRetrieval</v>
      </c>
      <c r="AG1075" t="str">
        <f t="shared" si="107"/>
        <v/>
      </c>
      <c r="AN1075" t="str">
        <f t="shared" si="109"/>
        <v>Offensive</v>
      </c>
      <c r="BD1075" s="23"/>
      <c r="BF1075" s="21"/>
    </row>
    <row r="1076" spans="1:58" x14ac:dyDescent="0.2">
      <c r="A1076">
        <v>547</v>
      </c>
      <c r="E1076" s="5" t="s">
        <v>861</v>
      </c>
      <c r="F1076" s="5" t="s">
        <v>886</v>
      </c>
      <c r="I1076" t="s">
        <v>835</v>
      </c>
      <c r="J1076">
        <v>49</v>
      </c>
      <c r="K1076">
        <v>1</v>
      </c>
      <c r="L1076" t="s">
        <v>401</v>
      </c>
      <c r="M1076" t="s">
        <v>8</v>
      </c>
      <c r="N1076" t="s">
        <v>189</v>
      </c>
      <c r="O1076" t="s">
        <v>68</v>
      </c>
      <c r="P1076" t="s">
        <v>689</v>
      </c>
      <c r="Q1076" t="s">
        <v>749</v>
      </c>
      <c r="S1076" t="s">
        <v>689</v>
      </c>
      <c r="U1076" s="8">
        <f t="shared" si="105"/>
        <v>1</v>
      </c>
      <c r="AD1076" t="str">
        <f t="shared" si="104"/>
        <v>e</v>
      </c>
      <c r="AE1076" t="str">
        <f t="shared" si="108"/>
        <v>Pass</v>
      </c>
      <c r="AF1076" t="str">
        <f t="shared" si="106"/>
        <v>Pass_Completed</v>
      </c>
      <c r="AG1076" t="str">
        <f t="shared" si="107"/>
        <v>Pass-Rim/Wrap</v>
      </c>
      <c r="AN1076" t="str">
        <f t="shared" si="109"/>
        <v>Offensive</v>
      </c>
      <c r="BD1076" s="23"/>
      <c r="BF1076" s="21"/>
    </row>
    <row r="1077" spans="1:58" x14ac:dyDescent="0.2">
      <c r="A1077">
        <v>547</v>
      </c>
      <c r="J1077">
        <v>22</v>
      </c>
      <c r="K1077">
        <v>1</v>
      </c>
      <c r="L1077" t="s">
        <v>401</v>
      </c>
      <c r="U1077" s="8">
        <f t="shared" si="105"/>
        <v>1</v>
      </c>
      <c r="AD1077" t="str">
        <f t="shared" si="104"/>
        <v>e</v>
      </c>
      <c r="AE1077" t="str">
        <f t="shared" si="108"/>
        <v>Pass</v>
      </c>
      <c r="AF1077" t="str">
        <f t="shared" si="106"/>
        <v>Pass_Completed</v>
      </c>
      <c r="AG1077" t="str">
        <f t="shared" si="107"/>
        <v>Pass-Rim/Wrap</v>
      </c>
      <c r="AN1077" t="str">
        <f t="shared" si="109"/>
        <v>Offensive</v>
      </c>
      <c r="BD1077" s="23"/>
      <c r="BF1077" s="21"/>
    </row>
    <row r="1078" spans="1:58" x14ac:dyDescent="0.2">
      <c r="A1078">
        <v>548</v>
      </c>
      <c r="E1078" s="5" t="s">
        <v>861</v>
      </c>
      <c r="F1078" s="5" t="s">
        <v>876</v>
      </c>
      <c r="I1078" t="s">
        <v>835</v>
      </c>
      <c r="J1078">
        <v>22</v>
      </c>
      <c r="K1078">
        <v>1</v>
      </c>
      <c r="L1078" t="s">
        <v>401</v>
      </c>
      <c r="M1078" t="s">
        <v>8</v>
      </c>
      <c r="N1078" t="s">
        <v>189</v>
      </c>
      <c r="O1078" t="s">
        <v>70</v>
      </c>
      <c r="P1078" t="s">
        <v>689</v>
      </c>
      <c r="Q1078" t="s">
        <v>749</v>
      </c>
      <c r="S1078" t="s">
        <v>689</v>
      </c>
      <c r="T1078">
        <v>1</v>
      </c>
      <c r="U1078" s="8">
        <f t="shared" si="105"/>
        <v>1</v>
      </c>
      <c r="AD1078" t="str">
        <f t="shared" si="104"/>
        <v>e</v>
      </c>
      <c r="AE1078" t="str">
        <f t="shared" si="108"/>
        <v>Pass</v>
      </c>
      <c r="AF1078" t="str">
        <f t="shared" si="106"/>
        <v>Pass_Completed</v>
      </c>
      <c r="AG1078" t="str">
        <f t="shared" si="107"/>
        <v>Pass-Forehand</v>
      </c>
      <c r="AN1078" t="str">
        <f t="shared" si="109"/>
        <v>Offensive</v>
      </c>
      <c r="BD1078" s="23"/>
      <c r="BF1078" s="21"/>
    </row>
    <row r="1079" spans="1:58" x14ac:dyDescent="0.2">
      <c r="A1079">
        <v>548</v>
      </c>
      <c r="J1079">
        <v>61</v>
      </c>
      <c r="K1079">
        <v>1</v>
      </c>
      <c r="T1079">
        <v>2</v>
      </c>
      <c r="U1079" s="8">
        <f t="shared" si="105"/>
        <v>1</v>
      </c>
      <c r="AD1079" t="str">
        <f t="shared" si="104"/>
        <v>e</v>
      </c>
      <c r="AE1079" t="str">
        <f t="shared" si="108"/>
        <v>Pass</v>
      </c>
      <c r="AF1079" t="str">
        <f t="shared" si="106"/>
        <v>Pass_Completed</v>
      </c>
      <c r="AG1079" t="str">
        <f t="shared" si="107"/>
        <v>Pass-Forehand</v>
      </c>
      <c r="AN1079" t="str">
        <f t="shared" si="109"/>
        <v>Offensive</v>
      </c>
      <c r="BD1079" s="23"/>
      <c r="BF1079" s="21"/>
    </row>
    <row r="1080" spans="1:58" x14ac:dyDescent="0.2">
      <c r="A1080">
        <v>548</v>
      </c>
      <c r="J1080">
        <v>8</v>
      </c>
      <c r="T1080">
        <v>1</v>
      </c>
      <c r="U1080" s="8">
        <f t="shared" si="105"/>
        <v>1</v>
      </c>
      <c r="AD1080" t="str">
        <f t="shared" si="104"/>
        <v>o</v>
      </c>
      <c r="AE1080" t="str">
        <f t="shared" si="108"/>
        <v>Pass</v>
      </c>
      <c r="AF1080" t="str">
        <f t="shared" si="106"/>
        <v>Pass_Completed</v>
      </c>
      <c r="AG1080" t="str">
        <f t="shared" si="107"/>
        <v>Pass-Forehand</v>
      </c>
      <c r="AN1080" t="str">
        <f t="shared" si="109"/>
        <v>Defensive</v>
      </c>
      <c r="BD1080" s="23"/>
      <c r="BF1080" s="21"/>
    </row>
    <row r="1081" spans="1:58" x14ac:dyDescent="0.2">
      <c r="A1081">
        <v>548</v>
      </c>
      <c r="J1081">
        <v>94</v>
      </c>
      <c r="T1081">
        <v>2</v>
      </c>
      <c r="U1081" s="8">
        <f t="shared" si="105"/>
        <v>1</v>
      </c>
      <c r="AD1081" t="str">
        <f t="shared" si="104"/>
        <v>o</v>
      </c>
      <c r="AE1081" t="str">
        <f t="shared" si="108"/>
        <v>Pass</v>
      </c>
      <c r="AF1081" t="str">
        <f t="shared" si="106"/>
        <v>Pass_Completed</v>
      </c>
      <c r="AG1081" t="str">
        <f t="shared" si="107"/>
        <v>Pass-Forehand</v>
      </c>
      <c r="AN1081" t="str">
        <f t="shared" si="109"/>
        <v>Defensive</v>
      </c>
      <c r="BD1081" s="23"/>
      <c r="BF1081" s="21"/>
    </row>
    <row r="1082" spans="1:58" x14ac:dyDescent="0.2">
      <c r="A1082">
        <v>549</v>
      </c>
      <c r="E1082" s="5" t="s">
        <v>861</v>
      </c>
      <c r="F1082" s="5" t="s">
        <v>846</v>
      </c>
      <c r="I1082" t="s">
        <v>835</v>
      </c>
      <c r="J1082">
        <v>61</v>
      </c>
      <c r="K1082">
        <v>1</v>
      </c>
      <c r="L1082" t="s">
        <v>401</v>
      </c>
      <c r="M1082" t="s">
        <v>7</v>
      </c>
      <c r="N1082" t="s">
        <v>208</v>
      </c>
      <c r="O1082" t="s">
        <v>53</v>
      </c>
      <c r="P1082" t="s">
        <v>688</v>
      </c>
      <c r="U1082" s="8">
        <f t="shared" si="105"/>
        <v>1</v>
      </c>
      <c r="AD1082" t="str">
        <f t="shared" si="104"/>
        <v>e</v>
      </c>
      <c r="AE1082" t="str">
        <f t="shared" si="108"/>
        <v>Shot</v>
      </c>
      <c r="AF1082" t="str">
        <f t="shared" si="106"/>
        <v>Shot_Blocked</v>
      </c>
      <c r="AG1082" t="str">
        <f t="shared" si="107"/>
        <v>Shot-Wrist</v>
      </c>
      <c r="AN1082" t="str">
        <f t="shared" si="109"/>
        <v>Offensive</v>
      </c>
      <c r="BD1082" s="23"/>
      <c r="BF1082" s="21"/>
    </row>
    <row r="1083" spans="1:58" x14ac:dyDescent="0.2">
      <c r="A1083">
        <v>549</v>
      </c>
      <c r="J1083">
        <v>94</v>
      </c>
      <c r="Q1083" t="s">
        <v>665</v>
      </c>
      <c r="R1083" t="s">
        <v>696</v>
      </c>
      <c r="S1083" t="s">
        <v>689</v>
      </c>
      <c r="U1083" s="8">
        <f t="shared" si="105"/>
        <v>1</v>
      </c>
      <c r="AD1083" t="str">
        <f t="shared" si="104"/>
        <v>o</v>
      </c>
      <c r="AE1083" t="str">
        <f t="shared" si="108"/>
        <v>Shot</v>
      </c>
      <c r="AF1083" t="str">
        <f t="shared" si="106"/>
        <v>Shot_Blocked</v>
      </c>
      <c r="AG1083" t="str">
        <f t="shared" si="107"/>
        <v>Shot-Wrist</v>
      </c>
      <c r="AN1083" t="str">
        <f t="shared" si="109"/>
        <v>Defensive</v>
      </c>
      <c r="BD1083" s="23"/>
      <c r="BF1083" s="21"/>
    </row>
    <row r="1084" spans="1:58" x14ac:dyDescent="0.2">
      <c r="A1084">
        <v>550</v>
      </c>
      <c r="E1084" s="5" t="s">
        <v>861</v>
      </c>
      <c r="F1084" s="5" t="s">
        <v>847</v>
      </c>
      <c r="G1084" s="5" t="s">
        <v>861</v>
      </c>
      <c r="H1084" s="7" t="s">
        <v>877</v>
      </c>
      <c r="I1084" t="s">
        <v>835</v>
      </c>
      <c r="J1084">
        <v>22</v>
      </c>
      <c r="K1084">
        <v>1</v>
      </c>
      <c r="L1084" t="s">
        <v>401</v>
      </c>
      <c r="M1084" t="s">
        <v>15</v>
      </c>
      <c r="N1084" t="s">
        <v>681</v>
      </c>
      <c r="P1084" t="s">
        <v>689</v>
      </c>
      <c r="Q1084" t="s">
        <v>705</v>
      </c>
      <c r="S1084" t="s">
        <v>689</v>
      </c>
      <c r="U1084" s="8">
        <f t="shared" si="105"/>
        <v>1</v>
      </c>
      <c r="AD1084" t="str">
        <f t="shared" si="104"/>
        <v>e</v>
      </c>
      <c r="AE1084" t="str">
        <f t="shared" si="108"/>
        <v>Possession</v>
      </c>
      <c r="AF1084" t="str">
        <f t="shared" si="106"/>
        <v>PuckRecovery</v>
      </c>
      <c r="AG1084" t="str">
        <f t="shared" si="107"/>
        <v/>
      </c>
      <c r="AN1084" t="str">
        <f t="shared" si="109"/>
        <v>Offensive</v>
      </c>
      <c r="BD1084" s="23"/>
      <c r="BF1084" s="21"/>
    </row>
    <row r="1085" spans="1:58" x14ac:dyDescent="0.2">
      <c r="A1085">
        <v>551</v>
      </c>
      <c r="B1085">
        <v>90</v>
      </c>
      <c r="E1085" s="5" t="s">
        <v>861</v>
      </c>
      <c r="F1085" s="5" t="s">
        <v>888</v>
      </c>
      <c r="I1085" t="s">
        <v>835</v>
      </c>
      <c r="J1085">
        <v>22</v>
      </c>
      <c r="K1085">
        <v>1</v>
      </c>
      <c r="L1085" t="s">
        <v>401</v>
      </c>
      <c r="M1085" t="s">
        <v>8</v>
      </c>
      <c r="N1085" t="s">
        <v>189</v>
      </c>
      <c r="O1085" t="s">
        <v>70</v>
      </c>
      <c r="P1085" t="s">
        <v>689</v>
      </c>
      <c r="Q1085" t="s">
        <v>749</v>
      </c>
      <c r="S1085" t="s">
        <v>689</v>
      </c>
      <c r="T1085">
        <v>1</v>
      </c>
      <c r="U1085" s="8">
        <f t="shared" si="105"/>
        <v>1</v>
      </c>
      <c r="AD1085" t="str">
        <f t="shared" si="104"/>
        <v>e</v>
      </c>
      <c r="AE1085" t="str">
        <f t="shared" si="108"/>
        <v>Pass</v>
      </c>
      <c r="AF1085" t="str">
        <f t="shared" si="106"/>
        <v>Pass_Completed</v>
      </c>
      <c r="AG1085" t="str">
        <f t="shared" si="107"/>
        <v>Pass-Forehand</v>
      </c>
      <c r="AN1085" t="str">
        <f t="shared" si="109"/>
        <v>Offensive</v>
      </c>
      <c r="BD1085" s="23"/>
      <c r="BF1085" s="21"/>
    </row>
    <row r="1086" spans="1:58" x14ac:dyDescent="0.2">
      <c r="A1086">
        <v>551</v>
      </c>
      <c r="B1086">
        <v>90</v>
      </c>
      <c r="J1086">
        <v>61</v>
      </c>
      <c r="K1086">
        <v>1</v>
      </c>
      <c r="U1086" s="8">
        <f t="shared" si="105"/>
        <v>1</v>
      </c>
      <c r="AD1086" t="str">
        <f t="shared" si="104"/>
        <v>e</v>
      </c>
      <c r="AE1086" t="str">
        <f t="shared" si="108"/>
        <v>Pass</v>
      </c>
      <c r="AF1086" t="str">
        <f t="shared" si="106"/>
        <v>Pass_Completed</v>
      </c>
      <c r="AG1086" t="str">
        <f t="shared" si="107"/>
        <v>Pass-Forehand</v>
      </c>
      <c r="AN1086" t="str">
        <f t="shared" si="109"/>
        <v>Offensive</v>
      </c>
      <c r="BD1086" s="23"/>
      <c r="BF1086" s="21"/>
    </row>
    <row r="1087" spans="1:58" x14ac:dyDescent="0.2">
      <c r="A1087">
        <v>551</v>
      </c>
      <c r="B1087">
        <v>90</v>
      </c>
      <c r="J1087">
        <v>94</v>
      </c>
      <c r="Q1087" t="s">
        <v>696</v>
      </c>
      <c r="T1087">
        <v>1</v>
      </c>
      <c r="U1087" s="8">
        <f t="shared" si="105"/>
        <v>1</v>
      </c>
      <c r="AD1087" t="str">
        <f t="shared" si="104"/>
        <v>o</v>
      </c>
      <c r="AE1087" t="str">
        <f t="shared" si="108"/>
        <v>Pass</v>
      </c>
      <c r="AF1087" t="str">
        <f t="shared" si="106"/>
        <v>Pass_Completed</v>
      </c>
      <c r="AG1087" t="str">
        <f t="shared" si="107"/>
        <v>Pass-Forehand</v>
      </c>
      <c r="AN1087" t="str">
        <f t="shared" si="109"/>
        <v>Defensive</v>
      </c>
      <c r="BD1087" s="23"/>
      <c r="BF1087" s="21"/>
    </row>
    <row r="1088" spans="1:58" x14ac:dyDescent="0.2">
      <c r="A1088">
        <v>552</v>
      </c>
      <c r="B1088">
        <v>90</v>
      </c>
      <c r="E1088" s="5" t="s">
        <v>861</v>
      </c>
      <c r="F1088" s="5" t="s">
        <v>889</v>
      </c>
      <c r="I1088" t="s">
        <v>840</v>
      </c>
      <c r="J1088">
        <v>61</v>
      </c>
      <c r="K1088">
        <v>1</v>
      </c>
      <c r="L1088" t="s">
        <v>845</v>
      </c>
      <c r="M1088" t="s">
        <v>7</v>
      </c>
      <c r="N1088" t="s">
        <v>222</v>
      </c>
      <c r="O1088" t="s">
        <v>55</v>
      </c>
      <c r="P1088" t="s">
        <v>689</v>
      </c>
      <c r="U1088" s="8">
        <f t="shared" si="105"/>
        <v>1</v>
      </c>
      <c r="AD1088" t="str">
        <f t="shared" si="104"/>
        <v>e</v>
      </c>
      <c r="AE1088" t="str">
        <f t="shared" si="108"/>
        <v>Shot</v>
      </c>
      <c r="AF1088" t="str">
        <f t="shared" si="106"/>
        <v>Shot_OnNetSaved</v>
      </c>
      <c r="AG1088" t="str">
        <f t="shared" si="107"/>
        <v>Shot-Backhand</v>
      </c>
      <c r="AN1088" t="str">
        <f t="shared" si="109"/>
        <v>Offensive</v>
      </c>
      <c r="BD1088" s="23"/>
      <c r="BF1088" s="21"/>
    </row>
    <row r="1089" spans="1:58" x14ac:dyDescent="0.2">
      <c r="A1089">
        <v>552</v>
      </c>
      <c r="B1089">
        <v>90</v>
      </c>
      <c r="J1089">
        <v>38</v>
      </c>
      <c r="U1089" s="8">
        <f t="shared" si="105"/>
        <v>1</v>
      </c>
      <c r="AD1089" t="str">
        <f t="shared" si="104"/>
        <v>o</v>
      </c>
      <c r="AE1089" t="str">
        <f t="shared" si="108"/>
        <v>Shot</v>
      </c>
      <c r="AF1089" t="str">
        <f t="shared" si="106"/>
        <v>Shot_OnNetSaved</v>
      </c>
      <c r="AG1089" t="str">
        <f t="shared" si="107"/>
        <v>Shot-Backhand</v>
      </c>
      <c r="AN1089" t="str">
        <f t="shared" si="109"/>
        <v>Defensive</v>
      </c>
      <c r="BD1089" s="23"/>
      <c r="BF1089" s="21"/>
    </row>
    <row r="1090" spans="1:58" x14ac:dyDescent="0.2">
      <c r="A1090">
        <v>553</v>
      </c>
      <c r="B1090">
        <v>90</v>
      </c>
      <c r="E1090" s="5" t="s">
        <v>861</v>
      </c>
      <c r="F1090" s="5" t="s">
        <v>889</v>
      </c>
      <c r="I1090" t="s">
        <v>840</v>
      </c>
      <c r="J1090">
        <v>38</v>
      </c>
      <c r="K1090">
        <v>1</v>
      </c>
      <c r="L1090" t="s">
        <v>845</v>
      </c>
      <c r="M1090" t="s">
        <v>17</v>
      </c>
      <c r="N1090" t="s">
        <v>196</v>
      </c>
      <c r="O1090" t="s">
        <v>100</v>
      </c>
      <c r="U1090" s="8">
        <f t="shared" si="105"/>
        <v>1</v>
      </c>
      <c r="AD1090" t="str">
        <f t="shared" ref="AD1090:AD1153" si="110">IF(K1090="x","",IF(K1090=1,"e","o"))</f>
        <v>e</v>
      </c>
      <c r="AE1090" t="str">
        <f t="shared" si="108"/>
        <v>Save</v>
      </c>
      <c r="AF1090" t="str">
        <f t="shared" si="106"/>
        <v>Save_Rebound</v>
      </c>
      <c r="AG1090" t="str">
        <f t="shared" si="107"/>
        <v>Save-Stick</v>
      </c>
      <c r="AN1090" t="str">
        <f t="shared" si="109"/>
        <v>Defensive</v>
      </c>
      <c r="BD1090" s="23"/>
      <c r="BF1090" s="21"/>
    </row>
    <row r="1091" spans="1:58" x14ac:dyDescent="0.2">
      <c r="A1091">
        <v>553</v>
      </c>
      <c r="B1091">
        <v>90</v>
      </c>
      <c r="J1091">
        <v>61</v>
      </c>
      <c r="U1091" s="8">
        <f t="shared" ref="U1091:U1154" si="111">IF(M1091="Intermission",U1090+1,U1090)</f>
        <v>1</v>
      </c>
      <c r="AD1091" t="str">
        <f t="shared" si="110"/>
        <v>o</v>
      </c>
      <c r="AE1091" t="str">
        <f t="shared" si="108"/>
        <v>Save</v>
      </c>
      <c r="AF1091" t="str">
        <f t="shared" ref="AF1091:AF1154" si="112">IF(N1091&lt;&gt;"",N1091,IF($A1091=$A1090,AF1090,""))</f>
        <v>Save_Rebound</v>
      </c>
      <c r="AG1091" t="str">
        <f t="shared" ref="AG1091:AG1154" si="113">IF(O1091&lt;&gt;"",O1091,IF($A1091=$A1090,AG1090,""))</f>
        <v>Save-Stick</v>
      </c>
      <c r="AN1091" t="str">
        <f t="shared" si="109"/>
        <v>Offensive</v>
      </c>
      <c r="BD1091" s="23"/>
      <c r="BF1091" s="21"/>
    </row>
    <row r="1092" spans="1:58" x14ac:dyDescent="0.2">
      <c r="A1092">
        <v>554</v>
      </c>
      <c r="B1092">
        <v>90</v>
      </c>
      <c r="E1092" s="5" t="s">
        <v>861</v>
      </c>
      <c r="F1092" s="5" t="s">
        <v>889</v>
      </c>
      <c r="I1092" t="s">
        <v>840</v>
      </c>
      <c r="J1092">
        <v>38</v>
      </c>
      <c r="K1092">
        <v>1</v>
      </c>
      <c r="L1092" t="s">
        <v>845</v>
      </c>
      <c r="M1092" t="s">
        <v>250</v>
      </c>
      <c r="N1092" t="s">
        <v>251</v>
      </c>
      <c r="U1092" s="8">
        <f t="shared" si="111"/>
        <v>1</v>
      </c>
      <c r="AD1092" t="str">
        <f t="shared" si="110"/>
        <v>e</v>
      </c>
      <c r="AE1092" t="str">
        <f t="shared" ref="AE1092:AE1155" si="114">IF(M1092&lt;&gt;"",M1092,IF($A1092=$A1091,AE1091,""))</f>
        <v>Rebound</v>
      </c>
      <c r="AF1092" t="str">
        <f t="shared" si="112"/>
        <v>Rebound_TeamRecovered</v>
      </c>
      <c r="AG1092" t="str">
        <f t="shared" si="113"/>
        <v/>
      </c>
      <c r="AN1092" t="str">
        <f t="shared" si="109"/>
        <v>Offensive</v>
      </c>
      <c r="BD1092" s="23"/>
      <c r="BF1092" s="21"/>
    </row>
    <row r="1093" spans="1:58" x14ac:dyDescent="0.2">
      <c r="A1093">
        <v>555</v>
      </c>
      <c r="E1093" s="5" t="s">
        <v>861</v>
      </c>
      <c r="F1093" s="5" t="s">
        <v>848</v>
      </c>
      <c r="I1093" t="s">
        <v>840</v>
      </c>
      <c r="J1093">
        <v>17</v>
      </c>
      <c r="K1093">
        <v>1</v>
      </c>
      <c r="L1093" t="s">
        <v>845</v>
      </c>
      <c r="M1093" t="s">
        <v>15</v>
      </c>
      <c r="N1093" t="s">
        <v>680</v>
      </c>
      <c r="P1093" t="s">
        <v>688</v>
      </c>
      <c r="Q1093" t="s">
        <v>789</v>
      </c>
      <c r="S1093" t="s">
        <v>688</v>
      </c>
      <c r="U1093" s="8">
        <f t="shared" si="111"/>
        <v>1</v>
      </c>
      <c r="AD1093" t="str">
        <f t="shared" si="110"/>
        <v>e</v>
      </c>
      <c r="AE1093" t="str">
        <f t="shared" si="114"/>
        <v>Possession</v>
      </c>
      <c r="AF1093" t="str">
        <f t="shared" si="112"/>
        <v>PuckRetrieval</v>
      </c>
      <c r="AG1093" t="str">
        <f t="shared" si="113"/>
        <v/>
      </c>
      <c r="AN1093" t="str">
        <f t="shared" si="109"/>
        <v>Offensive</v>
      </c>
      <c r="BD1093" s="23"/>
      <c r="BF1093" s="21"/>
    </row>
    <row r="1094" spans="1:58" x14ac:dyDescent="0.2">
      <c r="A1094">
        <v>556</v>
      </c>
      <c r="B1094">
        <v>91</v>
      </c>
      <c r="E1094" s="5" t="s">
        <v>861</v>
      </c>
      <c r="F1094" s="5" t="s">
        <v>848</v>
      </c>
      <c r="I1094" t="s">
        <v>840</v>
      </c>
      <c r="J1094">
        <v>17</v>
      </c>
      <c r="K1094">
        <v>1</v>
      </c>
      <c r="L1094" t="s">
        <v>845</v>
      </c>
      <c r="M1094" t="s">
        <v>257</v>
      </c>
      <c r="N1094" t="s">
        <v>201</v>
      </c>
      <c r="O1094" t="s">
        <v>92</v>
      </c>
      <c r="P1094" t="s">
        <v>688</v>
      </c>
      <c r="U1094" s="8">
        <f t="shared" si="111"/>
        <v>1</v>
      </c>
      <c r="AD1094" t="str">
        <f t="shared" si="110"/>
        <v>e</v>
      </c>
      <c r="AE1094" t="str">
        <f t="shared" si="114"/>
        <v>Zone_Entry_Exit</v>
      </c>
      <c r="AF1094" t="str">
        <f t="shared" si="112"/>
        <v>Zone_Exit</v>
      </c>
      <c r="AG1094" t="str">
        <f t="shared" si="113"/>
        <v>ZoneExit-Clear</v>
      </c>
      <c r="AN1094" t="str">
        <f t="shared" si="109"/>
        <v>Offensive</v>
      </c>
      <c r="BD1094" s="23"/>
      <c r="BF1094" s="21"/>
    </row>
    <row r="1095" spans="1:58" x14ac:dyDescent="0.2">
      <c r="A1095">
        <v>556</v>
      </c>
      <c r="B1095">
        <v>91</v>
      </c>
      <c r="Q1095" t="s">
        <v>704</v>
      </c>
      <c r="S1095" t="s">
        <v>688</v>
      </c>
      <c r="U1095" s="8">
        <f t="shared" si="111"/>
        <v>1</v>
      </c>
      <c r="AD1095" t="str">
        <f t="shared" si="110"/>
        <v>o</v>
      </c>
      <c r="AE1095" t="str">
        <f t="shared" si="114"/>
        <v>Zone_Entry_Exit</v>
      </c>
      <c r="AF1095" t="str">
        <f t="shared" si="112"/>
        <v>Zone_Exit</v>
      </c>
      <c r="AG1095" t="str">
        <f t="shared" si="113"/>
        <v>ZoneExit-Clear</v>
      </c>
      <c r="AN1095" t="str">
        <f t="shared" si="109"/>
        <v>Defensive</v>
      </c>
      <c r="BD1095" s="23"/>
      <c r="BF1095" s="21"/>
    </row>
    <row r="1096" spans="1:58" x14ac:dyDescent="0.2">
      <c r="A1096">
        <v>557</v>
      </c>
      <c r="B1096">
        <v>91</v>
      </c>
      <c r="I1096" t="s">
        <v>840</v>
      </c>
      <c r="J1096">
        <v>17</v>
      </c>
      <c r="K1096">
        <v>1</v>
      </c>
      <c r="L1096" t="s">
        <v>845</v>
      </c>
      <c r="M1096" t="s">
        <v>257</v>
      </c>
      <c r="N1096" t="s">
        <v>191</v>
      </c>
      <c r="O1096" t="s">
        <v>408</v>
      </c>
      <c r="P1096" t="s">
        <v>688</v>
      </c>
      <c r="U1096" s="8">
        <f t="shared" si="111"/>
        <v>1</v>
      </c>
      <c r="AD1096" t="str">
        <f t="shared" si="110"/>
        <v>e</v>
      </c>
      <c r="AE1096" t="str">
        <f t="shared" si="114"/>
        <v>Zone_Entry_Exit</v>
      </c>
      <c r="AF1096" t="str">
        <f t="shared" si="112"/>
        <v>Zone_Entry</v>
      </c>
      <c r="AG1096" t="str">
        <f t="shared" si="113"/>
        <v>ZoneEntry-FromExitClear</v>
      </c>
      <c r="AN1096" t="str">
        <f t="shared" si="109"/>
        <v>Offensive</v>
      </c>
      <c r="BD1096" s="23"/>
      <c r="BF1096" s="21"/>
    </row>
    <row r="1097" spans="1:58" x14ac:dyDescent="0.2">
      <c r="A1097">
        <v>557</v>
      </c>
      <c r="B1097">
        <v>91</v>
      </c>
      <c r="Q1097" t="s">
        <v>704</v>
      </c>
      <c r="S1097" t="s">
        <v>688</v>
      </c>
      <c r="U1097" s="8">
        <f t="shared" si="111"/>
        <v>1</v>
      </c>
      <c r="AD1097" t="str">
        <f t="shared" si="110"/>
        <v>o</v>
      </c>
      <c r="AE1097" t="str">
        <f t="shared" si="114"/>
        <v>Zone_Entry_Exit</v>
      </c>
      <c r="AF1097" t="str">
        <f t="shared" si="112"/>
        <v>Zone_Entry</v>
      </c>
      <c r="AG1097" t="str">
        <f t="shared" si="113"/>
        <v>ZoneEntry-FromExitClear</v>
      </c>
      <c r="AN1097" t="str">
        <f t="shared" ref="AN1097:AN1160" si="115">IF(AND(AD1097="e",OR(AE1097="Save",AF1097="Turnover_Takeaway",AF1097="Play_Defensive")),"Defensive",IF(AND(AD1097="o",OR(AE1097="Save",AF1097="Turnover_Takeaway",AF1097="Play_Defensive")),"Offensive",IF(OR(AE1097="Deadice",AE1097="Stoppage",AE1097="Intermission"),"",IF(AD1097="e","Offensive",IF(AD1097="o","Defensive","")))))</f>
        <v>Defensive</v>
      </c>
      <c r="BD1097" s="23"/>
      <c r="BF1097" s="21"/>
    </row>
    <row r="1098" spans="1:58" x14ac:dyDescent="0.2">
      <c r="A1098">
        <v>558</v>
      </c>
      <c r="E1098" s="5" t="s">
        <v>861</v>
      </c>
      <c r="F1098" s="5" t="s">
        <v>880</v>
      </c>
      <c r="G1098" s="5" t="s">
        <v>861</v>
      </c>
      <c r="H1098" s="7" t="s">
        <v>850</v>
      </c>
      <c r="I1098" t="s">
        <v>835</v>
      </c>
      <c r="J1098">
        <v>9</v>
      </c>
      <c r="K1098">
        <v>1</v>
      </c>
      <c r="L1098" t="s">
        <v>845</v>
      </c>
      <c r="M1098" t="s">
        <v>15</v>
      </c>
      <c r="N1098" t="s">
        <v>680</v>
      </c>
      <c r="P1098" t="s">
        <v>688</v>
      </c>
      <c r="Q1098" t="s">
        <v>698</v>
      </c>
      <c r="S1098" t="s">
        <v>688</v>
      </c>
      <c r="T1098">
        <v>1</v>
      </c>
      <c r="U1098" s="8">
        <f t="shared" si="111"/>
        <v>1</v>
      </c>
      <c r="AD1098" t="str">
        <f t="shared" si="110"/>
        <v>e</v>
      </c>
      <c r="AE1098" t="str">
        <f t="shared" si="114"/>
        <v>Possession</v>
      </c>
      <c r="AF1098" t="str">
        <f t="shared" si="112"/>
        <v>PuckRetrieval</v>
      </c>
      <c r="AG1098" t="str">
        <f t="shared" si="113"/>
        <v/>
      </c>
      <c r="AN1098" t="str">
        <f t="shared" si="115"/>
        <v>Offensive</v>
      </c>
      <c r="BD1098" s="23"/>
      <c r="BF1098" s="21"/>
    </row>
    <row r="1099" spans="1:58" x14ac:dyDescent="0.2">
      <c r="A1099">
        <v>558</v>
      </c>
      <c r="J1099">
        <v>92</v>
      </c>
      <c r="Q1099" t="s">
        <v>765</v>
      </c>
      <c r="T1099">
        <v>1</v>
      </c>
      <c r="U1099" s="8">
        <f t="shared" si="111"/>
        <v>1</v>
      </c>
      <c r="AD1099" t="str">
        <f t="shared" si="110"/>
        <v>o</v>
      </c>
      <c r="AE1099" t="str">
        <f t="shared" si="114"/>
        <v>Possession</v>
      </c>
      <c r="AF1099" t="str">
        <f t="shared" si="112"/>
        <v>PuckRetrieval</v>
      </c>
      <c r="AG1099" t="str">
        <f t="shared" si="113"/>
        <v/>
      </c>
      <c r="AN1099" t="str">
        <f t="shared" si="115"/>
        <v>Defensive</v>
      </c>
      <c r="BD1099" s="23"/>
      <c r="BF1099" s="21"/>
    </row>
    <row r="1100" spans="1:58" x14ac:dyDescent="0.2">
      <c r="A1100">
        <v>559</v>
      </c>
      <c r="E1100" s="5" t="s">
        <v>861</v>
      </c>
      <c r="F1100" s="5" t="s">
        <v>850</v>
      </c>
      <c r="I1100" t="s">
        <v>840</v>
      </c>
      <c r="J1100">
        <v>92</v>
      </c>
      <c r="K1100">
        <v>1</v>
      </c>
      <c r="L1100" t="s">
        <v>401</v>
      </c>
      <c r="M1100" t="s">
        <v>10</v>
      </c>
      <c r="N1100" t="s">
        <v>200</v>
      </c>
      <c r="O1100" t="s">
        <v>81</v>
      </c>
      <c r="P1100" t="s">
        <v>689</v>
      </c>
      <c r="Q1100" t="s">
        <v>765</v>
      </c>
      <c r="S1100" t="s">
        <v>689</v>
      </c>
      <c r="T1100">
        <v>1</v>
      </c>
      <c r="U1100" s="8">
        <f t="shared" si="111"/>
        <v>1</v>
      </c>
      <c r="AD1100" t="str">
        <f t="shared" si="110"/>
        <v>e</v>
      </c>
      <c r="AE1100" t="str">
        <f t="shared" si="114"/>
        <v>Turnover</v>
      </c>
      <c r="AF1100" t="str">
        <f t="shared" si="112"/>
        <v>Turnover_Takeaway</v>
      </c>
      <c r="AG1100" t="str">
        <f t="shared" si="113"/>
        <v>Takeaway-BattleWon</v>
      </c>
      <c r="AN1100" t="str">
        <f t="shared" si="115"/>
        <v>Defensive</v>
      </c>
      <c r="BD1100" s="23"/>
      <c r="BF1100" s="21"/>
    </row>
    <row r="1101" spans="1:58" x14ac:dyDescent="0.2">
      <c r="A1101">
        <v>559</v>
      </c>
      <c r="J1101">
        <v>9</v>
      </c>
      <c r="U1101" s="8">
        <f t="shared" si="111"/>
        <v>1</v>
      </c>
      <c r="AD1101" t="str">
        <f t="shared" si="110"/>
        <v>o</v>
      </c>
      <c r="AE1101" t="str">
        <f t="shared" si="114"/>
        <v>Turnover</v>
      </c>
      <c r="AF1101" t="str">
        <f t="shared" si="112"/>
        <v>Turnover_Takeaway</v>
      </c>
      <c r="AG1101" t="str">
        <f t="shared" si="113"/>
        <v>Takeaway-BattleWon</v>
      </c>
      <c r="AN1101" t="str">
        <f t="shared" si="115"/>
        <v>Offensive</v>
      </c>
      <c r="BD1101" s="23"/>
      <c r="BF1101" s="21"/>
    </row>
    <row r="1102" spans="1:58" x14ac:dyDescent="0.2">
      <c r="A1102">
        <v>560</v>
      </c>
      <c r="E1102" s="5" t="s">
        <v>861</v>
      </c>
      <c r="F1102" s="5" t="s">
        <v>855</v>
      </c>
      <c r="G1102" s="5" t="s">
        <v>861</v>
      </c>
      <c r="H1102" s="7" t="s">
        <v>854</v>
      </c>
      <c r="I1102" t="s">
        <v>840</v>
      </c>
      <c r="J1102">
        <v>92</v>
      </c>
      <c r="K1102">
        <v>1</v>
      </c>
      <c r="L1102" t="s">
        <v>401</v>
      </c>
      <c r="M1102" t="s">
        <v>15</v>
      </c>
      <c r="Q1102" t="s">
        <v>661</v>
      </c>
      <c r="S1102" t="s">
        <v>689</v>
      </c>
      <c r="T1102">
        <v>1</v>
      </c>
      <c r="U1102" s="8">
        <f t="shared" si="111"/>
        <v>1</v>
      </c>
      <c r="AD1102" t="str">
        <f t="shared" si="110"/>
        <v>e</v>
      </c>
      <c r="AE1102" t="str">
        <f t="shared" si="114"/>
        <v>Possession</v>
      </c>
      <c r="AF1102" t="str">
        <f t="shared" si="112"/>
        <v/>
      </c>
      <c r="AG1102" t="str">
        <f t="shared" si="113"/>
        <v/>
      </c>
      <c r="AN1102" t="str">
        <f t="shared" si="115"/>
        <v>Offensive</v>
      </c>
      <c r="BD1102" s="23"/>
      <c r="BF1102" s="21"/>
    </row>
    <row r="1103" spans="1:58" x14ac:dyDescent="0.2">
      <c r="A1103">
        <v>560</v>
      </c>
      <c r="J1103">
        <v>9</v>
      </c>
      <c r="Q1103" t="s">
        <v>728</v>
      </c>
      <c r="S1103" t="s">
        <v>688</v>
      </c>
      <c r="U1103" s="8">
        <f t="shared" si="111"/>
        <v>1</v>
      </c>
      <c r="AD1103" t="str">
        <f t="shared" si="110"/>
        <v>o</v>
      </c>
      <c r="AE1103" t="str">
        <f t="shared" si="114"/>
        <v>Possession</v>
      </c>
      <c r="AF1103" t="str">
        <f t="shared" si="112"/>
        <v/>
      </c>
      <c r="AG1103" t="str">
        <f t="shared" si="113"/>
        <v/>
      </c>
      <c r="AN1103" t="str">
        <f t="shared" si="115"/>
        <v>Defensive</v>
      </c>
      <c r="BD1103" s="23"/>
      <c r="BF1103" s="21"/>
    </row>
    <row r="1104" spans="1:58" x14ac:dyDescent="0.2">
      <c r="A1104">
        <v>561</v>
      </c>
      <c r="E1104" s="5" t="s">
        <v>861</v>
      </c>
      <c r="F1104" s="5" t="s">
        <v>854</v>
      </c>
      <c r="I1104" t="s">
        <v>840</v>
      </c>
      <c r="J1104">
        <v>92</v>
      </c>
      <c r="K1104">
        <v>1</v>
      </c>
      <c r="L1104" t="s">
        <v>401</v>
      </c>
      <c r="M1104" t="s">
        <v>7</v>
      </c>
      <c r="N1104" t="s">
        <v>198</v>
      </c>
      <c r="O1104" t="s">
        <v>53</v>
      </c>
      <c r="P1104" t="s">
        <v>688</v>
      </c>
      <c r="U1104" s="8">
        <f t="shared" si="111"/>
        <v>1</v>
      </c>
      <c r="AD1104" t="str">
        <f t="shared" si="110"/>
        <v>e</v>
      </c>
      <c r="AE1104" t="str">
        <f t="shared" si="114"/>
        <v>Shot</v>
      </c>
      <c r="AF1104" t="str">
        <f t="shared" si="112"/>
        <v>Shot_Missed</v>
      </c>
      <c r="AG1104" t="str">
        <f t="shared" si="113"/>
        <v>Shot-Wrist</v>
      </c>
      <c r="AN1104" t="str">
        <f t="shared" si="115"/>
        <v>Offensive</v>
      </c>
      <c r="BD1104" s="23"/>
      <c r="BF1104" s="21"/>
    </row>
    <row r="1105" spans="1:58" x14ac:dyDescent="0.2">
      <c r="A1105">
        <v>562</v>
      </c>
      <c r="E1105" s="5" t="s">
        <v>861</v>
      </c>
      <c r="F1105" s="5" t="s">
        <v>883</v>
      </c>
      <c r="G1105" s="5" t="s">
        <v>861</v>
      </c>
      <c r="H1105" s="7" t="s">
        <v>860</v>
      </c>
      <c r="I1105" t="s">
        <v>840</v>
      </c>
      <c r="J1105">
        <v>46</v>
      </c>
      <c r="K1105">
        <v>1</v>
      </c>
      <c r="L1105" t="s">
        <v>401</v>
      </c>
      <c r="M1105" t="s">
        <v>15</v>
      </c>
      <c r="N1105" t="s">
        <v>681</v>
      </c>
      <c r="P1105" t="s">
        <v>688</v>
      </c>
      <c r="Q1105" t="s">
        <v>705</v>
      </c>
      <c r="S1105" t="s">
        <v>688</v>
      </c>
      <c r="T1105">
        <v>1</v>
      </c>
      <c r="U1105" s="8">
        <f t="shared" si="111"/>
        <v>1</v>
      </c>
      <c r="AD1105" t="str">
        <f t="shared" si="110"/>
        <v>e</v>
      </c>
      <c r="AE1105" t="str">
        <f t="shared" si="114"/>
        <v>Possession</v>
      </c>
      <c r="AF1105" t="str">
        <f t="shared" si="112"/>
        <v>PuckRecovery</v>
      </c>
      <c r="AG1105" t="str">
        <f t="shared" si="113"/>
        <v/>
      </c>
      <c r="AN1105" t="str">
        <f t="shared" si="115"/>
        <v>Offensive</v>
      </c>
      <c r="BD1105" s="23"/>
      <c r="BF1105" s="21"/>
    </row>
    <row r="1106" spans="1:58" x14ac:dyDescent="0.2">
      <c r="A1106">
        <v>562</v>
      </c>
      <c r="J1106">
        <v>9</v>
      </c>
      <c r="T1106">
        <v>1</v>
      </c>
      <c r="U1106" s="8">
        <f t="shared" si="111"/>
        <v>1</v>
      </c>
      <c r="AD1106" t="str">
        <f t="shared" si="110"/>
        <v>o</v>
      </c>
      <c r="AE1106" t="str">
        <f t="shared" si="114"/>
        <v>Possession</v>
      </c>
      <c r="AF1106" t="str">
        <f t="shared" si="112"/>
        <v>PuckRecovery</v>
      </c>
      <c r="AG1106" t="str">
        <f t="shared" si="113"/>
        <v/>
      </c>
      <c r="AN1106" t="str">
        <f t="shared" si="115"/>
        <v>Defensive</v>
      </c>
      <c r="BD1106" s="23"/>
      <c r="BF1106" s="21"/>
    </row>
    <row r="1107" spans="1:58" x14ac:dyDescent="0.2">
      <c r="A1107">
        <v>563</v>
      </c>
      <c r="B1107">
        <v>92</v>
      </c>
      <c r="E1107" s="5" t="s">
        <v>861</v>
      </c>
      <c r="F1107" s="5" t="s">
        <v>860</v>
      </c>
      <c r="I1107" t="s">
        <v>840</v>
      </c>
      <c r="J1107">
        <v>46</v>
      </c>
      <c r="K1107">
        <v>1</v>
      </c>
      <c r="L1107" t="s">
        <v>401</v>
      </c>
      <c r="M1107" t="s">
        <v>8</v>
      </c>
      <c r="N1107" t="s">
        <v>199</v>
      </c>
      <c r="O1107" t="s">
        <v>70</v>
      </c>
      <c r="P1107" t="s">
        <v>688</v>
      </c>
      <c r="T1107">
        <v>1</v>
      </c>
      <c r="U1107" s="8">
        <f t="shared" si="111"/>
        <v>1</v>
      </c>
      <c r="AD1107" t="str">
        <f t="shared" si="110"/>
        <v>e</v>
      </c>
      <c r="AE1107" t="str">
        <f t="shared" si="114"/>
        <v>Pass</v>
      </c>
      <c r="AF1107" t="str">
        <f t="shared" si="112"/>
        <v>Pass_Missed</v>
      </c>
      <c r="AG1107" t="str">
        <f t="shared" si="113"/>
        <v>Pass-Forehand</v>
      </c>
      <c r="AN1107" t="str">
        <f t="shared" si="115"/>
        <v>Offensive</v>
      </c>
      <c r="BD1107" s="23"/>
      <c r="BF1107" s="21"/>
    </row>
    <row r="1108" spans="1:58" x14ac:dyDescent="0.2">
      <c r="A1108">
        <v>563</v>
      </c>
      <c r="B1108">
        <v>92</v>
      </c>
      <c r="J1108">
        <v>94</v>
      </c>
      <c r="K1108">
        <v>1</v>
      </c>
      <c r="U1108" s="8">
        <f t="shared" si="111"/>
        <v>1</v>
      </c>
      <c r="AD1108" t="str">
        <f t="shared" si="110"/>
        <v>e</v>
      </c>
      <c r="AE1108" t="str">
        <f t="shared" si="114"/>
        <v>Pass</v>
      </c>
      <c r="AF1108" t="str">
        <f t="shared" si="112"/>
        <v>Pass_Missed</v>
      </c>
      <c r="AG1108" t="str">
        <f t="shared" si="113"/>
        <v>Pass-Forehand</v>
      </c>
      <c r="AN1108" t="str">
        <f t="shared" si="115"/>
        <v>Offensive</v>
      </c>
      <c r="BD1108" s="23"/>
      <c r="BF1108" s="21"/>
    </row>
    <row r="1109" spans="1:58" x14ac:dyDescent="0.2">
      <c r="A1109">
        <v>563</v>
      </c>
      <c r="B1109">
        <v>92</v>
      </c>
      <c r="J1109">
        <v>9</v>
      </c>
      <c r="Q1109" t="s">
        <v>765</v>
      </c>
      <c r="R1109" t="s">
        <v>912</v>
      </c>
      <c r="S1109" t="s">
        <v>689</v>
      </c>
      <c r="T1109">
        <v>1</v>
      </c>
      <c r="U1109" s="8">
        <f t="shared" si="111"/>
        <v>1</v>
      </c>
      <c r="AD1109" t="str">
        <f t="shared" si="110"/>
        <v>o</v>
      </c>
      <c r="AE1109" t="str">
        <f t="shared" si="114"/>
        <v>Pass</v>
      </c>
      <c r="AF1109" t="str">
        <f t="shared" si="112"/>
        <v>Pass_Missed</v>
      </c>
      <c r="AG1109" t="str">
        <f t="shared" si="113"/>
        <v>Pass-Forehand</v>
      </c>
      <c r="AN1109" t="str">
        <f t="shared" si="115"/>
        <v>Defensive</v>
      </c>
      <c r="BD1109" s="23"/>
      <c r="BF1109" s="21"/>
    </row>
    <row r="1110" spans="1:58" x14ac:dyDescent="0.2">
      <c r="A1110">
        <v>564</v>
      </c>
      <c r="B1110">
        <v>92</v>
      </c>
      <c r="E1110" s="5" t="s">
        <v>861</v>
      </c>
      <c r="F1110" s="5" t="s">
        <v>860</v>
      </c>
      <c r="I1110" t="s">
        <v>840</v>
      </c>
      <c r="K1110">
        <v>1</v>
      </c>
      <c r="L1110" t="s">
        <v>845</v>
      </c>
      <c r="M1110" t="s">
        <v>257</v>
      </c>
      <c r="N1110" t="s">
        <v>201</v>
      </c>
      <c r="O1110" t="s">
        <v>411</v>
      </c>
      <c r="P1110" t="s">
        <v>688</v>
      </c>
      <c r="U1110" s="8">
        <f t="shared" si="111"/>
        <v>1</v>
      </c>
      <c r="AD1110" t="str">
        <f t="shared" si="110"/>
        <v>e</v>
      </c>
      <c r="AE1110" t="str">
        <f t="shared" si="114"/>
        <v>Zone_Entry_Exit</v>
      </c>
      <c r="AF1110" t="str">
        <f t="shared" si="112"/>
        <v>Zone_Exit</v>
      </c>
      <c r="AG1110" t="str">
        <f t="shared" si="113"/>
        <v>ZoneExit-OppTeam</v>
      </c>
      <c r="AN1110" t="str">
        <f t="shared" si="115"/>
        <v>Offensive</v>
      </c>
      <c r="BD1110" s="23"/>
      <c r="BF1110" s="21"/>
    </row>
    <row r="1111" spans="1:58" x14ac:dyDescent="0.2">
      <c r="A1111">
        <v>565</v>
      </c>
      <c r="E1111" s="5" t="s">
        <v>861</v>
      </c>
      <c r="F1111" s="5" t="s">
        <v>863</v>
      </c>
      <c r="I1111" t="s">
        <v>840</v>
      </c>
      <c r="J1111">
        <v>94</v>
      </c>
      <c r="K1111">
        <v>1</v>
      </c>
      <c r="L1111" t="s">
        <v>839</v>
      </c>
      <c r="M1111" t="s">
        <v>15</v>
      </c>
      <c r="N1111" t="s">
        <v>681</v>
      </c>
      <c r="P1111" t="s">
        <v>688</v>
      </c>
      <c r="Q1111" t="s">
        <v>714</v>
      </c>
      <c r="S1111" t="s">
        <v>688</v>
      </c>
      <c r="U1111" s="8">
        <f t="shared" si="111"/>
        <v>1</v>
      </c>
      <c r="AD1111" t="str">
        <f t="shared" si="110"/>
        <v>e</v>
      </c>
      <c r="AE1111" t="str">
        <f t="shared" si="114"/>
        <v>Possession</v>
      </c>
      <c r="AF1111" t="str">
        <f t="shared" si="112"/>
        <v>PuckRecovery</v>
      </c>
      <c r="AG1111" t="str">
        <f t="shared" si="113"/>
        <v/>
      </c>
      <c r="AN1111" t="str">
        <f t="shared" si="115"/>
        <v>Offensive</v>
      </c>
      <c r="BD1111" s="23"/>
      <c r="BF1111" s="21"/>
    </row>
    <row r="1112" spans="1:58" x14ac:dyDescent="0.2">
      <c r="A1112">
        <v>566</v>
      </c>
      <c r="B1112">
        <v>93</v>
      </c>
      <c r="E1112" s="5" t="s">
        <v>861</v>
      </c>
      <c r="F1112" s="5" t="s">
        <v>863</v>
      </c>
      <c r="I1112" t="s">
        <v>840</v>
      </c>
      <c r="J1112">
        <v>94</v>
      </c>
      <c r="K1112">
        <v>1</v>
      </c>
      <c r="L1112" t="s">
        <v>839</v>
      </c>
      <c r="M1112" t="s">
        <v>257</v>
      </c>
      <c r="N1112" t="s">
        <v>191</v>
      </c>
      <c r="O1112" t="s">
        <v>89</v>
      </c>
      <c r="P1112" t="s">
        <v>688</v>
      </c>
      <c r="Q1112" t="s">
        <v>697</v>
      </c>
      <c r="R1112" t="s">
        <v>913</v>
      </c>
      <c r="S1112" t="s">
        <v>688</v>
      </c>
      <c r="U1112" s="8">
        <f t="shared" si="111"/>
        <v>1</v>
      </c>
      <c r="AD1112" t="str">
        <f t="shared" si="110"/>
        <v>e</v>
      </c>
      <c r="AE1112" t="str">
        <f t="shared" si="114"/>
        <v>Zone_Entry_Exit</v>
      </c>
      <c r="AF1112" t="str">
        <f t="shared" si="112"/>
        <v>Zone_Entry</v>
      </c>
      <c r="AG1112" t="str">
        <f t="shared" si="113"/>
        <v>ZoneEntry-DumpIn</v>
      </c>
      <c r="AN1112" t="str">
        <f t="shared" si="115"/>
        <v>Offensive</v>
      </c>
      <c r="BD1112" s="23"/>
      <c r="BF1112" s="21"/>
    </row>
    <row r="1113" spans="1:58" x14ac:dyDescent="0.2">
      <c r="A1113">
        <v>567</v>
      </c>
      <c r="B1113">
        <v>93</v>
      </c>
      <c r="E1113" s="5" t="s">
        <v>861</v>
      </c>
      <c r="F1113" s="5" t="s">
        <v>863</v>
      </c>
      <c r="I1113" t="s">
        <v>840</v>
      </c>
      <c r="J1113">
        <v>94</v>
      </c>
      <c r="K1113">
        <v>1</v>
      </c>
      <c r="L1113" t="s">
        <v>839</v>
      </c>
      <c r="M1113" t="s">
        <v>10</v>
      </c>
      <c r="N1113" t="s">
        <v>190</v>
      </c>
      <c r="O1113" t="s">
        <v>387</v>
      </c>
      <c r="P1113" t="s">
        <v>688</v>
      </c>
      <c r="Q1113" t="s">
        <v>697</v>
      </c>
      <c r="R1113" t="s">
        <v>913</v>
      </c>
      <c r="S1113" t="s">
        <v>688</v>
      </c>
      <c r="U1113" s="8">
        <f t="shared" si="111"/>
        <v>1</v>
      </c>
      <c r="AD1113" t="str">
        <f t="shared" si="110"/>
        <v>e</v>
      </c>
      <c r="AE1113" t="str">
        <f t="shared" si="114"/>
        <v>Turnover</v>
      </c>
      <c r="AF1113" t="str">
        <f t="shared" si="112"/>
        <v>Turnover_Giveaway</v>
      </c>
      <c r="AG1113" t="str">
        <f t="shared" si="113"/>
        <v>Giveaway-ZoneClear/Dump</v>
      </c>
      <c r="AN1113" t="str">
        <f t="shared" si="115"/>
        <v>Offensive</v>
      </c>
      <c r="BD1113" s="23"/>
      <c r="BF1113" s="21"/>
    </row>
    <row r="1114" spans="1:58" x14ac:dyDescent="0.2">
      <c r="A1114">
        <v>568</v>
      </c>
      <c r="E1114" s="5" t="s">
        <v>861</v>
      </c>
      <c r="F1114" s="5" t="s">
        <v>866</v>
      </c>
      <c r="G1114" s="5" t="s">
        <v>861</v>
      </c>
      <c r="H1114" s="7" t="s">
        <v>867</v>
      </c>
      <c r="I1114" t="s">
        <v>835</v>
      </c>
      <c r="J1114">
        <v>49</v>
      </c>
      <c r="K1114">
        <v>1</v>
      </c>
      <c r="L1114" t="s">
        <v>845</v>
      </c>
      <c r="M1114" t="s">
        <v>15</v>
      </c>
      <c r="N1114" t="s">
        <v>680</v>
      </c>
      <c r="P1114" t="s">
        <v>689</v>
      </c>
      <c r="Q1114" t="s">
        <v>698</v>
      </c>
      <c r="S1114" t="s">
        <v>689</v>
      </c>
      <c r="U1114" s="8">
        <f t="shared" si="111"/>
        <v>1</v>
      </c>
      <c r="AD1114" t="str">
        <f t="shared" si="110"/>
        <v>e</v>
      </c>
      <c r="AE1114" t="str">
        <f t="shared" si="114"/>
        <v>Possession</v>
      </c>
      <c r="AF1114" t="str">
        <f t="shared" si="112"/>
        <v>PuckRetrieval</v>
      </c>
      <c r="AG1114" t="str">
        <f t="shared" si="113"/>
        <v/>
      </c>
      <c r="AN1114" t="str">
        <f t="shared" si="115"/>
        <v>Offensive</v>
      </c>
      <c r="BD1114" s="23"/>
      <c r="BF1114" s="21"/>
    </row>
    <row r="1115" spans="1:58" x14ac:dyDescent="0.2">
      <c r="A1115">
        <v>569</v>
      </c>
      <c r="E1115" s="5" t="s">
        <v>861</v>
      </c>
      <c r="F1115" s="5" t="s">
        <v>867</v>
      </c>
      <c r="I1115" t="s">
        <v>835</v>
      </c>
      <c r="J1115">
        <v>49</v>
      </c>
      <c r="K1115">
        <v>1</v>
      </c>
      <c r="L1115" t="s">
        <v>845</v>
      </c>
      <c r="M1115" t="s">
        <v>8</v>
      </c>
      <c r="N1115" t="s">
        <v>189</v>
      </c>
      <c r="O1115" t="s">
        <v>70</v>
      </c>
      <c r="P1115" t="s">
        <v>689</v>
      </c>
      <c r="U1115" s="8">
        <f t="shared" si="111"/>
        <v>1</v>
      </c>
      <c r="AD1115" t="str">
        <f t="shared" si="110"/>
        <v>e</v>
      </c>
      <c r="AE1115" t="str">
        <f t="shared" si="114"/>
        <v>Pass</v>
      </c>
      <c r="AF1115" t="str">
        <f t="shared" si="112"/>
        <v>Pass_Completed</v>
      </c>
      <c r="AG1115" t="str">
        <f t="shared" si="113"/>
        <v>Pass-Forehand</v>
      </c>
      <c r="AN1115" t="str">
        <f t="shared" si="115"/>
        <v>Offensive</v>
      </c>
      <c r="BD1115" s="23"/>
      <c r="BF1115" s="21"/>
    </row>
    <row r="1116" spans="1:58" x14ac:dyDescent="0.2">
      <c r="A1116">
        <v>659</v>
      </c>
      <c r="J1116">
        <v>91</v>
      </c>
      <c r="K1116">
        <v>1</v>
      </c>
      <c r="U1116" s="8">
        <f t="shared" si="111"/>
        <v>1</v>
      </c>
      <c r="AD1116" t="str">
        <f t="shared" si="110"/>
        <v>e</v>
      </c>
      <c r="AE1116" t="str">
        <f t="shared" si="114"/>
        <v/>
      </c>
      <c r="AF1116" t="str">
        <f t="shared" si="112"/>
        <v/>
      </c>
      <c r="AG1116" t="str">
        <f t="shared" si="113"/>
        <v/>
      </c>
      <c r="AN1116" t="str">
        <f t="shared" si="115"/>
        <v>Offensive</v>
      </c>
      <c r="BD1116" s="23"/>
      <c r="BF1116" s="21"/>
    </row>
    <row r="1117" spans="1:58" x14ac:dyDescent="0.2">
      <c r="A1117">
        <v>569</v>
      </c>
      <c r="J1117">
        <v>46</v>
      </c>
      <c r="U1117" s="8">
        <f t="shared" si="111"/>
        <v>1</v>
      </c>
      <c r="AD1117" t="str">
        <f t="shared" si="110"/>
        <v>o</v>
      </c>
      <c r="AE1117" t="str">
        <f t="shared" si="114"/>
        <v/>
      </c>
      <c r="AF1117" t="str">
        <f t="shared" si="112"/>
        <v/>
      </c>
      <c r="AG1117" t="str">
        <f t="shared" si="113"/>
        <v/>
      </c>
      <c r="AN1117" t="str">
        <f t="shared" si="115"/>
        <v>Defensive</v>
      </c>
      <c r="BD1117" s="23"/>
      <c r="BF1117" s="21"/>
    </row>
    <row r="1118" spans="1:58" x14ac:dyDescent="0.2">
      <c r="A1118">
        <v>570</v>
      </c>
      <c r="E1118" s="5" t="s">
        <v>861</v>
      </c>
      <c r="F1118" s="5" t="s">
        <v>892</v>
      </c>
      <c r="G1118" s="5" t="s">
        <v>861</v>
      </c>
      <c r="H1118" s="7" t="s">
        <v>902</v>
      </c>
      <c r="I1118" t="s">
        <v>835</v>
      </c>
      <c r="J1118">
        <v>91</v>
      </c>
      <c r="K1118">
        <v>1</v>
      </c>
      <c r="L1118" t="s">
        <v>845</v>
      </c>
      <c r="M1118" t="s">
        <v>15</v>
      </c>
      <c r="U1118" s="8">
        <f t="shared" si="111"/>
        <v>1</v>
      </c>
      <c r="AD1118" t="str">
        <f t="shared" si="110"/>
        <v>e</v>
      </c>
      <c r="AE1118" t="str">
        <f t="shared" si="114"/>
        <v>Possession</v>
      </c>
      <c r="AF1118" t="str">
        <f t="shared" si="112"/>
        <v/>
      </c>
      <c r="AG1118" t="str">
        <f t="shared" si="113"/>
        <v/>
      </c>
      <c r="AN1118" t="str">
        <f t="shared" si="115"/>
        <v>Offensive</v>
      </c>
      <c r="BD1118" s="23"/>
      <c r="BF1118" s="21"/>
    </row>
    <row r="1119" spans="1:58" x14ac:dyDescent="0.2">
      <c r="A1119">
        <v>571</v>
      </c>
      <c r="B1119">
        <v>94</v>
      </c>
      <c r="E1119" s="5" t="s">
        <v>861</v>
      </c>
      <c r="F1119" s="5" t="s">
        <v>902</v>
      </c>
      <c r="I1119" t="s">
        <v>835</v>
      </c>
      <c r="J1119">
        <v>91</v>
      </c>
      <c r="K1119">
        <v>1</v>
      </c>
      <c r="L1119" t="s">
        <v>845</v>
      </c>
      <c r="M1119" t="s">
        <v>8</v>
      </c>
      <c r="N1119" t="s">
        <v>189</v>
      </c>
      <c r="O1119" t="s">
        <v>67</v>
      </c>
      <c r="P1119" t="s">
        <v>689</v>
      </c>
      <c r="Q1119" t="s">
        <v>662</v>
      </c>
      <c r="S1119" t="s">
        <v>689</v>
      </c>
      <c r="U1119" s="8">
        <f t="shared" si="111"/>
        <v>1</v>
      </c>
      <c r="AD1119" t="str">
        <f t="shared" si="110"/>
        <v>e</v>
      </c>
      <c r="AE1119" t="str">
        <f t="shared" si="114"/>
        <v>Pass</v>
      </c>
      <c r="AF1119" t="str">
        <f t="shared" si="112"/>
        <v>Pass_Completed</v>
      </c>
      <c r="AG1119" t="str">
        <f t="shared" si="113"/>
        <v>Pass-Stretch</v>
      </c>
      <c r="AN1119" t="str">
        <f t="shared" si="115"/>
        <v>Offensive</v>
      </c>
      <c r="BD1119" s="23"/>
      <c r="BF1119" s="21"/>
    </row>
    <row r="1120" spans="1:58" x14ac:dyDescent="0.2">
      <c r="A1120">
        <v>571</v>
      </c>
      <c r="B1120">
        <v>94</v>
      </c>
      <c r="J1120">
        <v>61</v>
      </c>
      <c r="K1120">
        <v>1</v>
      </c>
      <c r="U1120" s="8">
        <f t="shared" si="111"/>
        <v>1</v>
      </c>
      <c r="AD1120" t="str">
        <f t="shared" si="110"/>
        <v>e</v>
      </c>
      <c r="AE1120" t="str">
        <f t="shared" si="114"/>
        <v>Pass</v>
      </c>
      <c r="AF1120" t="str">
        <f t="shared" si="112"/>
        <v>Pass_Completed</v>
      </c>
      <c r="AG1120" t="str">
        <f t="shared" si="113"/>
        <v>Pass-Stretch</v>
      </c>
      <c r="AN1120" t="str">
        <f t="shared" si="115"/>
        <v>Offensive</v>
      </c>
      <c r="BD1120" s="23"/>
      <c r="BF1120" s="21"/>
    </row>
    <row r="1121" spans="1:58" x14ac:dyDescent="0.2">
      <c r="A1121">
        <v>572</v>
      </c>
      <c r="B1121">
        <v>94</v>
      </c>
      <c r="E1121" s="5" t="s">
        <v>861</v>
      </c>
      <c r="F1121" s="5" t="s">
        <v>902</v>
      </c>
      <c r="I1121" t="s">
        <v>835</v>
      </c>
      <c r="J1121">
        <v>91</v>
      </c>
      <c r="K1121">
        <v>1</v>
      </c>
      <c r="L1121" t="s">
        <v>845</v>
      </c>
      <c r="M1121" t="s">
        <v>257</v>
      </c>
      <c r="N1121" t="s">
        <v>201</v>
      </c>
      <c r="O1121" t="s">
        <v>91</v>
      </c>
      <c r="P1121" t="s">
        <v>689</v>
      </c>
      <c r="Q1121" t="s">
        <v>662</v>
      </c>
      <c r="S1121" t="s">
        <v>689</v>
      </c>
      <c r="U1121" s="8">
        <f t="shared" si="111"/>
        <v>1</v>
      </c>
      <c r="AD1121" t="str">
        <f t="shared" si="110"/>
        <v>e</v>
      </c>
      <c r="AE1121" t="str">
        <f t="shared" si="114"/>
        <v>Zone_Entry_Exit</v>
      </c>
      <c r="AF1121" t="str">
        <f t="shared" si="112"/>
        <v>Zone_Exit</v>
      </c>
      <c r="AG1121" t="str">
        <f t="shared" si="113"/>
        <v>ZoneExit-Pass</v>
      </c>
      <c r="AN1121" t="str">
        <f t="shared" si="115"/>
        <v>Offensive</v>
      </c>
      <c r="BD1121" s="23"/>
      <c r="BF1121" s="21"/>
    </row>
    <row r="1122" spans="1:58" x14ac:dyDescent="0.2">
      <c r="A1122">
        <v>572</v>
      </c>
      <c r="B1122">
        <v>94</v>
      </c>
      <c r="J1122">
        <v>61</v>
      </c>
      <c r="K1122">
        <v>1</v>
      </c>
      <c r="U1122" s="8">
        <f t="shared" si="111"/>
        <v>1</v>
      </c>
      <c r="AD1122" t="str">
        <f t="shared" si="110"/>
        <v>e</v>
      </c>
      <c r="AE1122" t="str">
        <f t="shared" si="114"/>
        <v>Zone_Entry_Exit</v>
      </c>
      <c r="AF1122" t="str">
        <f t="shared" si="112"/>
        <v>Zone_Exit</v>
      </c>
      <c r="AG1122" t="str">
        <f t="shared" si="113"/>
        <v>ZoneExit-Pass</v>
      </c>
      <c r="AN1122" t="str">
        <f t="shared" si="115"/>
        <v>Offensive</v>
      </c>
      <c r="BD1122" s="23"/>
      <c r="BF1122" s="21"/>
    </row>
    <row r="1123" spans="1:58" x14ac:dyDescent="0.2">
      <c r="A1123">
        <v>573</v>
      </c>
      <c r="E1123" s="5" t="s">
        <v>861</v>
      </c>
      <c r="F1123" s="5" t="s">
        <v>893</v>
      </c>
      <c r="G1123" s="5" t="s">
        <v>861</v>
      </c>
      <c r="H1123" s="7" t="s">
        <v>869</v>
      </c>
      <c r="I1123" t="s">
        <v>835</v>
      </c>
      <c r="J1123">
        <v>61</v>
      </c>
      <c r="K1123">
        <v>1</v>
      </c>
      <c r="L1123" t="s">
        <v>839</v>
      </c>
      <c r="M1123" t="s">
        <v>15</v>
      </c>
      <c r="U1123" s="8">
        <f t="shared" si="111"/>
        <v>1</v>
      </c>
      <c r="AD1123" t="str">
        <f t="shared" si="110"/>
        <v>e</v>
      </c>
      <c r="AE1123" t="str">
        <f t="shared" si="114"/>
        <v>Possession</v>
      </c>
      <c r="AF1123" t="str">
        <f t="shared" si="112"/>
        <v/>
      </c>
      <c r="AG1123" t="str">
        <f t="shared" si="113"/>
        <v/>
      </c>
      <c r="AN1123" t="str">
        <f t="shared" si="115"/>
        <v>Offensive</v>
      </c>
      <c r="BD1123" s="23"/>
      <c r="BF1123" s="21"/>
    </row>
    <row r="1124" spans="1:58" x14ac:dyDescent="0.2">
      <c r="A1124">
        <v>574</v>
      </c>
      <c r="E1124" s="5" t="s">
        <v>861</v>
      </c>
      <c r="F1124" s="5" t="s">
        <v>869</v>
      </c>
      <c r="G1124" s="5" t="s">
        <v>861</v>
      </c>
      <c r="H1124" s="7" t="s">
        <v>894</v>
      </c>
      <c r="I1124" t="s">
        <v>835</v>
      </c>
      <c r="J1124">
        <v>61</v>
      </c>
      <c r="K1124">
        <v>1</v>
      </c>
      <c r="L1124" t="s">
        <v>401</v>
      </c>
      <c r="M1124" t="s">
        <v>257</v>
      </c>
      <c r="N1124" t="s">
        <v>191</v>
      </c>
      <c r="O1124" t="s">
        <v>87</v>
      </c>
      <c r="P1124" t="s">
        <v>689</v>
      </c>
      <c r="U1124" s="8">
        <f t="shared" si="111"/>
        <v>1</v>
      </c>
      <c r="AD1124" t="str">
        <f t="shared" si="110"/>
        <v>e</v>
      </c>
      <c r="AE1124" t="str">
        <f t="shared" si="114"/>
        <v>Zone_Entry_Exit</v>
      </c>
      <c r="AF1124" t="str">
        <f t="shared" si="112"/>
        <v>Zone_Entry</v>
      </c>
      <c r="AG1124" t="str">
        <f t="shared" si="113"/>
        <v>ZoneEntry-Rush</v>
      </c>
      <c r="AN1124" t="str">
        <f t="shared" si="115"/>
        <v>Offensive</v>
      </c>
      <c r="BD1124" s="23"/>
      <c r="BF1124" s="21"/>
    </row>
    <row r="1125" spans="1:58" x14ac:dyDescent="0.2">
      <c r="A1125">
        <v>574</v>
      </c>
      <c r="J1125">
        <v>83</v>
      </c>
      <c r="U1125" s="8">
        <f t="shared" si="111"/>
        <v>1</v>
      </c>
      <c r="AD1125" t="str">
        <f t="shared" si="110"/>
        <v>o</v>
      </c>
      <c r="AE1125" t="str">
        <f t="shared" si="114"/>
        <v>Zone_Entry_Exit</v>
      </c>
      <c r="AF1125" t="str">
        <f t="shared" si="112"/>
        <v>Zone_Entry</v>
      </c>
      <c r="AG1125" t="str">
        <f t="shared" si="113"/>
        <v>ZoneEntry-Rush</v>
      </c>
      <c r="AN1125" t="str">
        <f t="shared" si="115"/>
        <v>Defensive</v>
      </c>
      <c r="BD1125" s="23"/>
      <c r="BF1125" s="21"/>
    </row>
    <row r="1126" spans="1:58" x14ac:dyDescent="0.2">
      <c r="A1126">
        <v>575</v>
      </c>
      <c r="B1126">
        <v>95</v>
      </c>
      <c r="E1126" s="5" t="s">
        <v>861</v>
      </c>
      <c r="F1126" s="5" t="s">
        <v>870</v>
      </c>
      <c r="I1126" t="s">
        <v>835</v>
      </c>
      <c r="J1126">
        <v>61</v>
      </c>
      <c r="K1126">
        <v>1</v>
      </c>
      <c r="L1126" t="s">
        <v>401</v>
      </c>
      <c r="M1126" t="s">
        <v>7</v>
      </c>
      <c r="N1126" t="s">
        <v>222</v>
      </c>
      <c r="O1126" t="s">
        <v>53</v>
      </c>
      <c r="P1126" t="s">
        <v>689</v>
      </c>
      <c r="U1126" s="8">
        <f t="shared" si="111"/>
        <v>1</v>
      </c>
      <c r="AD1126" t="str">
        <f t="shared" si="110"/>
        <v>e</v>
      </c>
      <c r="AE1126" t="str">
        <f t="shared" si="114"/>
        <v>Shot</v>
      </c>
      <c r="AF1126" t="str">
        <f t="shared" si="112"/>
        <v>Shot_OnNetSaved</v>
      </c>
      <c r="AG1126" t="str">
        <f t="shared" si="113"/>
        <v>Shot-Wrist</v>
      </c>
      <c r="AN1126" t="str">
        <f t="shared" si="115"/>
        <v>Offensive</v>
      </c>
      <c r="BD1126" s="23"/>
      <c r="BF1126" s="21"/>
    </row>
    <row r="1127" spans="1:58" x14ac:dyDescent="0.2">
      <c r="A1127">
        <v>575</v>
      </c>
      <c r="B1127">
        <v>95</v>
      </c>
      <c r="J1127">
        <v>38</v>
      </c>
      <c r="U1127" s="8">
        <f t="shared" si="111"/>
        <v>1</v>
      </c>
      <c r="AD1127" t="str">
        <f t="shared" si="110"/>
        <v>o</v>
      </c>
      <c r="AE1127" t="str">
        <f t="shared" si="114"/>
        <v>Shot</v>
      </c>
      <c r="AF1127" t="str">
        <f t="shared" si="112"/>
        <v>Shot_OnNetSaved</v>
      </c>
      <c r="AG1127" t="str">
        <f t="shared" si="113"/>
        <v>Shot-Wrist</v>
      </c>
      <c r="AN1127" t="str">
        <f t="shared" si="115"/>
        <v>Defensive</v>
      </c>
      <c r="BD1127" s="23"/>
      <c r="BF1127" s="21"/>
    </row>
    <row r="1128" spans="1:58" x14ac:dyDescent="0.2">
      <c r="A1128">
        <v>575</v>
      </c>
      <c r="B1128">
        <v>95</v>
      </c>
      <c r="J1128">
        <v>83</v>
      </c>
      <c r="Q1128" t="s">
        <v>696</v>
      </c>
      <c r="U1128" s="8">
        <f t="shared" si="111"/>
        <v>1</v>
      </c>
      <c r="AD1128" t="str">
        <f t="shared" si="110"/>
        <v>o</v>
      </c>
      <c r="AE1128" t="str">
        <f t="shared" si="114"/>
        <v>Shot</v>
      </c>
      <c r="AF1128" t="str">
        <f t="shared" si="112"/>
        <v>Shot_OnNetSaved</v>
      </c>
      <c r="AG1128" t="str">
        <f t="shared" si="113"/>
        <v>Shot-Wrist</v>
      </c>
      <c r="AN1128" t="str">
        <f t="shared" si="115"/>
        <v>Defensive</v>
      </c>
      <c r="BD1128" s="23"/>
      <c r="BF1128" s="21"/>
    </row>
    <row r="1129" spans="1:58" x14ac:dyDescent="0.2">
      <c r="A1129">
        <v>576</v>
      </c>
      <c r="B1129">
        <v>95</v>
      </c>
      <c r="E1129" s="5" t="s">
        <v>861</v>
      </c>
      <c r="F1129" s="5" t="s">
        <v>870</v>
      </c>
      <c r="I1129" t="s">
        <v>840</v>
      </c>
      <c r="J1129">
        <v>38</v>
      </c>
      <c r="K1129">
        <v>1</v>
      </c>
      <c r="L1129" t="s">
        <v>845</v>
      </c>
      <c r="M1129" t="s">
        <v>17</v>
      </c>
      <c r="N1129" t="s">
        <v>206</v>
      </c>
      <c r="O1129" t="s">
        <v>103</v>
      </c>
      <c r="U1129" s="8">
        <f t="shared" si="111"/>
        <v>1</v>
      </c>
      <c r="AD1129" t="str">
        <f t="shared" si="110"/>
        <v>e</v>
      </c>
      <c r="AE1129" t="str">
        <f t="shared" si="114"/>
        <v>Save</v>
      </c>
      <c r="AF1129" t="str">
        <f t="shared" si="112"/>
        <v>Save_Freeze</v>
      </c>
      <c r="AG1129" t="str">
        <f t="shared" si="113"/>
        <v>Save-Chest</v>
      </c>
      <c r="AN1129" t="str">
        <f t="shared" si="115"/>
        <v>Defensive</v>
      </c>
      <c r="BD1129" s="23"/>
      <c r="BF1129" s="21"/>
    </row>
    <row r="1130" spans="1:58" x14ac:dyDescent="0.2">
      <c r="A1130">
        <v>576</v>
      </c>
      <c r="B1130">
        <v>95</v>
      </c>
      <c r="J1130">
        <v>83</v>
      </c>
      <c r="K1130">
        <v>1</v>
      </c>
      <c r="Q1130" t="s">
        <v>696</v>
      </c>
      <c r="U1130" s="8">
        <f t="shared" si="111"/>
        <v>1</v>
      </c>
      <c r="AD1130" t="str">
        <f t="shared" si="110"/>
        <v>e</v>
      </c>
      <c r="AE1130" t="str">
        <f t="shared" si="114"/>
        <v>Save</v>
      </c>
      <c r="AF1130" t="str">
        <f t="shared" si="112"/>
        <v>Save_Freeze</v>
      </c>
      <c r="AG1130" t="str">
        <f t="shared" si="113"/>
        <v>Save-Chest</v>
      </c>
      <c r="AN1130" t="str">
        <f t="shared" si="115"/>
        <v>Defensive</v>
      </c>
      <c r="BD1130" s="23"/>
      <c r="BF1130" s="21"/>
    </row>
    <row r="1131" spans="1:58" x14ac:dyDescent="0.2">
      <c r="A1131">
        <v>576</v>
      </c>
      <c r="B1131">
        <v>95</v>
      </c>
      <c r="J1131">
        <v>61</v>
      </c>
      <c r="U1131" s="8">
        <f t="shared" si="111"/>
        <v>1</v>
      </c>
      <c r="AD1131" t="str">
        <f t="shared" si="110"/>
        <v>o</v>
      </c>
      <c r="AE1131" t="str">
        <f t="shared" si="114"/>
        <v>Save</v>
      </c>
      <c r="AF1131" t="str">
        <f t="shared" si="112"/>
        <v>Save_Freeze</v>
      </c>
      <c r="AG1131" t="str">
        <f t="shared" si="113"/>
        <v>Save-Chest</v>
      </c>
      <c r="AN1131" t="str">
        <f t="shared" si="115"/>
        <v>Offensive</v>
      </c>
      <c r="BD1131" s="23"/>
      <c r="BF1131" s="21"/>
    </row>
    <row r="1132" spans="1:58" x14ac:dyDescent="0.2">
      <c r="A1132">
        <v>577</v>
      </c>
      <c r="E1132" s="5" t="s">
        <v>861</v>
      </c>
      <c r="F1132" s="5" t="s">
        <v>446</v>
      </c>
      <c r="L1132" t="s">
        <v>401</v>
      </c>
      <c r="M1132" t="s">
        <v>13</v>
      </c>
      <c r="N1132" t="s">
        <v>194</v>
      </c>
      <c r="O1132" t="s">
        <v>41</v>
      </c>
      <c r="U1132" s="8">
        <f t="shared" si="111"/>
        <v>1</v>
      </c>
      <c r="AD1132" t="str">
        <f t="shared" si="110"/>
        <v>o</v>
      </c>
      <c r="AE1132" t="str">
        <f t="shared" si="114"/>
        <v>Stoppage</v>
      </c>
      <c r="AF1132" t="str">
        <f t="shared" si="112"/>
        <v>Stoppage_Period</v>
      </c>
      <c r="AG1132" t="str">
        <f t="shared" si="113"/>
        <v>Stoppage-PeriodEnd</v>
      </c>
      <c r="AN1132" t="str">
        <f t="shared" si="115"/>
        <v/>
      </c>
      <c r="BD1132" s="23"/>
      <c r="BF1132" s="21"/>
    </row>
    <row r="1133" spans="1:58" x14ac:dyDescent="0.2">
      <c r="A1133">
        <v>578</v>
      </c>
      <c r="E1133" s="5" t="s">
        <v>854</v>
      </c>
      <c r="F1133" s="5" t="s">
        <v>852</v>
      </c>
      <c r="G1133" s="5" t="s">
        <v>856</v>
      </c>
      <c r="H1133" s="7" t="s">
        <v>880</v>
      </c>
      <c r="M1133" t="s">
        <v>426</v>
      </c>
      <c r="U1133" s="8">
        <f t="shared" si="111"/>
        <v>2</v>
      </c>
      <c r="AD1133" t="str">
        <f t="shared" si="110"/>
        <v>o</v>
      </c>
      <c r="AE1133" t="str">
        <f t="shared" si="114"/>
        <v>Intermission</v>
      </c>
      <c r="AF1133" t="str">
        <f t="shared" si="112"/>
        <v/>
      </c>
      <c r="AG1133" t="str">
        <f t="shared" si="113"/>
        <v/>
      </c>
      <c r="AN1133" t="str">
        <f t="shared" si="115"/>
        <v/>
      </c>
      <c r="BD1133" s="23"/>
      <c r="BF1133" s="21"/>
    </row>
    <row r="1134" spans="1:58" x14ac:dyDescent="0.2">
      <c r="A1134">
        <v>579</v>
      </c>
      <c r="E1134" s="5" t="s">
        <v>863</v>
      </c>
      <c r="F1134" s="5" t="s">
        <v>446</v>
      </c>
      <c r="I1134" t="s">
        <v>840</v>
      </c>
      <c r="J1134">
        <v>46</v>
      </c>
      <c r="K1134">
        <v>1</v>
      </c>
      <c r="L1134" t="s">
        <v>839</v>
      </c>
      <c r="M1134" t="s">
        <v>6</v>
      </c>
      <c r="N1134" t="s">
        <v>214</v>
      </c>
      <c r="U1134" s="8">
        <f t="shared" si="111"/>
        <v>2</v>
      </c>
      <c r="AD1134" t="str">
        <f t="shared" si="110"/>
        <v>e</v>
      </c>
      <c r="AE1134" t="str">
        <f t="shared" si="114"/>
        <v>Faceoff</v>
      </c>
      <c r="AF1134" t="str">
        <f t="shared" si="112"/>
        <v>Faceoff_PeriodStart</v>
      </c>
      <c r="AG1134" t="str">
        <f t="shared" si="113"/>
        <v/>
      </c>
      <c r="AN1134" t="str">
        <f t="shared" si="115"/>
        <v>Offensive</v>
      </c>
      <c r="BD1134" s="23"/>
      <c r="BF1134" s="21"/>
    </row>
    <row r="1135" spans="1:58" x14ac:dyDescent="0.2">
      <c r="A1135">
        <v>579</v>
      </c>
      <c r="J1135">
        <v>92</v>
      </c>
      <c r="K1135">
        <v>1</v>
      </c>
      <c r="U1135" s="8">
        <f t="shared" si="111"/>
        <v>2</v>
      </c>
      <c r="AD1135" t="str">
        <f t="shared" si="110"/>
        <v>e</v>
      </c>
      <c r="AE1135" t="str">
        <f t="shared" si="114"/>
        <v>Faceoff</v>
      </c>
      <c r="AF1135" t="str">
        <f t="shared" si="112"/>
        <v>Faceoff_PeriodStart</v>
      </c>
      <c r="AG1135" t="str">
        <f t="shared" si="113"/>
        <v/>
      </c>
      <c r="AN1135" t="str">
        <f t="shared" si="115"/>
        <v>Offensive</v>
      </c>
      <c r="BD1135" s="23"/>
      <c r="BF1135" s="21"/>
    </row>
    <row r="1136" spans="1:58" x14ac:dyDescent="0.2">
      <c r="A1136">
        <v>579</v>
      </c>
      <c r="J1136">
        <v>70</v>
      </c>
      <c r="U1136" s="8">
        <f t="shared" si="111"/>
        <v>2</v>
      </c>
      <c r="AD1136" t="str">
        <f t="shared" si="110"/>
        <v>o</v>
      </c>
      <c r="AE1136" t="str">
        <f t="shared" si="114"/>
        <v>Faceoff</v>
      </c>
      <c r="AF1136" t="str">
        <f t="shared" si="112"/>
        <v>Faceoff_PeriodStart</v>
      </c>
      <c r="AG1136" t="str">
        <f t="shared" si="113"/>
        <v/>
      </c>
      <c r="AN1136" t="str">
        <f t="shared" si="115"/>
        <v>Defensive</v>
      </c>
      <c r="BD1136" s="23"/>
      <c r="BF1136" s="21"/>
    </row>
    <row r="1137" spans="1:58" x14ac:dyDescent="0.2">
      <c r="A1137">
        <v>580</v>
      </c>
      <c r="E1137" s="5" t="s">
        <v>836</v>
      </c>
      <c r="F1137" s="5" t="s">
        <v>837</v>
      </c>
      <c r="G1137" s="5" t="s">
        <v>836</v>
      </c>
      <c r="H1137" s="7" t="s">
        <v>872</v>
      </c>
      <c r="I1137" t="s">
        <v>840</v>
      </c>
      <c r="J1137">
        <v>92</v>
      </c>
      <c r="K1137">
        <v>1</v>
      </c>
      <c r="L1137" t="s">
        <v>839</v>
      </c>
      <c r="M1137" t="s">
        <v>15</v>
      </c>
      <c r="Q1137" t="s">
        <v>702</v>
      </c>
      <c r="T1137">
        <v>1</v>
      </c>
      <c r="U1137" s="8">
        <f t="shared" si="111"/>
        <v>2</v>
      </c>
      <c r="AD1137" t="str">
        <f t="shared" si="110"/>
        <v>e</v>
      </c>
      <c r="AE1137" t="str">
        <f t="shared" si="114"/>
        <v>Possession</v>
      </c>
      <c r="AF1137" t="str">
        <f t="shared" si="112"/>
        <v/>
      </c>
      <c r="AG1137" t="str">
        <f t="shared" si="113"/>
        <v/>
      </c>
      <c r="AN1137" t="str">
        <f t="shared" si="115"/>
        <v>Offensive</v>
      </c>
      <c r="BD1137" s="23"/>
      <c r="BF1137" s="21"/>
    </row>
    <row r="1138" spans="1:58" x14ac:dyDescent="0.2">
      <c r="A1138">
        <v>580</v>
      </c>
      <c r="J1138">
        <v>84</v>
      </c>
      <c r="Q1138" t="s">
        <v>696</v>
      </c>
      <c r="S1138" t="s">
        <v>689</v>
      </c>
      <c r="T1138">
        <v>1</v>
      </c>
      <c r="U1138" s="8">
        <f t="shared" si="111"/>
        <v>2</v>
      </c>
      <c r="AD1138" t="str">
        <f t="shared" si="110"/>
        <v>o</v>
      </c>
      <c r="AE1138" t="str">
        <f t="shared" si="114"/>
        <v>Possession</v>
      </c>
      <c r="AF1138" t="str">
        <f t="shared" si="112"/>
        <v/>
      </c>
      <c r="AG1138" t="str">
        <f t="shared" si="113"/>
        <v/>
      </c>
      <c r="AN1138" t="str">
        <f t="shared" si="115"/>
        <v>Defensive</v>
      </c>
      <c r="BD1138" s="23"/>
      <c r="BF1138" s="21"/>
    </row>
    <row r="1139" spans="1:58" x14ac:dyDescent="0.2">
      <c r="A1139">
        <v>581</v>
      </c>
      <c r="E1139" s="5" t="s">
        <v>836</v>
      </c>
      <c r="F1139" s="5" t="s">
        <v>916</v>
      </c>
      <c r="G1139" s="5" t="s">
        <v>836</v>
      </c>
      <c r="H1139" s="7" t="s">
        <v>895</v>
      </c>
      <c r="I1139" t="s">
        <v>840</v>
      </c>
      <c r="J1139">
        <v>92</v>
      </c>
      <c r="K1139">
        <v>1</v>
      </c>
      <c r="L1139" t="s">
        <v>401</v>
      </c>
      <c r="M1139" t="s">
        <v>257</v>
      </c>
      <c r="N1139" t="s">
        <v>201</v>
      </c>
      <c r="O1139" t="s">
        <v>90</v>
      </c>
      <c r="P1139" t="s">
        <v>689</v>
      </c>
      <c r="Q1139" t="s">
        <v>661</v>
      </c>
      <c r="T1139">
        <v>1</v>
      </c>
      <c r="U1139" s="8">
        <f t="shared" si="111"/>
        <v>2</v>
      </c>
      <c r="AD1139" t="str">
        <f t="shared" si="110"/>
        <v>e</v>
      </c>
      <c r="AE1139" t="str">
        <f t="shared" si="114"/>
        <v>Zone_Entry_Exit</v>
      </c>
      <c r="AF1139" t="str">
        <f t="shared" si="112"/>
        <v>Zone_Exit</v>
      </c>
      <c r="AG1139" t="str">
        <f t="shared" si="113"/>
        <v>ZoneExit-Rush</v>
      </c>
      <c r="AN1139" t="str">
        <f t="shared" si="115"/>
        <v>Offensive</v>
      </c>
      <c r="BD1139" s="23"/>
      <c r="BF1139" s="21"/>
    </row>
    <row r="1140" spans="1:58" x14ac:dyDescent="0.2">
      <c r="A1140">
        <v>581</v>
      </c>
      <c r="J1140">
        <v>91</v>
      </c>
      <c r="K1140">
        <v>1</v>
      </c>
      <c r="T1140">
        <v>1</v>
      </c>
      <c r="U1140" s="8">
        <f t="shared" si="111"/>
        <v>2</v>
      </c>
      <c r="AD1140" t="str">
        <f t="shared" si="110"/>
        <v>e</v>
      </c>
      <c r="AE1140" t="str">
        <f t="shared" si="114"/>
        <v>Zone_Entry_Exit</v>
      </c>
      <c r="AF1140" t="str">
        <f t="shared" si="112"/>
        <v>Zone_Exit</v>
      </c>
      <c r="AG1140" t="str">
        <f t="shared" si="113"/>
        <v>ZoneExit-Rush</v>
      </c>
      <c r="AN1140" t="str">
        <f t="shared" si="115"/>
        <v>Offensive</v>
      </c>
      <c r="BD1140" s="23"/>
      <c r="BF1140" s="21"/>
    </row>
    <row r="1141" spans="1:58" x14ac:dyDescent="0.2">
      <c r="A1141">
        <v>581</v>
      </c>
      <c r="J1141">
        <v>14</v>
      </c>
      <c r="Q1141" t="s">
        <v>696</v>
      </c>
      <c r="T1141">
        <v>1</v>
      </c>
      <c r="U1141" s="8">
        <f t="shared" si="111"/>
        <v>2</v>
      </c>
      <c r="AD1141" t="str">
        <f t="shared" si="110"/>
        <v>o</v>
      </c>
      <c r="AE1141" t="str">
        <f t="shared" si="114"/>
        <v>Zone_Entry_Exit</v>
      </c>
      <c r="AF1141" t="str">
        <f t="shared" si="112"/>
        <v>Zone_Exit</v>
      </c>
      <c r="AG1141" t="str">
        <f t="shared" si="113"/>
        <v>ZoneExit-Rush</v>
      </c>
      <c r="AN1141" t="str">
        <f t="shared" si="115"/>
        <v>Defensive</v>
      </c>
      <c r="BD1141" s="23"/>
      <c r="BF1141" s="21"/>
    </row>
    <row r="1142" spans="1:58" x14ac:dyDescent="0.2">
      <c r="A1142">
        <v>582</v>
      </c>
      <c r="E1142" s="5" t="s">
        <v>836</v>
      </c>
      <c r="F1142" s="5" t="s">
        <v>895</v>
      </c>
      <c r="G1142" s="5" t="s">
        <v>836</v>
      </c>
      <c r="H1142" s="7" t="s">
        <v>885</v>
      </c>
      <c r="I1142" t="s">
        <v>840</v>
      </c>
      <c r="J1142">
        <v>92</v>
      </c>
      <c r="K1142">
        <v>1</v>
      </c>
      <c r="L1142" t="s">
        <v>401</v>
      </c>
      <c r="M1142" t="s">
        <v>15</v>
      </c>
      <c r="Q1142" t="s">
        <v>661</v>
      </c>
      <c r="S1142" t="s">
        <v>689</v>
      </c>
      <c r="T1142">
        <v>1</v>
      </c>
      <c r="U1142" s="8">
        <f t="shared" si="111"/>
        <v>2</v>
      </c>
      <c r="AD1142" t="str">
        <f t="shared" si="110"/>
        <v>e</v>
      </c>
      <c r="AE1142" t="str">
        <f t="shared" si="114"/>
        <v>Possession</v>
      </c>
      <c r="AF1142" t="str">
        <f t="shared" si="112"/>
        <v/>
      </c>
      <c r="AG1142" t="str">
        <f t="shared" si="113"/>
        <v/>
      </c>
      <c r="AN1142" t="str">
        <f t="shared" si="115"/>
        <v>Offensive</v>
      </c>
      <c r="BD1142" s="23"/>
      <c r="BF1142" s="21"/>
    </row>
    <row r="1143" spans="1:58" x14ac:dyDescent="0.2">
      <c r="A1143">
        <v>582</v>
      </c>
      <c r="J1143">
        <v>91</v>
      </c>
      <c r="Q1143" t="s">
        <v>728</v>
      </c>
      <c r="S1143" t="s">
        <v>688</v>
      </c>
      <c r="T1143">
        <v>1</v>
      </c>
      <c r="U1143" s="8">
        <f t="shared" si="111"/>
        <v>2</v>
      </c>
      <c r="AD1143" t="str">
        <f t="shared" si="110"/>
        <v>o</v>
      </c>
      <c r="AE1143" t="str">
        <f t="shared" si="114"/>
        <v>Possession</v>
      </c>
      <c r="AF1143" t="str">
        <f t="shared" si="112"/>
        <v/>
      </c>
      <c r="AG1143" t="str">
        <f t="shared" si="113"/>
        <v/>
      </c>
      <c r="AN1143" t="str">
        <f t="shared" si="115"/>
        <v>Defensive</v>
      </c>
      <c r="BD1143" s="23"/>
      <c r="BF1143" s="21"/>
    </row>
    <row r="1144" spans="1:58" x14ac:dyDescent="0.2">
      <c r="A1144">
        <v>583</v>
      </c>
      <c r="B1144">
        <v>96</v>
      </c>
      <c r="E1144" s="5" t="s">
        <v>836</v>
      </c>
      <c r="F1144" s="5" t="s">
        <v>885</v>
      </c>
      <c r="I1144" t="s">
        <v>840</v>
      </c>
      <c r="J1144">
        <v>92</v>
      </c>
      <c r="K1144">
        <v>1</v>
      </c>
      <c r="L1144" t="s">
        <v>401</v>
      </c>
      <c r="M1144" t="s">
        <v>7</v>
      </c>
      <c r="N1144" t="s">
        <v>198</v>
      </c>
      <c r="O1144" t="s">
        <v>53</v>
      </c>
      <c r="P1144" t="s">
        <v>688</v>
      </c>
      <c r="U1144" s="8">
        <f t="shared" si="111"/>
        <v>2</v>
      </c>
      <c r="AD1144" t="str">
        <f t="shared" si="110"/>
        <v>e</v>
      </c>
      <c r="AE1144" t="str">
        <f t="shared" si="114"/>
        <v>Shot</v>
      </c>
      <c r="AF1144" t="str">
        <f t="shared" si="112"/>
        <v>Shot_Missed</v>
      </c>
      <c r="AG1144" t="str">
        <f t="shared" si="113"/>
        <v>Shot-Wrist</v>
      </c>
      <c r="AN1144" t="str">
        <f t="shared" si="115"/>
        <v>Offensive</v>
      </c>
      <c r="BD1144" s="23"/>
      <c r="BF1144" s="21"/>
    </row>
    <row r="1145" spans="1:58" x14ac:dyDescent="0.2">
      <c r="A1145">
        <v>584</v>
      </c>
      <c r="B1145">
        <v>96</v>
      </c>
      <c r="E1145" s="5" t="s">
        <v>836</v>
      </c>
      <c r="F1145" s="5" t="s">
        <v>885</v>
      </c>
      <c r="I1145" t="s">
        <v>840</v>
      </c>
      <c r="J1145">
        <v>92</v>
      </c>
      <c r="K1145">
        <v>1</v>
      </c>
      <c r="L1145" t="s">
        <v>401</v>
      </c>
      <c r="M1145" t="s">
        <v>10</v>
      </c>
      <c r="N1145" t="s">
        <v>190</v>
      </c>
      <c r="O1145" t="s">
        <v>79</v>
      </c>
      <c r="P1145" t="s">
        <v>688</v>
      </c>
      <c r="U1145" s="8">
        <f t="shared" si="111"/>
        <v>2</v>
      </c>
      <c r="AD1145" t="str">
        <f t="shared" si="110"/>
        <v>e</v>
      </c>
      <c r="AE1145" t="str">
        <f t="shared" si="114"/>
        <v>Turnover</v>
      </c>
      <c r="AF1145" t="str">
        <f t="shared" si="112"/>
        <v>Turnover_Giveaway</v>
      </c>
      <c r="AG1145" t="str">
        <f t="shared" si="113"/>
        <v>Giveaway-ShotMissed</v>
      </c>
      <c r="AN1145" t="str">
        <f t="shared" si="115"/>
        <v>Offensive</v>
      </c>
      <c r="BD1145" s="23"/>
      <c r="BF1145" s="21"/>
    </row>
    <row r="1146" spans="1:58" x14ac:dyDescent="0.2">
      <c r="A1146">
        <v>585</v>
      </c>
      <c r="E1146" s="5" t="s">
        <v>836</v>
      </c>
      <c r="F1146" s="5" t="s">
        <v>842</v>
      </c>
      <c r="I1146" t="s">
        <v>835</v>
      </c>
      <c r="J1146">
        <v>91</v>
      </c>
      <c r="K1146">
        <v>1</v>
      </c>
      <c r="L1146" t="s">
        <v>845</v>
      </c>
      <c r="M1146" t="s">
        <v>15</v>
      </c>
      <c r="N1146" t="s">
        <v>680</v>
      </c>
      <c r="P1146" t="s">
        <v>689</v>
      </c>
      <c r="Q1146" t="s">
        <v>790</v>
      </c>
      <c r="S1146" t="s">
        <v>689</v>
      </c>
      <c r="T1146">
        <v>1</v>
      </c>
      <c r="U1146" s="8">
        <f t="shared" si="111"/>
        <v>2</v>
      </c>
      <c r="AD1146" t="str">
        <f t="shared" si="110"/>
        <v>e</v>
      </c>
      <c r="AE1146" t="str">
        <f t="shared" si="114"/>
        <v>Possession</v>
      </c>
      <c r="AF1146" t="str">
        <f t="shared" si="112"/>
        <v>PuckRetrieval</v>
      </c>
      <c r="AG1146" t="str">
        <f t="shared" si="113"/>
        <v/>
      </c>
      <c r="AN1146" t="str">
        <f t="shared" si="115"/>
        <v>Offensive</v>
      </c>
      <c r="BD1146" s="23"/>
      <c r="BF1146" s="21"/>
    </row>
    <row r="1147" spans="1:58" x14ac:dyDescent="0.2">
      <c r="A1147">
        <v>585</v>
      </c>
      <c r="J1147">
        <v>94</v>
      </c>
      <c r="T1147">
        <v>1</v>
      </c>
      <c r="U1147" s="8">
        <f t="shared" si="111"/>
        <v>2</v>
      </c>
      <c r="AD1147" t="str">
        <f t="shared" si="110"/>
        <v>o</v>
      </c>
      <c r="AE1147" t="str">
        <f t="shared" si="114"/>
        <v>Possession</v>
      </c>
      <c r="AF1147" t="str">
        <f t="shared" si="112"/>
        <v>PuckRetrieval</v>
      </c>
      <c r="AG1147" t="str">
        <f t="shared" si="113"/>
        <v/>
      </c>
      <c r="AN1147" t="str">
        <f t="shared" si="115"/>
        <v>Defensive</v>
      </c>
      <c r="BD1147" s="23"/>
      <c r="BF1147" s="21"/>
    </row>
    <row r="1148" spans="1:58" x14ac:dyDescent="0.2">
      <c r="A1148">
        <v>586</v>
      </c>
      <c r="B1148">
        <v>97</v>
      </c>
      <c r="E1148" s="5" t="s">
        <v>836</v>
      </c>
      <c r="F1148" s="5" t="s">
        <v>842</v>
      </c>
      <c r="I1148" t="s">
        <v>835</v>
      </c>
      <c r="J1148">
        <v>91</v>
      </c>
      <c r="K1148">
        <v>1</v>
      </c>
      <c r="L1148" t="s">
        <v>845</v>
      </c>
      <c r="M1148" t="s">
        <v>8</v>
      </c>
      <c r="N1148" t="s">
        <v>189</v>
      </c>
      <c r="O1148" t="s">
        <v>70</v>
      </c>
      <c r="P1148" t="s">
        <v>689</v>
      </c>
      <c r="Q1148" t="s">
        <v>749</v>
      </c>
      <c r="R1148" t="s">
        <v>662</v>
      </c>
      <c r="S1148" t="s">
        <v>689</v>
      </c>
      <c r="T1148">
        <v>1</v>
      </c>
      <c r="U1148" s="8">
        <f t="shared" si="111"/>
        <v>2</v>
      </c>
      <c r="AD1148" t="str">
        <f t="shared" si="110"/>
        <v>e</v>
      </c>
      <c r="AE1148" t="str">
        <f t="shared" si="114"/>
        <v>Pass</v>
      </c>
      <c r="AF1148" t="str">
        <f t="shared" si="112"/>
        <v>Pass_Completed</v>
      </c>
      <c r="AG1148" t="str">
        <f t="shared" si="113"/>
        <v>Pass-Forehand</v>
      </c>
      <c r="AN1148" t="str">
        <f t="shared" si="115"/>
        <v>Offensive</v>
      </c>
      <c r="BD1148" s="23"/>
      <c r="BF1148" s="21"/>
    </row>
    <row r="1149" spans="1:58" x14ac:dyDescent="0.2">
      <c r="A1149">
        <v>586</v>
      </c>
      <c r="B1149">
        <v>97</v>
      </c>
      <c r="J1149">
        <v>14</v>
      </c>
      <c r="K1149">
        <v>1</v>
      </c>
      <c r="U1149" s="8">
        <f t="shared" si="111"/>
        <v>2</v>
      </c>
      <c r="AD1149" t="str">
        <f t="shared" si="110"/>
        <v>e</v>
      </c>
      <c r="AE1149" t="str">
        <f t="shared" si="114"/>
        <v>Pass</v>
      </c>
      <c r="AF1149" t="str">
        <f t="shared" si="112"/>
        <v>Pass_Completed</v>
      </c>
      <c r="AG1149" t="str">
        <f t="shared" si="113"/>
        <v>Pass-Forehand</v>
      </c>
      <c r="AN1149" t="str">
        <f t="shared" si="115"/>
        <v>Offensive</v>
      </c>
      <c r="BD1149" s="23"/>
      <c r="BF1149" s="21"/>
    </row>
    <row r="1150" spans="1:58" x14ac:dyDescent="0.2">
      <c r="A1150">
        <v>586</v>
      </c>
      <c r="B1150">
        <v>97</v>
      </c>
      <c r="J1150">
        <v>94</v>
      </c>
      <c r="T1150">
        <v>1</v>
      </c>
      <c r="U1150" s="8">
        <f t="shared" si="111"/>
        <v>2</v>
      </c>
      <c r="AD1150" t="str">
        <f t="shared" si="110"/>
        <v>o</v>
      </c>
      <c r="AE1150" t="str">
        <f t="shared" si="114"/>
        <v>Pass</v>
      </c>
      <c r="AF1150" t="str">
        <f t="shared" si="112"/>
        <v>Pass_Completed</v>
      </c>
      <c r="AG1150" t="str">
        <f t="shared" si="113"/>
        <v>Pass-Forehand</v>
      </c>
      <c r="AN1150" t="str">
        <f t="shared" si="115"/>
        <v>Defensive</v>
      </c>
      <c r="BD1150" s="23"/>
      <c r="BF1150" s="21"/>
    </row>
    <row r="1151" spans="1:58" x14ac:dyDescent="0.2">
      <c r="A1151">
        <v>587</v>
      </c>
      <c r="B1151">
        <v>97</v>
      </c>
      <c r="E1151" s="5" t="s">
        <v>836</v>
      </c>
      <c r="F1151" s="5" t="s">
        <v>842</v>
      </c>
      <c r="I1151" t="s">
        <v>835</v>
      </c>
      <c r="J1151">
        <v>91</v>
      </c>
      <c r="K1151">
        <v>1</v>
      </c>
      <c r="L1151" t="s">
        <v>845</v>
      </c>
      <c r="M1151" t="s">
        <v>257</v>
      </c>
      <c r="N1151" t="s">
        <v>201</v>
      </c>
      <c r="O1151" t="s">
        <v>91</v>
      </c>
      <c r="P1151" t="s">
        <v>689</v>
      </c>
      <c r="Q1151" t="s">
        <v>749</v>
      </c>
      <c r="R1151" t="s">
        <v>662</v>
      </c>
      <c r="S1151" t="s">
        <v>689</v>
      </c>
      <c r="T1151">
        <v>1</v>
      </c>
      <c r="U1151" s="8">
        <f t="shared" si="111"/>
        <v>2</v>
      </c>
      <c r="AD1151" t="str">
        <f t="shared" si="110"/>
        <v>e</v>
      </c>
      <c r="AE1151" t="str">
        <f t="shared" si="114"/>
        <v>Zone_Entry_Exit</v>
      </c>
      <c r="AF1151" t="str">
        <f t="shared" si="112"/>
        <v>Zone_Exit</v>
      </c>
      <c r="AG1151" t="str">
        <f t="shared" si="113"/>
        <v>ZoneExit-Pass</v>
      </c>
      <c r="AN1151" t="str">
        <f t="shared" si="115"/>
        <v>Offensive</v>
      </c>
      <c r="BD1151" s="23"/>
      <c r="BF1151" s="21"/>
    </row>
    <row r="1152" spans="1:58" x14ac:dyDescent="0.2">
      <c r="A1152">
        <v>587</v>
      </c>
      <c r="B1152">
        <v>97</v>
      </c>
      <c r="J1152">
        <v>14</v>
      </c>
      <c r="K1152">
        <v>1</v>
      </c>
      <c r="U1152" s="8">
        <f t="shared" si="111"/>
        <v>2</v>
      </c>
      <c r="AD1152" t="str">
        <f t="shared" si="110"/>
        <v>e</v>
      </c>
      <c r="AE1152" t="str">
        <f t="shared" si="114"/>
        <v>Zone_Entry_Exit</v>
      </c>
      <c r="AF1152" t="str">
        <f t="shared" si="112"/>
        <v>Zone_Exit</v>
      </c>
      <c r="AG1152" t="str">
        <f t="shared" si="113"/>
        <v>ZoneExit-Pass</v>
      </c>
      <c r="AN1152" t="str">
        <f t="shared" si="115"/>
        <v>Offensive</v>
      </c>
      <c r="BD1152" s="23"/>
      <c r="BF1152" s="21"/>
    </row>
    <row r="1153" spans="1:58" x14ac:dyDescent="0.2">
      <c r="A1153">
        <v>587</v>
      </c>
      <c r="B1153">
        <v>97</v>
      </c>
      <c r="J1153">
        <v>94</v>
      </c>
      <c r="T1153">
        <v>1</v>
      </c>
      <c r="U1153" s="8">
        <f t="shared" si="111"/>
        <v>2</v>
      </c>
      <c r="AD1153" t="str">
        <f t="shared" si="110"/>
        <v>o</v>
      </c>
      <c r="AE1153" t="str">
        <f t="shared" si="114"/>
        <v>Zone_Entry_Exit</v>
      </c>
      <c r="AF1153" t="str">
        <f t="shared" si="112"/>
        <v>Zone_Exit</v>
      </c>
      <c r="AG1153" t="str">
        <f t="shared" si="113"/>
        <v>ZoneExit-Pass</v>
      </c>
      <c r="AN1153" t="str">
        <f t="shared" si="115"/>
        <v>Defensive</v>
      </c>
      <c r="BD1153" s="23"/>
      <c r="BF1153" s="21"/>
    </row>
    <row r="1154" spans="1:58" x14ac:dyDescent="0.2">
      <c r="A1154">
        <v>588</v>
      </c>
      <c r="E1154" s="5" t="s">
        <v>836</v>
      </c>
      <c r="F1154" s="5" t="s">
        <v>843</v>
      </c>
      <c r="I1154" t="s">
        <v>840</v>
      </c>
      <c r="J1154">
        <v>92</v>
      </c>
      <c r="K1154">
        <v>1</v>
      </c>
      <c r="L1154" t="s">
        <v>839</v>
      </c>
      <c r="M1154" t="s">
        <v>10</v>
      </c>
      <c r="N1154" t="s">
        <v>200</v>
      </c>
      <c r="O1154" t="s">
        <v>81</v>
      </c>
      <c r="P1154" t="s">
        <v>689</v>
      </c>
      <c r="T1154">
        <v>1</v>
      </c>
      <c r="U1154" s="8">
        <f t="shared" si="111"/>
        <v>2</v>
      </c>
      <c r="AD1154" t="str">
        <f t="shared" ref="AD1154:AD1217" si="116">IF(K1154="x","",IF(K1154=1,"e","o"))</f>
        <v>e</v>
      </c>
      <c r="AE1154" t="str">
        <f t="shared" si="114"/>
        <v>Turnover</v>
      </c>
      <c r="AF1154" t="str">
        <f t="shared" si="112"/>
        <v>Turnover_Takeaway</v>
      </c>
      <c r="AG1154" t="str">
        <f t="shared" si="113"/>
        <v>Takeaway-BattleWon</v>
      </c>
      <c r="AN1154" t="str">
        <f t="shared" si="115"/>
        <v>Defensive</v>
      </c>
      <c r="BD1154" s="23"/>
      <c r="BF1154" s="21"/>
    </row>
    <row r="1155" spans="1:58" x14ac:dyDescent="0.2">
      <c r="A1155">
        <v>588</v>
      </c>
      <c r="J1155">
        <v>14</v>
      </c>
      <c r="T1155">
        <v>1</v>
      </c>
      <c r="U1155" s="8">
        <f t="shared" ref="U1155:U1218" si="117">IF(M1155="Intermission",U1154+1,U1154)</f>
        <v>2</v>
      </c>
      <c r="AD1155" t="str">
        <f t="shared" si="116"/>
        <v>o</v>
      </c>
      <c r="AE1155" t="str">
        <f t="shared" si="114"/>
        <v>Turnover</v>
      </c>
      <c r="AF1155" t="str">
        <f t="shared" ref="AF1155:AF1218" si="118">IF(N1155&lt;&gt;"",N1155,IF($A1155=$A1154,AF1154,""))</f>
        <v>Turnover_Takeaway</v>
      </c>
      <c r="AG1155" t="str">
        <f t="shared" ref="AG1155:AG1218" si="119">IF(O1155&lt;&gt;"",O1155,IF($A1155=$A1154,AG1154,""))</f>
        <v>Takeaway-BattleWon</v>
      </c>
      <c r="AN1155" t="str">
        <f t="shared" si="115"/>
        <v>Offensive</v>
      </c>
      <c r="BD1155" s="23"/>
      <c r="BF1155" s="21"/>
    </row>
    <row r="1156" spans="1:58" x14ac:dyDescent="0.2">
      <c r="A1156">
        <v>589</v>
      </c>
      <c r="E1156" s="5" t="s">
        <v>836</v>
      </c>
      <c r="F1156" s="5" t="s">
        <v>876</v>
      </c>
      <c r="G1156" s="5" t="s">
        <v>836</v>
      </c>
      <c r="H1156" s="7" t="s">
        <v>844</v>
      </c>
      <c r="I1156" t="s">
        <v>840</v>
      </c>
      <c r="J1156">
        <v>92</v>
      </c>
      <c r="K1156">
        <v>1</v>
      </c>
      <c r="L1156" t="s">
        <v>839</v>
      </c>
      <c r="M1156" t="s">
        <v>15</v>
      </c>
      <c r="N1156" t="s">
        <v>667</v>
      </c>
      <c r="U1156" s="8">
        <f t="shared" si="117"/>
        <v>2</v>
      </c>
      <c r="AD1156" t="str">
        <f t="shared" si="116"/>
        <v>e</v>
      </c>
      <c r="AE1156" t="str">
        <f t="shared" ref="AE1156:AE1219" si="120">IF(M1156&lt;&gt;"",M1156,IF($A1156=$A1155,AE1155,""))</f>
        <v>Possession</v>
      </c>
      <c r="AF1156" t="str">
        <f t="shared" si="118"/>
        <v>Regroup</v>
      </c>
      <c r="AG1156" t="str">
        <f t="shared" si="119"/>
        <v/>
      </c>
      <c r="AN1156" t="str">
        <f t="shared" si="115"/>
        <v>Offensive</v>
      </c>
      <c r="BD1156" s="23"/>
      <c r="BF1156" s="21"/>
    </row>
    <row r="1157" spans="1:58" x14ac:dyDescent="0.2">
      <c r="A1157">
        <v>590</v>
      </c>
      <c r="E1157" s="5" t="s">
        <v>836</v>
      </c>
      <c r="F1157" s="5" t="s">
        <v>847</v>
      </c>
      <c r="I1157" t="s">
        <v>840</v>
      </c>
      <c r="J1157">
        <v>92</v>
      </c>
      <c r="K1157">
        <v>1</v>
      </c>
      <c r="L1157" t="s">
        <v>839</v>
      </c>
      <c r="M1157" t="s">
        <v>8</v>
      </c>
      <c r="N1157" t="s">
        <v>189</v>
      </c>
      <c r="O1157" t="s">
        <v>70</v>
      </c>
      <c r="P1157" t="s">
        <v>689</v>
      </c>
      <c r="U1157" s="8">
        <f t="shared" si="117"/>
        <v>2</v>
      </c>
      <c r="AD1157" t="str">
        <f t="shared" si="116"/>
        <v>e</v>
      </c>
      <c r="AE1157" t="str">
        <f t="shared" si="120"/>
        <v>Pass</v>
      </c>
      <c r="AF1157" t="str">
        <f t="shared" si="118"/>
        <v>Pass_Completed</v>
      </c>
      <c r="AG1157" t="str">
        <f t="shared" si="119"/>
        <v>Pass-Forehand</v>
      </c>
      <c r="AN1157" t="str">
        <f t="shared" si="115"/>
        <v>Offensive</v>
      </c>
      <c r="BD1157" s="23"/>
      <c r="BF1157" s="21"/>
    </row>
    <row r="1158" spans="1:58" x14ac:dyDescent="0.2">
      <c r="A1158">
        <v>590</v>
      </c>
      <c r="J1158">
        <v>94</v>
      </c>
      <c r="K1158">
        <v>1</v>
      </c>
      <c r="U1158" s="8">
        <f t="shared" si="117"/>
        <v>2</v>
      </c>
      <c r="AD1158" t="str">
        <f t="shared" si="116"/>
        <v>e</v>
      </c>
      <c r="AE1158" t="str">
        <f t="shared" si="120"/>
        <v>Pass</v>
      </c>
      <c r="AF1158" t="str">
        <f t="shared" si="118"/>
        <v>Pass_Completed</v>
      </c>
      <c r="AG1158" t="str">
        <f t="shared" si="119"/>
        <v>Pass-Forehand</v>
      </c>
      <c r="AN1158" t="str">
        <f t="shared" si="115"/>
        <v>Offensive</v>
      </c>
      <c r="BD1158" s="23"/>
      <c r="BF1158" s="21"/>
    </row>
    <row r="1159" spans="1:58" x14ac:dyDescent="0.2">
      <c r="A1159">
        <v>591</v>
      </c>
      <c r="E1159" s="5" t="s">
        <v>836</v>
      </c>
      <c r="F1159" s="5" t="s">
        <v>847</v>
      </c>
      <c r="G1159" s="5" t="s">
        <v>836</v>
      </c>
      <c r="H1159" s="7" t="s">
        <v>878</v>
      </c>
      <c r="I1159" t="s">
        <v>840</v>
      </c>
      <c r="J1159">
        <v>94</v>
      </c>
      <c r="K1159">
        <v>1</v>
      </c>
      <c r="L1159" t="s">
        <v>839</v>
      </c>
      <c r="M1159" t="s">
        <v>15</v>
      </c>
      <c r="N1159" t="s">
        <v>667</v>
      </c>
      <c r="U1159" s="8">
        <f t="shared" si="117"/>
        <v>2</v>
      </c>
      <c r="AD1159" t="str">
        <f t="shared" si="116"/>
        <v>e</v>
      </c>
      <c r="AE1159" t="str">
        <f t="shared" si="120"/>
        <v>Possession</v>
      </c>
      <c r="AF1159" t="str">
        <f t="shared" si="118"/>
        <v>Regroup</v>
      </c>
      <c r="AG1159" t="str">
        <f t="shared" si="119"/>
        <v/>
      </c>
      <c r="AN1159" t="str">
        <f t="shared" si="115"/>
        <v>Offensive</v>
      </c>
      <c r="BD1159" s="23"/>
      <c r="BF1159" s="21"/>
    </row>
    <row r="1160" spans="1:58" x14ac:dyDescent="0.2">
      <c r="A1160">
        <v>592</v>
      </c>
      <c r="B1160">
        <v>98</v>
      </c>
      <c r="E1160" s="5" t="s">
        <v>836</v>
      </c>
      <c r="F1160" s="5" t="s">
        <v>878</v>
      </c>
      <c r="I1160" t="s">
        <v>840</v>
      </c>
      <c r="J1160">
        <v>94</v>
      </c>
      <c r="K1160">
        <v>1</v>
      </c>
      <c r="L1160" t="s">
        <v>839</v>
      </c>
      <c r="M1160" t="s">
        <v>8</v>
      </c>
      <c r="N1160" t="s">
        <v>216</v>
      </c>
      <c r="O1160" t="s">
        <v>70</v>
      </c>
      <c r="P1160" t="s">
        <v>688</v>
      </c>
      <c r="U1160" s="8">
        <f t="shared" si="117"/>
        <v>2</v>
      </c>
      <c r="AD1160" t="str">
        <f t="shared" si="116"/>
        <v>e</v>
      </c>
      <c r="AE1160" t="str">
        <f t="shared" si="120"/>
        <v>Pass</v>
      </c>
      <c r="AF1160" t="str">
        <f t="shared" si="118"/>
        <v>Pass_Intercepted</v>
      </c>
      <c r="AG1160" t="str">
        <f t="shared" si="119"/>
        <v>Pass-Forehand</v>
      </c>
      <c r="AN1160" t="str">
        <f t="shared" si="115"/>
        <v>Offensive</v>
      </c>
      <c r="BD1160" s="23"/>
      <c r="BF1160" s="21"/>
    </row>
    <row r="1161" spans="1:58" x14ac:dyDescent="0.2">
      <c r="A1161">
        <v>592</v>
      </c>
      <c r="B1161">
        <v>98</v>
      </c>
      <c r="J1161">
        <v>92</v>
      </c>
      <c r="K1161">
        <v>1</v>
      </c>
      <c r="U1161" s="8">
        <f t="shared" si="117"/>
        <v>2</v>
      </c>
      <c r="AD1161" t="str">
        <f t="shared" si="116"/>
        <v>e</v>
      </c>
      <c r="AE1161" t="str">
        <f t="shared" si="120"/>
        <v>Pass</v>
      </c>
      <c r="AF1161" t="str">
        <f t="shared" si="118"/>
        <v>Pass_Intercepted</v>
      </c>
      <c r="AG1161" t="str">
        <f t="shared" si="119"/>
        <v>Pass-Forehand</v>
      </c>
      <c r="AN1161" t="str">
        <f t="shared" ref="AN1161:AN1224" si="121">IF(AND(AD1161="e",OR(AE1161="Save",AF1161="Turnover_Takeaway",AF1161="Play_Defensive")),"Defensive",IF(AND(AD1161="o",OR(AE1161="Save",AF1161="Turnover_Takeaway",AF1161="Play_Defensive")),"Offensive",IF(OR(AE1161="Deadice",AE1161="Stoppage",AE1161="Intermission"),"",IF(AD1161="e","Offensive",IF(AD1161="o","Defensive","")))))</f>
        <v>Offensive</v>
      </c>
      <c r="BD1161" s="23"/>
      <c r="BF1161" s="21"/>
    </row>
    <row r="1162" spans="1:58" x14ac:dyDescent="0.2">
      <c r="A1162">
        <v>592</v>
      </c>
      <c r="B1162">
        <v>98</v>
      </c>
      <c r="J1162">
        <v>70</v>
      </c>
      <c r="Q1162" t="s">
        <v>700</v>
      </c>
      <c r="U1162" s="8">
        <f t="shared" si="117"/>
        <v>2</v>
      </c>
      <c r="AD1162" t="str">
        <f t="shared" si="116"/>
        <v>o</v>
      </c>
      <c r="AE1162" t="str">
        <f t="shared" si="120"/>
        <v>Pass</v>
      </c>
      <c r="AF1162" t="str">
        <f t="shared" si="118"/>
        <v>Pass_Intercepted</v>
      </c>
      <c r="AG1162" t="str">
        <f t="shared" si="119"/>
        <v>Pass-Forehand</v>
      </c>
      <c r="AN1162" t="str">
        <f t="shared" si="121"/>
        <v>Defensive</v>
      </c>
      <c r="BD1162" s="23"/>
      <c r="BF1162" s="21"/>
    </row>
    <row r="1163" spans="1:58" x14ac:dyDescent="0.2">
      <c r="A1163">
        <v>593</v>
      </c>
      <c r="B1163">
        <v>98</v>
      </c>
      <c r="E1163" s="5" t="s">
        <v>836</v>
      </c>
      <c r="F1163" s="5" t="s">
        <v>878</v>
      </c>
      <c r="I1163" t="s">
        <v>840</v>
      </c>
      <c r="J1163">
        <v>94</v>
      </c>
      <c r="K1163">
        <v>1</v>
      </c>
      <c r="L1163" t="s">
        <v>839</v>
      </c>
      <c r="M1163" t="s">
        <v>10</v>
      </c>
      <c r="N1163" t="s">
        <v>190</v>
      </c>
      <c r="O1163" t="s">
        <v>75</v>
      </c>
      <c r="P1163" t="s">
        <v>688</v>
      </c>
      <c r="U1163" s="8">
        <f t="shared" si="117"/>
        <v>2</v>
      </c>
      <c r="AD1163" t="str">
        <f t="shared" si="116"/>
        <v>e</v>
      </c>
      <c r="AE1163" t="str">
        <f t="shared" si="120"/>
        <v>Turnover</v>
      </c>
      <c r="AF1163" t="str">
        <f t="shared" si="118"/>
        <v>Turnover_Giveaway</v>
      </c>
      <c r="AG1163" t="str">
        <f t="shared" si="119"/>
        <v>Giveaway-PassIntercepted</v>
      </c>
      <c r="AN1163" t="str">
        <f t="shared" si="121"/>
        <v>Offensive</v>
      </c>
      <c r="BD1163" s="23"/>
      <c r="BF1163" s="21"/>
    </row>
    <row r="1164" spans="1:58" x14ac:dyDescent="0.2">
      <c r="A1164">
        <v>593</v>
      </c>
      <c r="B1164">
        <v>98</v>
      </c>
      <c r="J1164">
        <v>92</v>
      </c>
      <c r="K1164">
        <v>1</v>
      </c>
      <c r="U1164" s="8">
        <f t="shared" si="117"/>
        <v>2</v>
      </c>
      <c r="AD1164" t="str">
        <f t="shared" si="116"/>
        <v>e</v>
      </c>
      <c r="AE1164" t="str">
        <f t="shared" si="120"/>
        <v>Turnover</v>
      </c>
      <c r="AF1164" t="str">
        <f t="shared" si="118"/>
        <v>Turnover_Giveaway</v>
      </c>
      <c r="AG1164" t="str">
        <f t="shared" si="119"/>
        <v>Giveaway-PassIntercepted</v>
      </c>
      <c r="AN1164" t="str">
        <f t="shared" si="121"/>
        <v>Offensive</v>
      </c>
      <c r="BD1164" s="23"/>
      <c r="BF1164" s="21"/>
    </row>
    <row r="1165" spans="1:58" x14ac:dyDescent="0.2">
      <c r="A1165">
        <v>593</v>
      </c>
      <c r="B1165">
        <v>98</v>
      </c>
      <c r="J1165">
        <v>70</v>
      </c>
      <c r="Q1165" t="s">
        <v>700</v>
      </c>
      <c r="U1165" s="8">
        <f t="shared" si="117"/>
        <v>2</v>
      </c>
      <c r="AD1165" t="str">
        <f t="shared" si="116"/>
        <v>o</v>
      </c>
      <c r="AE1165" t="str">
        <f t="shared" si="120"/>
        <v>Turnover</v>
      </c>
      <c r="AF1165" t="str">
        <f t="shared" si="118"/>
        <v>Turnover_Giveaway</v>
      </c>
      <c r="AG1165" t="str">
        <f t="shared" si="119"/>
        <v>Giveaway-PassIntercepted</v>
      </c>
      <c r="AN1165" t="str">
        <f t="shared" si="121"/>
        <v>Defensive</v>
      </c>
      <c r="BD1165" s="23"/>
      <c r="BF1165" s="21"/>
    </row>
    <row r="1166" spans="1:58" x14ac:dyDescent="0.2">
      <c r="A1166">
        <v>594</v>
      </c>
      <c r="E1166" s="5" t="s">
        <v>836</v>
      </c>
      <c r="F1166" s="5" t="s">
        <v>897</v>
      </c>
      <c r="G1166" s="5" t="s">
        <v>836</v>
      </c>
      <c r="H1166" s="7" t="s">
        <v>881</v>
      </c>
      <c r="I1166" t="s">
        <v>835</v>
      </c>
      <c r="J1166">
        <v>70</v>
      </c>
      <c r="K1166">
        <v>1</v>
      </c>
      <c r="L1166" t="s">
        <v>401</v>
      </c>
      <c r="M1166" t="s">
        <v>257</v>
      </c>
      <c r="N1166" t="s">
        <v>191</v>
      </c>
      <c r="O1166" t="s">
        <v>87</v>
      </c>
      <c r="P1166" t="s">
        <v>688</v>
      </c>
      <c r="Q1166" t="s">
        <v>661</v>
      </c>
      <c r="U1166" s="8">
        <f t="shared" si="117"/>
        <v>2</v>
      </c>
      <c r="AD1166" t="str">
        <f t="shared" si="116"/>
        <v>e</v>
      </c>
      <c r="AE1166" t="str">
        <f t="shared" si="120"/>
        <v>Zone_Entry_Exit</v>
      </c>
      <c r="AF1166" t="str">
        <f t="shared" si="118"/>
        <v>Zone_Entry</v>
      </c>
      <c r="AG1166" t="str">
        <f t="shared" si="119"/>
        <v>ZoneEntry-Rush</v>
      </c>
      <c r="AN1166" t="str">
        <f t="shared" si="121"/>
        <v>Offensive</v>
      </c>
      <c r="BD1166" s="23"/>
      <c r="BF1166" s="21"/>
    </row>
    <row r="1167" spans="1:58" x14ac:dyDescent="0.2">
      <c r="A1167">
        <v>594</v>
      </c>
      <c r="J1167">
        <v>83</v>
      </c>
      <c r="U1167" s="8">
        <f t="shared" si="117"/>
        <v>2</v>
      </c>
      <c r="AD1167" t="str">
        <f t="shared" si="116"/>
        <v>o</v>
      </c>
      <c r="AE1167" t="str">
        <f t="shared" si="120"/>
        <v>Zone_Entry_Exit</v>
      </c>
      <c r="AF1167" t="str">
        <f t="shared" si="118"/>
        <v>Zone_Entry</v>
      </c>
      <c r="AG1167" t="str">
        <f t="shared" si="119"/>
        <v>ZoneEntry-Rush</v>
      </c>
      <c r="AN1167" t="str">
        <f t="shared" si="121"/>
        <v>Defensive</v>
      </c>
      <c r="BD1167" s="23"/>
      <c r="BF1167" s="21"/>
    </row>
    <row r="1168" spans="1:58" x14ac:dyDescent="0.2">
      <c r="A1168">
        <v>595</v>
      </c>
      <c r="E1168" s="5" t="s">
        <v>836</v>
      </c>
      <c r="F1168" s="5" t="s">
        <v>881</v>
      </c>
      <c r="I1168" t="s">
        <v>835</v>
      </c>
      <c r="J1168">
        <v>70</v>
      </c>
      <c r="K1168">
        <v>1</v>
      </c>
      <c r="L1168" t="s">
        <v>401</v>
      </c>
      <c r="M1168" t="s">
        <v>10</v>
      </c>
      <c r="N1168" t="s">
        <v>190</v>
      </c>
      <c r="O1168" t="s">
        <v>73</v>
      </c>
      <c r="P1168" t="s">
        <v>688</v>
      </c>
      <c r="T1168">
        <v>1</v>
      </c>
      <c r="U1168" s="8">
        <f t="shared" si="117"/>
        <v>2</v>
      </c>
      <c r="AD1168" t="str">
        <f t="shared" si="116"/>
        <v>e</v>
      </c>
      <c r="AE1168" t="str">
        <f t="shared" si="120"/>
        <v>Turnover</v>
      </c>
      <c r="AF1168" t="str">
        <f t="shared" si="118"/>
        <v>Turnover_Giveaway</v>
      </c>
      <c r="AG1168" t="str">
        <f t="shared" si="119"/>
        <v>Giveaway-Misplayed</v>
      </c>
      <c r="AN1168" t="str">
        <f t="shared" si="121"/>
        <v>Offensive</v>
      </c>
      <c r="BD1168" s="23"/>
      <c r="BF1168" s="21"/>
    </row>
    <row r="1169" spans="1:58" x14ac:dyDescent="0.2">
      <c r="A1169">
        <v>595</v>
      </c>
      <c r="J1169">
        <v>83</v>
      </c>
      <c r="Q1169" t="s">
        <v>696</v>
      </c>
      <c r="U1169" s="8">
        <f t="shared" si="117"/>
        <v>2</v>
      </c>
      <c r="AD1169" t="str">
        <f t="shared" si="116"/>
        <v>o</v>
      </c>
      <c r="AE1169" t="str">
        <f t="shared" si="120"/>
        <v>Turnover</v>
      </c>
      <c r="AF1169" t="str">
        <f t="shared" si="118"/>
        <v>Turnover_Giveaway</v>
      </c>
      <c r="AG1169" t="str">
        <f t="shared" si="119"/>
        <v>Giveaway-Misplayed</v>
      </c>
      <c r="AN1169" t="str">
        <f t="shared" si="121"/>
        <v>Defensive</v>
      </c>
      <c r="BD1169" s="23"/>
      <c r="BF1169" s="21"/>
    </row>
    <row r="1170" spans="1:58" x14ac:dyDescent="0.2">
      <c r="A1170">
        <v>595</v>
      </c>
      <c r="J1170">
        <v>94</v>
      </c>
      <c r="Q1170" t="s">
        <v>696</v>
      </c>
      <c r="T1170">
        <v>1</v>
      </c>
      <c r="U1170" s="8">
        <f t="shared" si="117"/>
        <v>2</v>
      </c>
      <c r="AD1170" t="str">
        <f t="shared" si="116"/>
        <v>o</v>
      </c>
      <c r="AE1170" t="str">
        <f t="shared" si="120"/>
        <v>Turnover</v>
      </c>
      <c r="AF1170" t="str">
        <f t="shared" si="118"/>
        <v>Turnover_Giveaway</v>
      </c>
      <c r="AG1170" t="str">
        <f t="shared" si="119"/>
        <v>Giveaway-Misplayed</v>
      </c>
      <c r="AN1170" t="str">
        <f t="shared" si="121"/>
        <v>Defensive</v>
      </c>
      <c r="BD1170" s="23"/>
      <c r="BF1170" s="21"/>
    </row>
    <row r="1171" spans="1:58" x14ac:dyDescent="0.2">
      <c r="A1171">
        <v>596</v>
      </c>
      <c r="E1171" s="5" t="s">
        <v>836</v>
      </c>
      <c r="F1171" s="5" t="s">
        <v>851</v>
      </c>
      <c r="I1171" t="s">
        <v>840</v>
      </c>
      <c r="J1171">
        <v>94</v>
      </c>
      <c r="K1171">
        <v>1</v>
      </c>
      <c r="L1171" t="s">
        <v>845</v>
      </c>
      <c r="M1171" t="s">
        <v>15</v>
      </c>
      <c r="N1171" t="s">
        <v>680</v>
      </c>
      <c r="P1171" t="s">
        <v>688</v>
      </c>
      <c r="Q1171" t="s">
        <v>694</v>
      </c>
      <c r="S1171" t="s">
        <v>688</v>
      </c>
      <c r="T1171">
        <v>1</v>
      </c>
      <c r="U1171" s="8">
        <f t="shared" si="117"/>
        <v>2</v>
      </c>
      <c r="AD1171" t="str">
        <f t="shared" si="116"/>
        <v>e</v>
      </c>
      <c r="AE1171" t="str">
        <f t="shared" si="120"/>
        <v>Possession</v>
      </c>
      <c r="AF1171" t="str">
        <f t="shared" si="118"/>
        <v>PuckRetrieval</v>
      </c>
      <c r="AG1171" t="str">
        <f t="shared" si="119"/>
        <v/>
      </c>
      <c r="AN1171" t="str">
        <f t="shared" si="121"/>
        <v>Offensive</v>
      </c>
      <c r="BD1171" s="23"/>
      <c r="BF1171" s="21"/>
    </row>
    <row r="1172" spans="1:58" x14ac:dyDescent="0.2">
      <c r="A1172">
        <v>596</v>
      </c>
      <c r="J1172">
        <v>70</v>
      </c>
      <c r="T1172">
        <v>1</v>
      </c>
      <c r="U1172" s="8">
        <f t="shared" si="117"/>
        <v>2</v>
      </c>
      <c r="AD1172" t="str">
        <f t="shared" si="116"/>
        <v>o</v>
      </c>
      <c r="AE1172" t="str">
        <f t="shared" si="120"/>
        <v>Possession</v>
      </c>
      <c r="AF1172" t="str">
        <f t="shared" si="118"/>
        <v>PuckRetrieval</v>
      </c>
      <c r="AG1172" t="str">
        <f t="shared" si="119"/>
        <v/>
      </c>
      <c r="AN1172" t="str">
        <f t="shared" si="121"/>
        <v>Defensive</v>
      </c>
      <c r="BD1172" s="23"/>
      <c r="BF1172" s="21"/>
    </row>
    <row r="1173" spans="1:58" x14ac:dyDescent="0.2">
      <c r="A1173">
        <v>597</v>
      </c>
      <c r="E1173" s="5" t="s">
        <v>836</v>
      </c>
      <c r="F1173" s="5" t="s">
        <v>851</v>
      </c>
      <c r="I1173" t="s">
        <v>840</v>
      </c>
      <c r="J1173">
        <v>94</v>
      </c>
      <c r="K1173">
        <v>1</v>
      </c>
      <c r="L1173" t="s">
        <v>845</v>
      </c>
      <c r="M1173" t="s">
        <v>10</v>
      </c>
      <c r="N1173" t="s">
        <v>190</v>
      </c>
      <c r="O1173" t="s">
        <v>398</v>
      </c>
      <c r="P1173" t="s">
        <v>688</v>
      </c>
      <c r="Q1173" t="s">
        <v>708</v>
      </c>
      <c r="S1173" t="s">
        <v>688</v>
      </c>
      <c r="T1173">
        <v>1</v>
      </c>
      <c r="U1173" s="8">
        <f t="shared" si="117"/>
        <v>2</v>
      </c>
      <c r="AD1173" t="str">
        <f t="shared" si="116"/>
        <v>e</v>
      </c>
      <c r="AE1173" t="str">
        <f t="shared" si="120"/>
        <v>Turnover</v>
      </c>
      <c r="AF1173" t="str">
        <f t="shared" si="118"/>
        <v>Turnover_Giveaway</v>
      </c>
      <c r="AG1173" t="str">
        <f t="shared" si="119"/>
        <v>Giveaway-AttemptedZoneClear/Dump</v>
      </c>
      <c r="AN1173" t="str">
        <f t="shared" si="121"/>
        <v>Offensive</v>
      </c>
      <c r="BD1173" s="23"/>
      <c r="BF1173" s="21"/>
    </row>
    <row r="1174" spans="1:58" x14ac:dyDescent="0.2">
      <c r="A1174">
        <v>597</v>
      </c>
      <c r="J1174">
        <v>70</v>
      </c>
      <c r="T1174">
        <v>1</v>
      </c>
      <c r="U1174" s="8">
        <f t="shared" si="117"/>
        <v>2</v>
      </c>
      <c r="AD1174" t="str">
        <f t="shared" si="116"/>
        <v>o</v>
      </c>
      <c r="AE1174" t="str">
        <f t="shared" si="120"/>
        <v>Turnover</v>
      </c>
      <c r="AF1174" t="str">
        <f t="shared" si="118"/>
        <v>Turnover_Giveaway</v>
      </c>
      <c r="AG1174" t="str">
        <f t="shared" si="119"/>
        <v>Giveaway-AttemptedZoneClear/Dump</v>
      </c>
      <c r="AN1174" t="str">
        <f t="shared" si="121"/>
        <v>Defensive</v>
      </c>
      <c r="BD1174" s="23"/>
      <c r="BF1174" s="21"/>
    </row>
    <row r="1175" spans="1:58" x14ac:dyDescent="0.2">
      <c r="A1175">
        <v>598</v>
      </c>
      <c r="E1175" s="5" t="s">
        <v>836</v>
      </c>
      <c r="F1175" s="5" t="s">
        <v>855</v>
      </c>
      <c r="G1175" s="5" t="s">
        <v>836</v>
      </c>
      <c r="H1175" s="7" t="s">
        <v>882</v>
      </c>
      <c r="I1175" t="s">
        <v>835</v>
      </c>
      <c r="J1175">
        <v>75</v>
      </c>
      <c r="K1175">
        <v>1</v>
      </c>
      <c r="L1175" t="s">
        <v>401</v>
      </c>
      <c r="M1175" t="s">
        <v>15</v>
      </c>
      <c r="N1175" t="s">
        <v>680</v>
      </c>
      <c r="P1175" t="s">
        <v>689</v>
      </c>
      <c r="Q1175" t="s">
        <v>694</v>
      </c>
      <c r="R1175" t="s">
        <v>917</v>
      </c>
      <c r="S1175" t="s">
        <v>689</v>
      </c>
      <c r="U1175" s="8">
        <f t="shared" si="117"/>
        <v>2</v>
      </c>
      <c r="AD1175" t="str">
        <f t="shared" si="116"/>
        <v>e</v>
      </c>
      <c r="AE1175" t="str">
        <f t="shared" si="120"/>
        <v>Possession</v>
      </c>
      <c r="AF1175" t="str">
        <f t="shared" si="118"/>
        <v>PuckRetrieval</v>
      </c>
      <c r="AG1175" t="str">
        <f t="shared" si="119"/>
        <v/>
      </c>
      <c r="AN1175" t="str">
        <f t="shared" si="121"/>
        <v>Offensive</v>
      </c>
      <c r="BD1175" s="23"/>
      <c r="BF1175" s="21"/>
    </row>
    <row r="1176" spans="1:58" x14ac:dyDescent="0.2">
      <c r="A1176">
        <v>599</v>
      </c>
      <c r="E1176" s="5" t="s">
        <v>836</v>
      </c>
      <c r="F1176" s="5" t="s">
        <v>882</v>
      </c>
      <c r="I1176" t="s">
        <v>835</v>
      </c>
      <c r="J1176">
        <v>75</v>
      </c>
      <c r="K1176">
        <v>1</v>
      </c>
      <c r="L1176" t="s">
        <v>401</v>
      </c>
      <c r="M1176" t="s">
        <v>8</v>
      </c>
      <c r="N1176" t="s">
        <v>189</v>
      </c>
      <c r="O1176" t="s">
        <v>70</v>
      </c>
      <c r="P1176" t="s">
        <v>689</v>
      </c>
      <c r="T1176">
        <v>1</v>
      </c>
      <c r="U1176" s="8">
        <f t="shared" si="117"/>
        <v>2</v>
      </c>
      <c r="AD1176" t="str">
        <f t="shared" si="116"/>
        <v>e</v>
      </c>
      <c r="AE1176" t="str">
        <f t="shared" si="120"/>
        <v>Pass</v>
      </c>
      <c r="AF1176" t="str">
        <f t="shared" si="118"/>
        <v>Pass_Completed</v>
      </c>
      <c r="AG1176" t="str">
        <f t="shared" si="119"/>
        <v>Pass-Forehand</v>
      </c>
      <c r="AN1176" t="str">
        <f t="shared" si="121"/>
        <v>Offensive</v>
      </c>
      <c r="BD1176" s="23"/>
      <c r="BF1176" s="21"/>
    </row>
    <row r="1177" spans="1:58" x14ac:dyDescent="0.2">
      <c r="A1177">
        <v>599</v>
      </c>
      <c r="J1177">
        <v>70</v>
      </c>
      <c r="K1177">
        <v>1</v>
      </c>
      <c r="U1177" s="8">
        <f t="shared" si="117"/>
        <v>2</v>
      </c>
      <c r="AD1177" t="str">
        <f t="shared" si="116"/>
        <v>e</v>
      </c>
      <c r="AE1177" t="str">
        <f t="shared" si="120"/>
        <v>Pass</v>
      </c>
      <c r="AF1177" t="str">
        <f t="shared" si="118"/>
        <v>Pass_Completed</v>
      </c>
      <c r="AG1177" t="str">
        <f t="shared" si="119"/>
        <v>Pass-Forehand</v>
      </c>
      <c r="AN1177" t="str">
        <f t="shared" si="121"/>
        <v>Offensive</v>
      </c>
      <c r="BD1177" s="23"/>
      <c r="BF1177" s="21"/>
    </row>
    <row r="1178" spans="1:58" x14ac:dyDescent="0.2">
      <c r="A1178">
        <v>599</v>
      </c>
      <c r="J1178">
        <v>46</v>
      </c>
      <c r="T1178">
        <v>1</v>
      </c>
      <c r="U1178" s="8">
        <f t="shared" si="117"/>
        <v>2</v>
      </c>
      <c r="AD1178" t="str">
        <f t="shared" si="116"/>
        <v>o</v>
      </c>
      <c r="AE1178" t="str">
        <f t="shared" si="120"/>
        <v>Pass</v>
      </c>
      <c r="AF1178" t="str">
        <f t="shared" si="118"/>
        <v>Pass_Completed</v>
      </c>
      <c r="AG1178" t="str">
        <f t="shared" si="119"/>
        <v>Pass-Forehand</v>
      </c>
      <c r="AN1178" t="str">
        <f t="shared" si="121"/>
        <v>Defensive</v>
      </c>
      <c r="BD1178" s="23"/>
      <c r="BF1178" s="21"/>
    </row>
    <row r="1179" spans="1:58" x14ac:dyDescent="0.2">
      <c r="A1179">
        <v>600</v>
      </c>
      <c r="E1179" s="5" t="s">
        <v>836</v>
      </c>
      <c r="F1179" s="5" t="s">
        <v>882</v>
      </c>
      <c r="G1179" s="5" t="s">
        <v>836</v>
      </c>
      <c r="H1179" s="7" t="s">
        <v>854</v>
      </c>
      <c r="I1179" t="s">
        <v>835</v>
      </c>
      <c r="J1179">
        <v>70</v>
      </c>
      <c r="K1179">
        <v>1</v>
      </c>
      <c r="L1179" t="s">
        <v>401</v>
      </c>
      <c r="M1179" t="s">
        <v>15</v>
      </c>
      <c r="Q1179" t="s">
        <v>661</v>
      </c>
      <c r="T1179">
        <v>1</v>
      </c>
      <c r="U1179" s="8">
        <f t="shared" si="117"/>
        <v>2</v>
      </c>
      <c r="AD1179" t="str">
        <f t="shared" si="116"/>
        <v>e</v>
      </c>
      <c r="AE1179" t="str">
        <f t="shared" si="120"/>
        <v>Possession</v>
      </c>
      <c r="AF1179" t="str">
        <f t="shared" si="118"/>
        <v/>
      </c>
      <c r="AG1179" t="str">
        <f t="shared" si="119"/>
        <v/>
      </c>
      <c r="AN1179" t="str">
        <f t="shared" si="121"/>
        <v>Offensive</v>
      </c>
      <c r="BD1179" s="23"/>
      <c r="BF1179" s="21"/>
    </row>
    <row r="1180" spans="1:58" x14ac:dyDescent="0.2">
      <c r="A1180">
        <v>600</v>
      </c>
      <c r="J1180">
        <v>94</v>
      </c>
      <c r="Q1180" t="s">
        <v>696</v>
      </c>
      <c r="T1180">
        <v>1</v>
      </c>
      <c r="U1180" s="8">
        <f t="shared" si="117"/>
        <v>2</v>
      </c>
      <c r="AD1180" t="str">
        <f t="shared" si="116"/>
        <v>o</v>
      </c>
      <c r="AE1180" t="str">
        <f t="shared" si="120"/>
        <v>Possession</v>
      </c>
      <c r="AF1180" t="str">
        <f t="shared" si="118"/>
        <v/>
      </c>
      <c r="AG1180" t="str">
        <f t="shared" si="119"/>
        <v/>
      </c>
      <c r="AN1180" t="str">
        <f t="shared" si="121"/>
        <v>Defensive</v>
      </c>
      <c r="BD1180" s="23"/>
      <c r="BF1180" s="21"/>
    </row>
    <row r="1181" spans="1:58" x14ac:dyDescent="0.2">
      <c r="A1181">
        <v>601</v>
      </c>
      <c r="E1181" s="5" t="s">
        <v>836</v>
      </c>
      <c r="F1181" s="5" t="s">
        <v>854</v>
      </c>
      <c r="I1181" t="s">
        <v>835</v>
      </c>
      <c r="J1181">
        <v>70</v>
      </c>
      <c r="K1181">
        <v>1</v>
      </c>
      <c r="L1181" t="s">
        <v>401</v>
      </c>
      <c r="M1181" t="s">
        <v>7</v>
      </c>
      <c r="N1181" t="s">
        <v>198</v>
      </c>
      <c r="O1181" t="s">
        <v>53</v>
      </c>
      <c r="P1181" t="s">
        <v>688</v>
      </c>
      <c r="T1181">
        <v>1</v>
      </c>
      <c r="U1181" s="8">
        <f t="shared" si="117"/>
        <v>2</v>
      </c>
      <c r="AD1181" t="str">
        <f t="shared" si="116"/>
        <v>e</v>
      </c>
      <c r="AE1181" t="str">
        <f t="shared" si="120"/>
        <v>Shot</v>
      </c>
      <c r="AF1181" t="str">
        <f t="shared" si="118"/>
        <v>Shot_Missed</v>
      </c>
      <c r="AG1181" t="str">
        <f t="shared" si="119"/>
        <v>Shot-Wrist</v>
      </c>
      <c r="AN1181" t="str">
        <f t="shared" si="121"/>
        <v>Offensive</v>
      </c>
      <c r="BD1181" s="23"/>
      <c r="BF1181" s="21"/>
    </row>
    <row r="1182" spans="1:58" x14ac:dyDescent="0.2">
      <c r="A1182">
        <v>601</v>
      </c>
      <c r="J1182">
        <v>94</v>
      </c>
      <c r="Q1182" t="s">
        <v>696</v>
      </c>
      <c r="T1182">
        <v>1</v>
      </c>
      <c r="U1182" s="8">
        <f t="shared" si="117"/>
        <v>2</v>
      </c>
      <c r="AD1182" t="str">
        <f t="shared" si="116"/>
        <v>o</v>
      </c>
      <c r="AE1182" t="str">
        <f t="shared" si="120"/>
        <v>Shot</v>
      </c>
      <c r="AF1182" t="str">
        <f t="shared" si="118"/>
        <v>Shot_Missed</v>
      </c>
      <c r="AG1182" t="str">
        <f t="shared" si="119"/>
        <v>Shot-Wrist</v>
      </c>
      <c r="AN1182" t="str">
        <f t="shared" si="121"/>
        <v>Defensive</v>
      </c>
      <c r="BD1182" s="23"/>
      <c r="BF1182" s="21"/>
    </row>
    <row r="1183" spans="1:58" x14ac:dyDescent="0.2">
      <c r="A1183">
        <v>602</v>
      </c>
      <c r="E1183" s="5" t="s">
        <v>836</v>
      </c>
      <c r="F1183" s="5" t="s">
        <v>857</v>
      </c>
      <c r="I1183" t="s">
        <v>835</v>
      </c>
      <c r="J1183">
        <v>75</v>
      </c>
      <c r="K1183">
        <v>1</v>
      </c>
      <c r="L1183" t="s">
        <v>401</v>
      </c>
      <c r="M1183" t="s">
        <v>15</v>
      </c>
      <c r="N1183" t="s">
        <v>681</v>
      </c>
      <c r="P1183" t="s">
        <v>688</v>
      </c>
      <c r="Q1183" t="s">
        <v>705</v>
      </c>
      <c r="S1183" t="s">
        <v>688</v>
      </c>
      <c r="T1183">
        <v>1</v>
      </c>
      <c r="U1183" s="8">
        <f t="shared" si="117"/>
        <v>2</v>
      </c>
      <c r="AD1183" t="str">
        <f t="shared" si="116"/>
        <v>e</v>
      </c>
      <c r="AE1183" t="str">
        <f t="shared" si="120"/>
        <v>Possession</v>
      </c>
      <c r="AF1183" t="str">
        <f t="shared" si="118"/>
        <v>PuckRecovery</v>
      </c>
      <c r="AG1183" t="str">
        <f t="shared" si="119"/>
        <v/>
      </c>
      <c r="AN1183" t="str">
        <f t="shared" si="121"/>
        <v>Offensive</v>
      </c>
      <c r="BD1183" s="23"/>
      <c r="BF1183" s="21"/>
    </row>
    <row r="1184" spans="1:58" x14ac:dyDescent="0.2">
      <c r="A1184">
        <v>602</v>
      </c>
      <c r="J1184">
        <v>46</v>
      </c>
      <c r="Q1184" t="s">
        <v>729</v>
      </c>
      <c r="S1184" t="s">
        <v>688</v>
      </c>
      <c r="T1184">
        <v>1</v>
      </c>
      <c r="U1184" s="8">
        <f t="shared" si="117"/>
        <v>2</v>
      </c>
      <c r="AD1184" t="str">
        <f t="shared" si="116"/>
        <v>o</v>
      </c>
      <c r="AE1184" t="str">
        <f t="shared" si="120"/>
        <v>Possession</v>
      </c>
      <c r="AF1184" t="str">
        <f t="shared" si="118"/>
        <v>PuckRecovery</v>
      </c>
      <c r="AG1184" t="str">
        <f t="shared" si="119"/>
        <v/>
      </c>
      <c r="AN1184" t="str">
        <f t="shared" si="121"/>
        <v>Defensive</v>
      </c>
      <c r="BD1184" s="23"/>
      <c r="BF1184" s="21"/>
    </row>
    <row r="1185" spans="1:58" x14ac:dyDescent="0.2">
      <c r="A1185">
        <v>603</v>
      </c>
      <c r="E1185" s="5" t="s">
        <v>836</v>
      </c>
      <c r="F1185" s="5" t="s">
        <v>883</v>
      </c>
      <c r="I1185" t="s">
        <v>835</v>
      </c>
      <c r="J1185">
        <v>75</v>
      </c>
      <c r="K1185">
        <v>1</v>
      </c>
      <c r="L1185" t="s">
        <v>401</v>
      </c>
      <c r="M1185" t="s">
        <v>8</v>
      </c>
      <c r="N1185" t="s">
        <v>199</v>
      </c>
      <c r="O1185" t="s">
        <v>68</v>
      </c>
      <c r="P1185" t="s">
        <v>688</v>
      </c>
      <c r="Q1185" t="s">
        <v>749</v>
      </c>
      <c r="S1185" t="s">
        <v>688</v>
      </c>
      <c r="T1185">
        <v>1</v>
      </c>
      <c r="U1185" s="8">
        <f t="shared" si="117"/>
        <v>2</v>
      </c>
      <c r="AD1185" t="str">
        <f t="shared" si="116"/>
        <v>e</v>
      </c>
      <c r="AE1185" t="str">
        <f t="shared" si="120"/>
        <v>Pass</v>
      </c>
      <c r="AF1185" t="str">
        <f t="shared" si="118"/>
        <v>Pass_Missed</v>
      </c>
      <c r="AG1185" t="str">
        <f t="shared" si="119"/>
        <v>Pass-Rim/Wrap</v>
      </c>
      <c r="AN1185" t="str">
        <f t="shared" si="121"/>
        <v>Offensive</v>
      </c>
      <c r="BD1185" s="23"/>
      <c r="BF1185" s="21"/>
    </row>
    <row r="1186" spans="1:58" x14ac:dyDescent="0.2">
      <c r="A1186">
        <v>603</v>
      </c>
      <c r="J1186">
        <v>70</v>
      </c>
      <c r="K1186">
        <v>1</v>
      </c>
      <c r="T1186">
        <v>2</v>
      </c>
      <c r="U1186" s="8">
        <f t="shared" si="117"/>
        <v>2</v>
      </c>
      <c r="AD1186" t="str">
        <f t="shared" si="116"/>
        <v>e</v>
      </c>
      <c r="AE1186" t="str">
        <f t="shared" si="120"/>
        <v>Pass</v>
      </c>
      <c r="AF1186" t="str">
        <f t="shared" si="118"/>
        <v>Pass_Missed</v>
      </c>
      <c r="AG1186" t="str">
        <f t="shared" si="119"/>
        <v>Pass-Rim/Wrap</v>
      </c>
      <c r="AN1186" t="str">
        <f t="shared" si="121"/>
        <v>Offensive</v>
      </c>
      <c r="BD1186" s="23"/>
      <c r="BF1186" s="21"/>
    </row>
    <row r="1187" spans="1:58" x14ac:dyDescent="0.2">
      <c r="A1187">
        <v>603</v>
      </c>
      <c r="J1187">
        <v>46</v>
      </c>
      <c r="T1187">
        <v>1</v>
      </c>
      <c r="U1187" s="8">
        <f t="shared" si="117"/>
        <v>2</v>
      </c>
      <c r="AD1187" t="str">
        <f t="shared" si="116"/>
        <v>o</v>
      </c>
      <c r="AE1187" t="str">
        <f t="shared" si="120"/>
        <v>Pass</v>
      </c>
      <c r="AF1187" t="str">
        <f t="shared" si="118"/>
        <v>Pass_Missed</v>
      </c>
      <c r="AG1187" t="str">
        <f t="shared" si="119"/>
        <v>Pass-Rim/Wrap</v>
      </c>
      <c r="AN1187" t="str">
        <f t="shared" si="121"/>
        <v>Defensive</v>
      </c>
      <c r="BD1187" s="23"/>
      <c r="BF1187" s="21"/>
    </row>
    <row r="1188" spans="1:58" x14ac:dyDescent="0.2">
      <c r="A1188">
        <v>603</v>
      </c>
      <c r="J1188">
        <v>9</v>
      </c>
      <c r="T1188">
        <v>2</v>
      </c>
      <c r="U1188" s="8">
        <f t="shared" si="117"/>
        <v>2</v>
      </c>
      <c r="AD1188" t="str">
        <f t="shared" si="116"/>
        <v>o</v>
      </c>
      <c r="AE1188" t="str">
        <f t="shared" si="120"/>
        <v>Pass</v>
      </c>
      <c r="AF1188" t="str">
        <f t="shared" si="118"/>
        <v>Pass_Missed</v>
      </c>
      <c r="AG1188" t="str">
        <f t="shared" si="119"/>
        <v>Pass-Rim/Wrap</v>
      </c>
      <c r="AN1188" t="str">
        <f t="shared" si="121"/>
        <v>Defensive</v>
      </c>
      <c r="BD1188" s="23"/>
      <c r="BF1188" s="21"/>
    </row>
    <row r="1189" spans="1:58" x14ac:dyDescent="0.2">
      <c r="A1189">
        <v>604</v>
      </c>
      <c r="B1189">
        <v>99</v>
      </c>
      <c r="E1189" s="5" t="s">
        <v>836</v>
      </c>
      <c r="F1189" s="5" t="s">
        <v>860</v>
      </c>
      <c r="I1189" t="s">
        <v>835</v>
      </c>
      <c r="J1189">
        <v>91</v>
      </c>
      <c r="K1189">
        <v>1</v>
      </c>
      <c r="L1189" t="s">
        <v>401</v>
      </c>
      <c r="M1189" t="s">
        <v>15</v>
      </c>
      <c r="N1189" t="s">
        <v>681</v>
      </c>
      <c r="P1189" t="s">
        <v>688</v>
      </c>
      <c r="Q1189" t="s">
        <v>714</v>
      </c>
      <c r="S1189" t="s">
        <v>688</v>
      </c>
      <c r="T1189">
        <v>1</v>
      </c>
      <c r="U1189" s="8">
        <f t="shared" si="117"/>
        <v>2</v>
      </c>
      <c r="AD1189" t="str">
        <f t="shared" si="116"/>
        <v>e</v>
      </c>
      <c r="AE1189" t="str">
        <f t="shared" si="120"/>
        <v>Possession</v>
      </c>
      <c r="AF1189" t="str">
        <f t="shared" si="118"/>
        <v>PuckRecovery</v>
      </c>
      <c r="AG1189" t="str">
        <f t="shared" si="119"/>
        <v/>
      </c>
      <c r="AN1189" t="str">
        <f t="shared" si="121"/>
        <v>Offensive</v>
      </c>
      <c r="BD1189" s="23"/>
      <c r="BF1189" s="21"/>
    </row>
    <row r="1190" spans="1:58" x14ac:dyDescent="0.2">
      <c r="A1190">
        <v>604</v>
      </c>
      <c r="B1190">
        <v>99</v>
      </c>
      <c r="J1190">
        <v>9</v>
      </c>
      <c r="T1190">
        <v>1</v>
      </c>
      <c r="U1190" s="8">
        <f t="shared" si="117"/>
        <v>2</v>
      </c>
      <c r="AD1190" t="str">
        <f t="shared" si="116"/>
        <v>o</v>
      </c>
      <c r="AE1190" t="str">
        <f t="shared" si="120"/>
        <v>Possession</v>
      </c>
      <c r="AF1190" t="str">
        <f t="shared" si="118"/>
        <v>PuckRecovery</v>
      </c>
      <c r="AG1190" t="str">
        <f t="shared" si="119"/>
        <v/>
      </c>
      <c r="AN1190" t="str">
        <f t="shared" si="121"/>
        <v>Defensive</v>
      </c>
      <c r="BD1190" s="23"/>
      <c r="BF1190" s="21"/>
    </row>
    <row r="1191" spans="1:58" x14ac:dyDescent="0.2">
      <c r="A1191">
        <v>605</v>
      </c>
      <c r="B1191">
        <v>99</v>
      </c>
      <c r="E1191" s="5" t="s">
        <v>836</v>
      </c>
      <c r="F1191" s="5" t="s">
        <v>860</v>
      </c>
      <c r="I1191" t="s">
        <v>835</v>
      </c>
      <c r="J1191">
        <v>91</v>
      </c>
      <c r="K1191">
        <v>1</v>
      </c>
      <c r="L1191" t="s">
        <v>401</v>
      </c>
      <c r="M1191" t="s">
        <v>257</v>
      </c>
      <c r="N1191" t="s">
        <v>210</v>
      </c>
      <c r="O1191" t="s">
        <v>93</v>
      </c>
      <c r="P1191" t="s">
        <v>689</v>
      </c>
      <c r="T1191">
        <v>1</v>
      </c>
      <c r="U1191" s="8">
        <f t="shared" si="117"/>
        <v>2</v>
      </c>
      <c r="AD1191" t="str">
        <f t="shared" si="116"/>
        <v>e</v>
      </c>
      <c r="AE1191" t="str">
        <f t="shared" si="120"/>
        <v>Zone_Entry_Exit</v>
      </c>
      <c r="AF1191" t="str">
        <f t="shared" si="118"/>
        <v>Zone_Keepin</v>
      </c>
      <c r="AG1191" t="str">
        <f t="shared" si="119"/>
        <v>Zone-KeepIn</v>
      </c>
      <c r="AN1191" t="str">
        <f t="shared" si="121"/>
        <v>Offensive</v>
      </c>
      <c r="BD1191" s="23"/>
      <c r="BF1191" s="21"/>
    </row>
    <row r="1192" spans="1:58" x14ac:dyDescent="0.2">
      <c r="A1192">
        <v>605</v>
      </c>
      <c r="B1192">
        <v>99</v>
      </c>
      <c r="J1192">
        <v>9</v>
      </c>
      <c r="T1192">
        <v>1</v>
      </c>
      <c r="U1192" s="8">
        <f t="shared" si="117"/>
        <v>2</v>
      </c>
      <c r="AD1192" t="str">
        <f t="shared" si="116"/>
        <v>o</v>
      </c>
      <c r="AE1192" t="str">
        <f t="shared" si="120"/>
        <v>Zone_Entry_Exit</v>
      </c>
      <c r="AF1192" t="str">
        <f t="shared" si="118"/>
        <v>Zone_Keepin</v>
      </c>
      <c r="AG1192" t="str">
        <f t="shared" si="119"/>
        <v>Zone-KeepIn</v>
      </c>
      <c r="AN1192" t="str">
        <f t="shared" si="121"/>
        <v>Defensive</v>
      </c>
      <c r="BD1192" s="23"/>
      <c r="BF1192" s="21"/>
    </row>
    <row r="1193" spans="1:58" x14ac:dyDescent="0.2">
      <c r="A1193">
        <v>606</v>
      </c>
      <c r="E1193" s="5" t="s">
        <v>836</v>
      </c>
      <c r="F1193" s="5" t="s">
        <v>909</v>
      </c>
      <c r="I1193" t="s">
        <v>835</v>
      </c>
      <c r="J1193">
        <v>91</v>
      </c>
      <c r="K1193">
        <v>1</v>
      </c>
      <c r="L1193" t="s">
        <v>401</v>
      </c>
      <c r="M1193" t="s">
        <v>8</v>
      </c>
      <c r="N1193" t="s">
        <v>199</v>
      </c>
      <c r="O1193" t="s">
        <v>69</v>
      </c>
      <c r="P1193" t="s">
        <v>688</v>
      </c>
      <c r="Q1193" t="s">
        <v>749</v>
      </c>
      <c r="S1193" t="s">
        <v>688</v>
      </c>
      <c r="U1193" s="8">
        <f t="shared" si="117"/>
        <v>2</v>
      </c>
      <c r="AD1193" t="str">
        <f t="shared" si="116"/>
        <v>e</v>
      </c>
      <c r="AE1193" t="str">
        <f t="shared" si="120"/>
        <v>Pass</v>
      </c>
      <c r="AF1193" t="str">
        <f t="shared" si="118"/>
        <v>Pass_Missed</v>
      </c>
      <c r="AG1193" t="str">
        <f t="shared" si="119"/>
        <v>Pass-Backhand</v>
      </c>
      <c r="AN1193" t="str">
        <f t="shared" si="121"/>
        <v>Offensive</v>
      </c>
      <c r="BD1193" s="23"/>
      <c r="BF1193" s="21"/>
    </row>
    <row r="1194" spans="1:58" x14ac:dyDescent="0.2">
      <c r="A1194">
        <v>606</v>
      </c>
      <c r="J1194">
        <v>70</v>
      </c>
      <c r="K1194">
        <v>1</v>
      </c>
      <c r="U1194" s="8">
        <f t="shared" si="117"/>
        <v>2</v>
      </c>
      <c r="AD1194" t="str">
        <f t="shared" si="116"/>
        <v>e</v>
      </c>
      <c r="AE1194" t="str">
        <f t="shared" si="120"/>
        <v>Pass</v>
      </c>
      <c r="AF1194" t="str">
        <f t="shared" si="118"/>
        <v>Pass_Missed</v>
      </c>
      <c r="AG1194" t="str">
        <f t="shared" si="119"/>
        <v>Pass-Backhand</v>
      </c>
      <c r="AN1194" t="str">
        <f t="shared" si="121"/>
        <v>Offensive</v>
      </c>
      <c r="BD1194" s="23"/>
      <c r="BF1194" s="21"/>
    </row>
    <row r="1195" spans="1:58" x14ac:dyDescent="0.2">
      <c r="A1195">
        <v>606</v>
      </c>
      <c r="J1195">
        <v>9</v>
      </c>
      <c r="U1195" s="8">
        <f t="shared" si="117"/>
        <v>2</v>
      </c>
      <c r="AD1195" t="str">
        <f t="shared" si="116"/>
        <v>o</v>
      </c>
      <c r="AE1195" t="str">
        <f t="shared" si="120"/>
        <v>Pass</v>
      </c>
      <c r="AF1195" t="str">
        <f t="shared" si="118"/>
        <v>Pass_Missed</v>
      </c>
      <c r="AG1195" t="str">
        <f t="shared" si="119"/>
        <v>Pass-Backhand</v>
      </c>
      <c r="AN1195" t="str">
        <f t="shared" si="121"/>
        <v>Defensive</v>
      </c>
      <c r="BD1195" s="23"/>
      <c r="BF1195" s="21"/>
    </row>
    <row r="1196" spans="1:58" x14ac:dyDescent="0.2">
      <c r="A1196">
        <v>606</v>
      </c>
      <c r="J1196">
        <v>46</v>
      </c>
      <c r="U1196" s="8">
        <f t="shared" si="117"/>
        <v>2</v>
      </c>
      <c r="AD1196" t="str">
        <f t="shared" si="116"/>
        <v>o</v>
      </c>
      <c r="AE1196" t="str">
        <f t="shared" si="120"/>
        <v>Pass</v>
      </c>
      <c r="AF1196" t="str">
        <f t="shared" si="118"/>
        <v>Pass_Missed</v>
      </c>
      <c r="AG1196" t="str">
        <f t="shared" si="119"/>
        <v>Pass-Backhand</v>
      </c>
      <c r="AN1196" t="str">
        <f t="shared" si="121"/>
        <v>Defensive</v>
      </c>
      <c r="BD1196" s="23"/>
      <c r="BF1196" s="21"/>
    </row>
    <row r="1197" spans="1:58" x14ac:dyDescent="0.2">
      <c r="A1197">
        <v>607</v>
      </c>
      <c r="E1197" s="5" t="s">
        <v>836</v>
      </c>
      <c r="F1197" s="5" t="s">
        <v>862</v>
      </c>
      <c r="I1197" t="s">
        <v>835</v>
      </c>
      <c r="J1197">
        <v>91</v>
      </c>
      <c r="K1197">
        <v>1</v>
      </c>
      <c r="L1197" t="s">
        <v>401</v>
      </c>
      <c r="M1197" t="s">
        <v>15</v>
      </c>
      <c r="N1197" t="s">
        <v>681</v>
      </c>
      <c r="P1197" t="s">
        <v>688</v>
      </c>
      <c r="Q1197" t="s">
        <v>714</v>
      </c>
      <c r="S1197" t="s">
        <v>688</v>
      </c>
      <c r="T1197">
        <v>1</v>
      </c>
      <c r="U1197" s="8">
        <f t="shared" si="117"/>
        <v>2</v>
      </c>
      <c r="AD1197" t="str">
        <f t="shared" si="116"/>
        <v>e</v>
      </c>
      <c r="AE1197" t="str">
        <f t="shared" si="120"/>
        <v>Possession</v>
      </c>
      <c r="AF1197" t="str">
        <f t="shared" si="118"/>
        <v>PuckRecovery</v>
      </c>
      <c r="AG1197" t="str">
        <f t="shared" si="119"/>
        <v/>
      </c>
      <c r="AN1197" t="str">
        <f t="shared" si="121"/>
        <v>Offensive</v>
      </c>
      <c r="BD1197" s="23"/>
      <c r="BF1197" s="21"/>
    </row>
    <row r="1198" spans="1:58" x14ac:dyDescent="0.2">
      <c r="A1198">
        <v>607</v>
      </c>
      <c r="J1198">
        <v>70</v>
      </c>
      <c r="K1198">
        <v>1</v>
      </c>
      <c r="U1198" s="8">
        <f t="shared" si="117"/>
        <v>2</v>
      </c>
      <c r="AD1198" t="str">
        <f t="shared" si="116"/>
        <v>e</v>
      </c>
      <c r="AE1198" t="str">
        <f t="shared" si="120"/>
        <v>Possession</v>
      </c>
      <c r="AF1198" t="str">
        <f t="shared" si="118"/>
        <v>PuckRecovery</v>
      </c>
      <c r="AG1198" t="str">
        <f t="shared" si="119"/>
        <v/>
      </c>
      <c r="AN1198" t="str">
        <f t="shared" si="121"/>
        <v>Offensive</v>
      </c>
      <c r="BD1198" s="23"/>
      <c r="BF1198" s="21"/>
    </row>
    <row r="1199" spans="1:58" x14ac:dyDescent="0.2">
      <c r="A1199">
        <v>607</v>
      </c>
      <c r="J1199">
        <v>46</v>
      </c>
      <c r="Q1199" t="s">
        <v>781</v>
      </c>
      <c r="S1199" t="s">
        <v>688</v>
      </c>
      <c r="T1199">
        <v>1</v>
      </c>
      <c r="U1199" s="8">
        <f t="shared" si="117"/>
        <v>2</v>
      </c>
      <c r="AD1199" t="str">
        <f t="shared" si="116"/>
        <v>o</v>
      </c>
      <c r="AE1199" t="str">
        <f t="shared" si="120"/>
        <v>Possession</v>
      </c>
      <c r="AF1199" t="str">
        <f t="shared" si="118"/>
        <v>PuckRecovery</v>
      </c>
      <c r="AG1199" t="str">
        <f t="shared" si="119"/>
        <v/>
      </c>
      <c r="AN1199" t="str">
        <f t="shared" si="121"/>
        <v>Defensive</v>
      </c>
      <c r="BD1199" s="23"/>
      <c r="BF1199" s="21"/>
    </row>
    <row r="1200" spans="1:58" x14ac:dyDescent="0.2">
      <c r="A1200">
        <v>608</v>
      </c>
      <c r="E1200" s="5" t="s">
        <v>836</v>
      </c>
      <c r="F1200" s="5" t="s">
        <v>863</v>
      </c>
      <c r="I1200" t="s">
        <v>835</v>
      </c>
      <c r="J1200">
        <v>91</v>
      </c>
      <c r="K1200">
        <v>1</v>
      </c>
      <c r="L1200" t="s">
        <v>401</v>
      </c>
      <c r="M1200" t="s">
        <v>10</v>
      </c>
      <c r="N1200" t="s">
        <v>190</v>
      </c>
      <c r="O1200" t="s">
        <v>424</v>
      </c>
      <c r="P1200" t="s">
        <v>688</v>
      </c>
      <c r="Q1200" t="s">
        <v>704</v>
      </c>
      <c r="R1200" t="s">
        <v>697</v>
      </c>
      <c r="S1200" t="s">
        <v>688</v>
      </c>
      <c r="T1200">
        <v>1</v>
      </c>
      <c r="U1200" s="8">
        <f t="shared" si="117"/>
        <v>2</v>
      </c>
      <c r="AD1200" t="str">
        <f t="shared" si="116"/>
        <v>e</v>
      </c>
      <c r="AE1200" t="str">
        <f t="shared" si="120"/>
        <v>Turnover</v>
      </c>
      <c r="AF1200" t="str">
        <f t="shared" si="118"/>
        <v>Turnover_Giveaway</v>
      </c>
      <c r="AG1200" t="str">
        <f t="shared" si="119"/>
        <v>Giveaway-DumpInZone</v>
      </c>
      <c r="AN1200" t="str">
        <f t="shared" si="121"/>
        <v>Offensive</v>
      </c>
      <c r="BD1200" s="23"/>
      <c r="BF1200" s="21"/>
    </row>
    <row r="1201" spans="1:58" x14ac:dyDescent="0.2">
      <c r="A1201">
        <v>608</v>
      </c>
      <c r="J1201">
        <v>46</v>
      </c>
      <c r="T1201">
        <v>1</v>
      </c>
      <c r="U1201" s="8">
        <f t="shared" si="117"/>
        <v>2</v>
      </c>
      <c r="AD1201" t="str">
        <f t="shared" si="116"/>
        <v>o</v>
      </c>
      <c r="AE1201" t="str">
        <f t="shared" si="120"/>
        <v>Turnover</v>
      </c>
      <c r="AF1201" t="str">
        <f t="shared" si="118"/>
        <v>Turnover_Giveaway</v>
      </c>
      <c r="AG1201" t="str">
        <f t="shared" si="119"/>
        <v>Giveaway-DumpInZone</v>
      </c>
      <c r="AN1201" t="str">
        <f t="shared" si="121"/>
        <v>Defensive</v>
      </c>
      <c r="BD1201" s="23"/>
      <c r="BF1201" s="21"/>
    </row>
    <row r="1202" spans="1:58" x14ac:dyDescent="0.2">
      <c r="A1202">
        <v>609</v>
      </c>
      <c r="B1202">
        <v>100</v>
      </c>
      <c r="E1202" s="5" t="s">
        <v>836</v>
      </c>
      <c r="F1202" s="5" t="s">
        <v>863</v>
      </c>
      <c r="I1202" t="s">
        <v>840</v>
      </c>
      <c r="J1202">
        <v>92</v>
      </c>
      <c r="K1202">
        <v>1</v>
      </c>
      <c r="L1202" t="s">
        <v>845</v>
      </c>
      <c r="M1202" t="s">
        <v>8</v>
      </c>
      <c r="N1202" t="s">
        <v>189</v>
      </c>
      <c r="O1202" t="s">
        <v>70</v>
      </c>
      <c r="P1202" t="s">
        <v>689</v>
      </c>
      <c r="Q1202" t="s">
        <v>662</v>
      </c>
      <c r="S1202" t="s">
        <v>689</v>
      </c>
      <c r="T1202">
        <v>1</v>
      </c>
      <c r="U1202" s="8">
        <f t="shared" si="117"/>
        <v>2</v>
      </c>
      <c r="AD1202" t="str">
        <f t="shared" si="116"/>
        <v>e</v>
      </c>
      <c r="AE1202" t="str">
        <f t="shared" si="120"/>
        <v>Pass</v>
      </c>
      <c r="AF1202" t="str">
        <f t="shared" si="118"/>
        <v>Pass_Completed</v>
      </c>
      <c r="AG1202" t="str">
        <f t="shared" si="119"/>
        <v>Pass-Forehand</v>
      </c>
      <c r="AN1202" t="str">
        <f t="shared" si="121"/>
        <v>Offensive</v>
      </c>
      <c r="BD1202" s="23"/>
      <c r="BF1202" s="21"/>
    </row>
    <row r="1203" spans="1:58" x14ac:dyDescent="0.2">
      <c r="A1203">
        <v>609</v>
      </c>
      <c r="B1203">
        <v>100</v>
      </c>
      <c r="J1203">
        <v>46</v>
      </c>
      <c r="K1203">
        <v>1</v>
      </c>
      <c r="U1203" s="8">
        <f t="shared" si="117"/>
        <v>2</v>
      </c>
      <c r="AD1203" t="str">
        <f t="shared" si="116"/>
        <v>e</v>
      </c>
      <c r="AE1203" t="str">
        <f t="shared" si="120"/>
        <v>Pass</v>
      </c>
      <c r="AF1203" t="str">
        <f t="shared" si="118"/>
        <v>Pass_Completed</v>
      </c>
      <c r="AG1203" t="str">
        <f t="shared" si="119"/>
        <v>Pass-Forehand</v>
      </c>
      <c r="AN1203" t="str">
        <f t="shared" si="121"/>
        <v>Offensive</v>
      </c>
      <c r="BD1203" s="23"/>
      <c r="BF1203" s="21"/>
    </row>
    <row r="1204" spans="1:58" x14ac:dyDescent="0.2">
      <c r="A1204">
        <v>609</v>
      </c>
      <c r="B1204">
        <v>100</v>
      </c>
      <c r="J1204">
        <v>91</v>
      </c>
      <c r="Q1204" t="s">
        <v>704</v>
      </c>
      <c r="S1204" t="s">
        <v>688</v>
      </c>
      <c r="T1204">
        <v>1</v>
      </c>
      <c r="U1204" s="8">
        <f t="shared" si="117"/>
        <v>2</v>
      </c>
      <c r="AD1204" t="str">
        <f t="shared" si="116"/>
        <v>o</v>
      </c>
      <c r="AE1204" t="str">
        <f t="shared" si="120"/>
        <v>Pass</v>
      </c>
      <c r="AF1204" t="str">
        <f t="shared" si="118"/>
        <v>Pass_Completed</v>
      </c>
      <c r="AG1204" t="str">
        <f t="shared" si="119"/>
        <v>Pass-Forehand</v>
      </c>
      <c r="AN1204" t="str">
        <f t="shared" si="121"/>
        <v>Defensive</v>
      </c>
      <c r="BD1204" s="23"/>
      <c r="BF1204" s="21"/>
    </row>
    <row r="1205" spans="1:58" x14ac:dyDescent="0.2">
      <c r="A1205">
        <v>610</v>
      </c>
      <c r="B1205">
        <v>100</v>
      </c>
      <c r="E1205" s="5" t="s">
        <v>836</v>
      </c>
      <c r="F1205" s="5" t="s">
        <v>863</v>
      </c>
      <c r="I1205" t="s">
        <v>840</v>
      </c>
      <c r="J1205">
        <v>92</v>
      </c>
      <c r="K1205">
        <v>1</v>
      </c>
      <c r="L1205" t="s">
        <v>845</v>
      </c>
      <c r="M1205" t="s">
        <v>257</v>
      </c>
      <c r="N1205" t="s">
        <v>201</v>
      </c>
      <c r="O1205" t="s">
        <v>91</v>
      </c>
      <c r="P1205" t="s">
        <v>689</v>
      </c>
      <c r="Q1205" t="s">
        <v>662</v>
      </c>
      <c r="S1205" t="s">
        <v>689</v>
      </c>
      <c r="T1205">
        <v>1</v>
      </c>
      <c r="U1205" s="8">
        <f t="shared" si="117"/>
        <v>2</v>
      </c>
      <c r="AD1205" t="str">
        <f t="shared" si="116"/>
        <v>e</v>
      </c>
      <c r="AE1205" t="str">
        <f t="shared" si="120"/>
        <v>Zone_Entry_Exit</v>
      </c>
      <c r="AF1205" t="str">
        <f t="shared" si="118"/>
        <v>Zone_Exit</v>
      </c>
      <c r="AG1205" t="str">
        <f t="shared" si="119"/>
        <v>ZoneExit-Pass</v>
      </c>
      <c r="AN1205" t="str">
        <f t="shared" si="121"/>
        <v>Offensive</v>
      </c>
      <c r="BD1205" s="23"/>
      <c r="BF1205" s="21"/>
    </row>
    <row r="1206" spans="1:58" x14ac:dyDescent="0.2">
      <c r="A1206">
        <v>610</v>
      </c>
      <c r="B1206">
        <v>100</v>
      </c>
      <c r="J1206">
        <v>46</v>
      </c>
      <c r="K1206">
        <v>1</v>
      </c>
      <c r="U1206" s="8">
        <f t="shared" si="117"/>
        <v>2</v>
      </c>
      <c r="AD1206" t="str">
        <f t="shared" si="116"/>
        <v>e</v>
      </c>
      <c r="AE1206" t="str">
        <f t="shared" si="120"/>
        <v>Zone_Entry_Exit</v>
      </c>
      <c r="AF1206" t="str">
        <f t="shared" si="118"/>
        <v>Zone_Exit</v>
      </c>
      <c r="AG1206" t="str">
        <f t="shared" si="119"/>
        <v>ZoneExit-Pass</v>
      </c>
      <c r="AN1206" t="str">
        <f t="shared" si="121"/>
        <v>Offensive</v>
      </c>
      <c r="BD1206" s="23"/>
      <c r="BF1206" s="21"/>
    </row>
    <row r="1207" spans="1:58" x14ac:dyDescent="0.2">
      <c r="A1207">
        <v>610</v>
      </c>
      <c r="B1207">
        <v>100</v>
      </c>
      <c r="J1207">
        <v>91</v>
      </c>
      <c r="Q1207" t="s">
        <v>704</v>
      </c>
      <c r="S1207" t="s">
        <v>688</v>
      </c>
      <c r="T1207">
        <v>1</v>
      </c>
      <c r="U1207" s="8">
        <f t="shared" si="117"/>
        <v>2</v>
      </c>
      <c r="AD1207" t="str">
        <f t="shared" si="116"/>
        <v>o</v>
      </c>
      <c r="AE1207" t="str">
        <f t="shared" si="120"/>
        <v>Zone_Entry_Exit</v>
      </c>
      <c r="AF1207" t="str">
        <f t="shared" si="118"/>
        <v>Zone_Exit</v>
      </c>
      <c r="AG1207" t="str">
        <f t="shared" si="119"/>
        <v>ZoneExit-Pass</v>
      </c>
      <c r="AN1207" t="str">
        <f t="shared" si="121"/>
        <v>Defensive</v>
      </c>
      <c r="BD1207" s="23"/>
      <c r="BF1207" s="21"/>
    </row>
    <row r="1208" spans="1:58" x14ac:dyDescent="0.2">
      <c r="A1208">
        <v>611</v>
      </c>
      <c r="B1208">
        <v>100</v>
      </c>
      <c r="E1208" s="5" t="s">
        <v>836</v>
      </c>
      <c r="F1208" s="5" t="s">
        <v>863</v>
      </c>
      <c r="I1208" t="s">
        <v>835</v>
      </c>
      <c r="J1208">
        <v>91</v>
      </c>
      <c r="K1208">
        <v>1</v>
      </c>
      <c r="L1208" t="s">
        <v>845</v>
      </c>
      <c r="M1208" t="s">
        <v>257</v>
      </c>
      <c r="N1208" t="s">
        <v>753</v>
      </c>
      <c r="P1208" t="s">
        <v>688</v>
      </c>
      <c r="Q1208" t="s">
        <v>704</v>
      </c>
      <c r="S1208" t="s">
        <v>688</v>
      </c>
      <c r="T1208">
        <v>1</v>
      </c>
      <c r="U1208" s="8">
        <f t="shared" si="117"/>
        <v>2</v>
      </c>
      <c r="AD1208" t="str">
        <f t="shared" si="116"/>
        <v>e</v>
      </c>
      <c r="AE1208" t="str">
        <f t="shared" si="120"/>
        <v>Zone_Entry_Exit</v>
      </c>
      <c r="AF1208" t="str">
        <f t="shared" si="118"/>
        <v>Zone_KeepinFailed</v>
      </c>
      <c r="AG1208" t="str">
        <f t="shared" si="119"/>
        <v/>
      </c>
      <c r="AN1208" t="str">
        <f t="shared" si="121"/>
        <v>Offensive</v>
      </c>
      <c r="BD1208" s="23"/>
      <c r="BF1208" s="21"/>
    </row>
    <row r="1209" spans="1:58" x14ac:dyDescent="0.2">
      <c r="A1209">
        <v>611</v>
      </c>
      <c r="B1209">
        <v>100</v>
      </c>
      <c r="J1209">
        <v>46</v>
      </c>
      <c r="Q1209" t="s">
        <v>662</v>
      </c>
      <c r="T1209">
        <v>1</v>
      </c>
      <c r="U1209" s="8">
        <f t="shared" si="117"/>
        <v>2</v>
      </c>
      <c r="AD1209" t="str">
        <f t="shared" si="116"/>
        <v>o</v>
      </c>
      <c r="AE1209" t="str">
        <f t="shared" si="120"/>
        <v>Zone_Entry_Exit</v>
      </c>
      <c r="AF1209" t="str">
        <f t="shared" si="118"/>
        <v>Zone_KeepinFailed</v>
      </c>
      <c r="AG1209" t="str">
        <f t="shared" si="119"/>
        <v/>
      </c>
      <c r="AN1209" t="str">
        <f t="shared" si="121"/>
        <v>Defensive</v>
      </c>
      <c r="BD1209" s="23"/>
      <c r="BF1209" s="21"/>
    </row>
    <row r="1210" spans="1:58" x14ac:dyDescent="0.2">
      <c r="A1210">
        <v>612</v>
      </c>
      <c r="E1210" s="5" t="s">
        <v>836</v>
      </c>
      <c r="F1210" s="5" t="s">
        <v>836</v>
      </c>
      <c r="G1210" s="5" t="s">
        <v>836</v>
      </c>
      <c r="H1210" s="7" t="s">
        <v>864</v>
      </c>
      <c r="I1210" s="5" t="s">
        <v>840</v>
      </c>
      <c r="J1210">
        <v>46</v>
      </c>
      <c r="K1210">
        <v>1</v>
      </c>
      <c r="L1210" s="5" t="s">
        <v>839</v>
      </c>
      <c r="M1210" t="s">
        <v>15</v>
      </c>
      <c r="T1210">
        <v>1</v>
      </c>
      <c r="U1210" s="8">
        <f t="shared" si="117"/>
        <v>2</v>
      </c>
      <c r="AD1210" t="str">
        <f t="shared" si="116"/>
        <v>e</v>
      </c>
      <c r="AE1210" t="str">
        <f t="shared" si="120"/>
        <v>Possession</v>
      </c>
      <c r="AF1210" t="str">
        <f t="shared" si="118"/>
        <v/>
      </c>
      <c r="AG1210" t="str">
        <f t="shared" si="119"/>
        <v/>
      </c>
      <c r="AN1210" t="str">
        <f t="shared" si="121"/>
        <v>Offensive</v>
      </c>
      <c r="BD1210" s="23"/>
      <c r="BF1210" s="21"/>
    </row>
    <row r="1211" spans="1:58" x14ac:dyDescent="0.2">
      <c r="A1211">
        <v>612</v>
      </c>
      <c r="J1211">
        <v>52</v>
      </c>
      <c r="T1211">
        <v>1</v>
      </c>
      <c r="U1211" s="8">
        <f t="shared" si="117"/>
        <v>2</v>
      </c>
      <c r="AD1211" t="str">
        <f t="shared" si="116"/>
        <v>o</v>
      </c>
      <c r="AE1211" t="str">
        <f t="shared" si="120"/>
        <v>Possession</v>
      </c>
      <c r="AF1211" t="str">
        <f t="shared" si="118"/>
        <v/>
      </c>
      <c r="AG1211" t="str">
        <f t="shared" si="119"/>
        <v/>
      </c>
      <c r="AN1211" t="str">
        <f t="shared" si="121"/>
        <v>Defensive</v>
      </c>
      <c r="BD1211" s="23"/>
      <c r="BF1211" s="21"/>
    </row>
    <row r="1212" spans="1:58" x14ac:dyDescent="0.2">
      <c r="A1212">
        <v>613</v>
      </c>
      <c r="E1212" s="5" t="s">
        <v>836</v>
      </c>
      <c r="F1212" s="5" t="s">
        <v>864</v>
      </c>
      <c r="G1212" s="5" t="s">
        <v>836</v>
      </c>
      <c r="H1212" s="7" t="s">
        <v>898</v>
      </c>
      <c r="I1212" t="s">
        <v>840</v>
      </c>
      <c r="J1212">
        <v>46</v>
      </c>
      <c r="K1212">
        <v>1</v>
      </c>
      <c r="L1212" t="s">
        <v>401</v>
      </c>
      <c r="M1212" t="s">
        <v>257</v>
      </c>
      <c r="N1212" t="s">
        <v>191</v>
      </c>
      <c r="O1212" t="s">
        <v>87</v>
      </c>
      <c r="P1212" t="s">
        <v>689</v>
      </c>
      <c r="Q1212" t="s">
        <v>702</v>
      </c>
      <c r="S1212" t="s">
        <v>689</v>
      </c>
      <c r="T1212">
        <v>1</v>
      </c>
      <c r="U1212" s="8">
        <f t="shared" si="117"/>
        <v>2</v>
      </c>
      <c r="AD1212" t="str">
        <f t="shared" si="116"/>
        <v>e</v>
      </c>
      <c r="AE1212" t="str">
        <f t="shared" si="120"/>
        <v>Zone_Entry_Exit</v>
      </c>
      <c r="AF1212" t="str">
        <f t="shared" si="118"/>
        <v>Zone_Entry</v>
      </c>
      <c r="AG1212" t="str">
        <f t="shared" si="119"/>
        <v>ZoneEntry-Rush</v>
      </c>
      <c r="AN1212" t="str">
        <f t="shared" si="121"/>
        <v>Offensive</v>
      </c>
      <c r="BD1212" s="23"/>
      <c r="BF1212" s="21"/>
    </row>
    <row r="1213" spans="1:58" x14ac:dyDescent="0.2">
      <c r="A1213">
        <v>613</v>
      </c>
      <c r="J1213">
        <v>52</v>
      </c>
      <c r="Q1213" t="s">
        <v>731</v>
      </c>
      <c r="T1213">
        <v>1</v>
      </c>
      <c r="U1213" s="8">
        <f t="shared" si="117"/>
        <v>2</v>
      </c>
      <c r="AD1213" t="str">
        <f t="shared" si="116"/>
        <v>o</v>
      </c>
      <c r="AE1213" t="str">
        <f t="shared" si="120"/>
        <v>Zone_Entry_Exit</v>
      </c>
      <c r="AF1213" t="str">
        <f t="shared" si="118"/>
        <v>Zone_Entry</v>
      </c>
      <c r="AG1213" t="str">
        <f t="shared" si="119"/>
        <v>ZoneEntry-Rush</v>
      </c>
      <c r="AN1213" t="str">
        <f t="shared" si="121"/>
        <v>Defensive</v>
      </c>
      <c r="BD1213" s="23"/>
      <c r="BF1213" s="21"/>
    </row>
    <row r="1214" spans="1:58" x14ac:dyDescent="0.2">
      <c r="A1214">
        <v>614</v>
      </c>
      <c r="E1214" s="5" t="s">
        <v>836</v>
      </c>
      <c r="F1214" s="5" t="s">
        <v>898</v>
      </c>
      <c r="G1214" s="5" t="s">
        <v>836</v>
      </c>
      <c r="H1214" s="7" t="s">
        <v>866</v>
      </c>
      <c r="I1214" s="5" t="s">
        <v>840</v>
      </c>
      <c r="J1214">
        <v>46</v>
      </c>
      <c r="K1214">
        <v>1</v>
      </c>
      <c r="L1214" s="5" t="s">
        <v>401</v>
      </c>
      <c r="M1214" t="s">
        <v>15</v>
      </c>
      <c r="N1214" t="s">
        <v>451</v>
      </c>
      <c r="Q1214" t="s">
        <v>724</v>
      </c>
      <c r="S1214" t="s">
        <v>689</v>
      </c>
      <c r="T1214">
        <v>1</v>
      </c>
      <c r="U1214" s="8">
        <f t="shared" si="117"/>
        <v>2</v>
      </c>
      <c r="AD1214" t="str">
        <f t="shared" si="116"/>
        <v>e</v>
      </c>
      <c r="AE1214" t="str">
        <f t="shared" si="120"/>
        <v>Possession</v>
      </c>
      <c r="AF1214" t="str">
        <f t="shared" si="118"/>
        <v>Breakaway</v>
      </c>
      <c r="AG1214" t="str">
        <f t="shared" si="119"/>
        <v/>
      </c>
      <c r="AN1214" t="str">
        <f t="shared" si="121"/>
        <v>Offensive</v>
      </c>
      <c r="BD1214" s="23"/>
      <c r="BF1214" s="21"/>
    </row>
    <row r="1215" spans="1:58" x14ac:dyDescent="0.2">
      <c r="A1215">
        <v>614</v>
      </c>
      <c r="J1215">
        <v>52</v>
      </c>
      <c r="Q1215" t="s">
        <v>696</v>
      </c>
      <c r="R1215" t="s">
        <v>757</v>
      </c>
      <c r="S1215" t="s">
        <v>688</v>
      </c>
      <c r="T1215">
        <v>1</v>
      </c>
      <c r="U1215" s="8">
        <f t="shared" si="117"/>
        <v>2</v>
      </c>
      <c r="AD1215" t="str">
        <f t="shared" si="116"/>
        <v>o</v>
      </c>
      <c r="AE1215" t="str">
        <f t="shared" si="120"/>
        <v>Possession</v>
      </c>
      <c r="AF1215" t="str">
        <f t="shared" si="118"/>
        <v>Breakaway</v>
      </c>
      <c r="AG1215" t="str">
        <f t="shared" si="119"/>
        <v/>
      </c>
      <c r="AN1215" t="str">
        <f t="shared" si="121"/>
        <v>Defensive</v>
      </c>
      <c r="BD1215" s="23"/>
      <c r="BF1215" s="21"/>
    </row>
    <row r="1216" spans="1:58" x14ac:dyDescent="0.2">
      <c r="A1216">
        <v>615</v>
      </c>
      <c r="E1216" s="5" t="s">
        <v>836</v>
      </c>
      <c r="F1216" s="5" t="s">
        <v>866</v>
      </c>
      <c r="I1216" t="s">
        <v>835</v>
      </c>
      <c r="J1216">
        <v>39</v>
      </c>
      <c r="K1216">
        <v>1</v>
      </c>
      <c r="L1216" t="s">
        <v>845</v>
      </c>
      <c r="M1216" t="s">
        <v>10</v>
      </c>
      <c r="N1216" t="s">
        <v>200</v>
      </c>
      <c r="O1216" t="s">
        <v>82</v>
      </c>
      <c r="P1216" t="s">
        <v>689</v>
      </c>
      <c r="Q1216" t="s">
        <v>695</v>
      </c>
      <c r="S1216" t="s">
        <v>689</v>
      </c>
      <c r="T1216">
        <v>1</v>
      </c>
      <c r="U1216" s="8">
        <f t="shared" si="117"/>
        <v>2</v>
      </c>
      <c r="AD1216" t="str">
        <f t="shared" si="116"/>
        <v>e</v>
      </c>
      <c r="AE1216" t="str">
        <f t="shared" si="120"/>
        <v>Turnover</v>
      </c>
      <c r="AF1216" t="str">
        <f t="shared" si="118"/>
        <v>Turnover_Takeaway</v>
      </c>
      <c r="AG1216" t="str">
        <f t="shared" si="119"/>
        <v>Takeaway-PokeCheck</v>
      </c>
      <c r="AN1216" t="str">
        <f t="shared" si="121"/>
        <v>Defensive</v>
      </c>
      <c r="BD1216" s="23"/>
      <c r="BF1216" s="21"/>
    </row>
    <row r="1217" spans="1:58" x14ac:dyDescent="0.2">
      <c r="A1217">
        <v>615</v>
      </c>
      <c r="J1217">
        <v>91</v>
      </c>
      <c r="K1217">
        <v>1</v>
      </c>
      <c r="Q1217" t="s">
        <v>757</v>
      </c>
      <c r="T1217">
        <v>1</v>
      </c>
      <c r="U1217" s="8">
        <f t="shared" si="117"/>
        <v>2</v>
      </c>
      <c r="AD1217" t="str">
        <f t="shared" si="116"/>
        <v>e</v>
      </c>
      <c r="AE1217" t="str">
        <f t="shared" si="120"/>
        <v>Turnover</v>
      </c>
      <c r="AF1217" t="str">
        <f t="shared" si="118"/>
        <v>Turnover_Takeaway</v>
      </c>
      <c r="AG1217" t="str">
        <f t="shared" si="119"/>
        <v>Takeaway-PokeCheck</v>
      </c>
      <c r="AN1217" t="str">
        <f t="shared" si="121"/>
        <v>Defensive</v>
      </c>
      <c r="BD1217" s="23"/>
      <c r="BF1217" s="21"/>
    </row>
    <row r="1218" spans="1:58" x14ac:dyDescent="0.2">
      <c r="A1218">
        <v>615</v>
      </c>
      <c r="J1218">
        <v>46</v>
      </c>
      <c r="T1218">
        <v>1</v>
      </c>
      <c r="U1218" s="8">
        <f t="shared" si="117"/>
        <v>2</v>
      </c>
      <c r="AD1218" t="str">
        <f t="shared" ref="AD1218:AD1281" si="122">IF(K1218="x","",IF(K1218=1,"e","o"))</f>
        <v>o</v>
      </c>
      <c r="AE1218" t="str">
        <f t="shared" si="120"/>
        <v>Turnover</v>
      </c>
      <c r="AF1218" t="str">
        <f t="shared" si="118"/>
        <v>Turnover_Takeaway</v>
      </c>
      <c r="AG1218" t="str">
        <f t="shared" si="119"/>
        <v>Takeaway-PokeCheck</v>
      </c>
      <c r="AN1218" t="str">
        <f t="shared" si="121"/>
        <v>Offensive</v>
      </c>
      <c r="BD1218" s="23"/>
      <c r="BF1218" s="21"/>
    </row>
    <row r="1219" spans="1:58" x14ac:dyDescent="0.2">
      <c r="A1219">
        <v>616</v>
      </c>
      <c r="E1219" s="5" t="s">
        <v>836</v>
      </c>
      <c r="F1219" s="5" t="s">
        <v>891</v>
      </c>
      <c r="I1219" t="s">
        <v>840</v>
      </c>
      <c r="J1219">
        <v>46</v>
      </c>
      <c r="K1219">
        <v>1</v>
      </c>
      <c r="L1219" t="s">
        <v>401</v>
      </c>
      <c r="M1219" t="s">
        <v>15</v>
      </c>
      <c r="N1219" t="s">
        <v>681</v>
      </c>
      <c r="P1219" t="s">
        <v>689</v>
      </c>
      <c r="Q1219" t="s">
        <v>712</v>
      </c>
      <c r="S1219" t="s">
        <v>689</v>
      </c>
      <c r="T1219">
        <v>1</v>
      </c>
      <c r="U1219" s="8">
        <f t="shared" ref="U1219:U1282" si="123">IF(M1219="Intermission",U1218+1,U1218)</f>
        <v>2</v>
      </c>
      <c r="AD1219" t="str">
        <f t="shared" si="122"/>
        <v>e</v>
      </c>
      <c r="AE1219" t="str">
        <f t="shared" si="120"/>
        <v>Possession</v>
      </c>
      <c r="AF1219" t="str">
        <f t="shared" ref="AF1219:AF1282" si="124">IF(N1219&lt;&gt;"",N1219,IF($A1219=$A1218,AF1218,""))</f>
        <v>PuckRecovery</v>
      </c>
      <c r="AG1219" t="str">
        <f t="shared" ref="AG1219:AG1282" si="125">IF(O1219&lt;&gt;"",O1219,IF($A1219=$A1218,AG1218,""))</f>
        <v/>
      </c>
      <c r="AN1219" t="str">
        <f t="shared" si="121"/>
        <v>Offensive</v>
      </c>
      <c r="BD1219" s="23"/>
      <c r="BF1219" s="21"/>
    </row>
    <row r="1220" spans="1:58" x14ac:dyDescent="0.2">
      <c r="A1220">
        <v>616</v>
      </c>
      <c r="J1220">
        <v>91</v>
      </c>
      <c r="T1220">
        <v>1</v>
      </c>
      <c r="U1220" s="8">
        <f t="shared" si="123"/>
        <v>2</v>
      </c>
      <c r="AD1220" t="str">
        <f t="shared" si="122"/>
        <v>o</v>
      </c>
      <c r="AE1220" t="str">
        <f t="shared" ref="AE1220:AE1283" si="126">IF(M1220&lt;&gt;"",M1220,IF($A1220=$A1219,AE1219,""))</f>
        <v>Possession</v>
      </c>
      <c r="AF1220" t="str">
        <f t="shared" si="124"/>
        <v>PuckRecovery</v>
      </c>
      <c r="AG1220" t="str">
        <f t="shared" si="125"/>
        <v/>
      </c>
      <c r="AN1220" t="str">
        <f t="shared" si="121"/>
        <v>Defensive</v>
      </c>
      <c r="BD1220" s="23"/>
      <c r="BF1220" s="21"/>
    </row>
    <row r="1221" spans="1:58" x14ac:dyDescent="0.2">
      <c r="A1221">
        <v>617</v>
      </c>
      <c r="E1221" s="5" t="s">
        <v>836</v>
      </c>
      <c r="F1221" s="5" t="s">
        <v>891</v>
      </c>
      <c r="G1221" s="5" t="s">
        <v>836</v>
      </c>
      <c r="H1221" s="7" t="s">
        <v>892</v>
      </c>
      <c r="I1221" s="5" t="s">
        <v>840</v>
      </c>
      <c r="J1221">
        <v>46</v>
      </c>
      <c r="K1221">
        <v>1</v>
      </c>
      <c r="L1221" s="5" t="s">
        <v>401</v>
      </c>
      <c r="M1221" t="s">
        <v>15</v>
      </c>
      <c r="Q1221" t="s">
        <v>721</v>
      </c>
      <c r="R1221" t="s">
        <v>724</v>
      </c>
      <c r="S1221" t="s">
        <v>689</v>
      </c>
      <c r="T1221">
        <v>1</v>
      </c>
      <c r="U1221" s="8">
        <f t="shared" si="123"/>
        <v>2</v>
      </c>
      <c r="AD1221" t="str">
        <f t="shared" si="122"/>
        <v>e</v>
      </c>
      <c r="AE1221" t="str">
        <f t="shared" si="126"/>
        <v>Possession</v>
      </c>
      <c r="AF1221" t="str">
        <f t="shared" si="124"/>
        <v/>
      </c>
      <c r="AG1221" t="str">
        <f t="shared" si="125"/>
        <v/>
      </c>
      <c r="AN1221" t="str">
        <f t="shared" si="121"/>
        <v>Offensive</v>
      </c>
      <c r="BD1221" s="23"/>
      <c r="BF1221" s="21"/>
    </row>
    <row r="1222" spans="1:58" x14ac:dyDescent="0.2">
      <c r="A1222">
        <v>617</v>
      </c>
      <c r="J1222">
        <v>91</v>
      </c>
      <c r="Q1222" t="s">
        <v>719</v>
      </c>
      <c r="S1222" t="s">
        <v>688</v>
      </c>
      <c r="T1222">
        <v>1</v>
      </c>
      <c r="U1222" s="8">
        <f t="shared" si="123"/>
        <v>2</v>
      </c>
      <c r="AD1222" t="str">
        <f t="shared" si="122"/>
        <v>o</v>
      </c>
      <c r="AE1222" t="str">
        <f t="shared" si="126"/>
        <v>Possession</v>
      </c>
      <c r="AF1222" t="str">
        <f t="shared" si="124"/>
        <v/>
      </c>
      <c r="AG1222" t="str">
        <f t="shared" si="125"/>
        <v/>
      </c>
      <c r="AN1222" t="str">
        <f t="shared" si="121"/>
        <v>Defensive</v>
      </c>
      <c r="BD1222" s="23"/>
      <c r="BF1222" s="21"/>
    </row>
    <row r="1223" spans="1:58" x14ac:dyDescent="0.2">
      <c r="A1223">
        <v>618</v>
      </c>
      <c r="E1223" s="5" t="s">
        <v>836</v>
      </c>
      <c r="F1223" s="5" t="s">
        <v>868</v>
      </c>
      <c r="I1223" t="s">
        <v>840</v>
      </c>
      <c r="J1223">
        <v>46</v>
      </c>
      <c r="K1223">
        <v>1</v>
      </c>
      <c r="L1223" t="s">
        <v>401</v>
      </c>
      <c r="M1223" t="s">
        <v>8</v>
      </c>
      <c r="N1223" t="s">
        <v>189</v>
      </c>
      <c r="O1223" t="s">
        <v>70</v>
      </c>
      <c r="P1223" t="s">
        <v>689</v>
      </c>
      <c r="U1223" s="8">
        <f t="shared" si="123"/>
        <v>2</v>
      </c>
      <c r="AD1223" t="str">
        <f t="shared" si="122"/>
        <v>e</v>
      </c>
      <c r="AE1223" t="str">
        <f t="shared" si="126"/>
        <v>Pass</v>
      </c>
      <c r="AF1223" t="str">
        <f t="shared" si="124"/>
        <v>Pass_Completed</v>
      </c>
      <c r="AG1223" t="str">
        <f t="shared" si="125"/>
        <v>Pass-Forehand</v>
      </c>
      <c r="AN1223" t="str">
        <f t="shared" si="121"/>
        <v>Offensive</v>
      </c>
      <c r="BD1223" s="23"/>
      <c r="BF1223" s="21"/>
    </row>
    <row r="1224" spans="1:58" x14ac:dyDescent="0.2">
      <c r="A1224">
        <v>618</v>
      </c>
      <c r="J1224">
        <v>92</v>
      </c>
      <c r="K1224">
        <v>1</v>
      </c>
      <c r="U1224" s="8">
        <f t="shared" si="123"/>
        <v>2</v>
      </c>
      <c r="AD1224" t="str">
        <f t="shared" si="122"/>
        <v>e</v>
      </c>
      <c r="AE1224" t="str">
        <f t="shared" si="126"/>
        <v>Pass</v>
      </c>
      <c r="AF1224" t="str">
        <f t="shared" si="124"/>
        <v>Pass_Completed</v>
      </c>
      <c r="AG1224" t="str">
        <f t="shared" si="125"/>
        <v>Pass-Forehand</v>
      </c>
      <c r="AN1224" t="str">
        <f t="shared" si="121"/>
        <v>Offensive</v>
      </c>
      <c r="BD1224" s="23"/>
      <c r="BF1224" s="21"/>
    </row>
    <row r="1225" spans="1:58" x14ac:dyDescent="0.2">
      <c r="A1225">
        <v>619</v>
      </c>
      <c r="B1225">
        <v>101</v>
      </c>
      <c r="E1225" s="5" t="s">
        <v>836</v>
      </c>
      <c r="F1225" s="5" t="s">
        <v>902</v>
      </c>
      <c r="I1225" t="s">
        <v>840</v>
      </c>
      <c r="J1225">
        <v>92</v>
      </c>
      <c r="K1225">
        <v>1</v>
      </c>
      <c r="L1225" t="s">
        <v>401</v>
      </c>
      <c r="M1225" t="s">
        <v>7</v>
      </c>
      <c r="N1225" t="s">
        <v>208</v>
      </c>
      <c r="O1225" t="s">
        <v>53</v>
      </c>
      <c r="P1225" t="s">
        <v>688</v>
      </c>
      <c r="T1225">
        <v>1</v>
      </c>
      <c r="U1225" s="8">
        <f t="shared" si="123"/>
        <v>2</v>
      </c>
      <c r="AD1225" t="str">
        <f t="shared" si="122"/>
        <v>e</v>
      </c>
      <c r="AE1225" t="str">
        <f t="shared" si="126"/>
        <v>Shot</v>
      </c>
      <c r="AF1225" t="str">
        <f t="shared" si="124"/>
        <v>Shot_Blocked</v>
      </c>
      <c r="AG1225" t="str">
        <f t="shared" si="125"/>
        <v>Shot-Wrist</v>
      </c>
      <c r="AN1225" t="str">
        <f t="shared" ref="AN1225:AN1288" si="127">IF(AND(AD1225="e",OR(AE1225="Save",AF1225="Turnover_Takeaway",AF1225="Play_Defensive")),"Defensive",IF(AND(AD1225="o",OR(AE1225="Save",AF1225="Turnover_Takeaway",AF1225="Play_Defensive")),"Offensive",IF(OR(AE1225="Deadice",AE1225="Stoppage",AE1225="Intermission"),"",IF(AD1225="e","Offensive",IF(AD1225="o","Defensive","")))))</f>
        <v>Offensive</v>
      </c>
      <c r="BD1225" s="23"/>
      <c r="BF1225" s="21"/>
    </row>
    <row r="1226" spans="1:58" x14ac:dyDescent="0.2">
      <c r="A1226">
        <v>619</v>
      </c>
      <c r="B1226">
        <v>101</v>
      </c>
      <c r="J1226">
        <v>70</v>
      </c>
      <c r="Q1226" t="s">
        <v>665</v>
      </c>
      <c r="S1226" t="s">
        <v>689</v>
      </c>
      <c r="T1226">
        <v>1</v>
      </c>
      <c r="U1226" s="8">
        <f t="shared" si="123"/>
        <v>2</v>
      </c>
      <c r="AD1226" t="str">
        <f t="shared" si="122"/>
        <v>o</v>
      </c>
      <c r="AE1226" t="str">
        <f t="shared" si="126"/>
        <v>Shot</v>
      </c>
      <c r="AF1226" t="str">
        <f t="shared" si="124"/>
        <v>Shot_Blocked</v>
      </c>
      <c r="AG1226" t="str">
        <f t="shared" si="125"/>
        <v>Shot-Wrist</v>
      </c>
      <c r="AN1226" t="str">
        <f t="shared" si="127"/>
        <v>Defensive</v>
      </c>
      <c r="BD1226" s="23"/>
      <c r="BF1226" s="21"/>
    </row>
    <row r="1227" spans="1:58" x14ac:dyDescent="0.2">
      <c r="A1227">
        <v>620</v>
      </c>
      <c r="B1227">
        <v>101</v>
      </c>
      <c r="E1227" s="5" t="s">
        <v>836</v>
      </c>
      <c r="F1227" s="5" t="s">
        <v>893</v>
      </c>
      <c r="I1227" t="s">
        <v>840</v>
      </c>
      <c r="J1227">
        <v>92</v>
      </c>
      <c r="K1227">
        <v>1</v>
      </c>
      <c r="L1227" t="s">
        <v>401</v>
      </c>
      <c r="M1227" t="s">
        <v>13</v>
      </c>
      <c r="N1227" t="s">
        <v>204</v>
      </c>
      <c r="O1227" t="s">
        <v>107</v>
      </c>
      <c r="U1227" s="8">
        <f t="shared" si="123"/>
        <v>2</v>
      </c>
      <c r="AD1227" t="str">
        <f t="shared" si="122"/>
        <v>e</v>
      </c>
      <c r="AE1227" t="str">
        <f t="shared" si="126"/>
        <v>Stoppage</v>
      </c>
      <c r="AF1227" t="str">
        <f t="shared" si="124"/>
        <v>Stoppage_Play</v>
      </c>
      <c r="AG1227" t="str">
        <f t="shared" si="125"/>
        <v>Stoppage-PuckOutofPlay</v>
      </c>
      <c r="AN1227" t="str">
        <f t="shared" si="127"/>
        <v/>
      </c>
      <c r="BD1227" s="23"/>
      <c r="BF1227" s="21"/>
    </row>
    <row r="1228" spans="1:58" x14ac:dyDescent="0.2">
      <c r="A1228">
        <v>621</v>
      </c>
      <c r="B1228">
        <v>101</v>
      </c>
      <c r="E1228" s="5" t="s">
        <v>836</v>
      </c>
      <c r="F1228" s="5" t="s">
        <v>893</v>
      </c>
      <c r="G1228" s="5" t="s">
        <v>871</v>
      </c>
      <c r="H1228" s="7" t="s">
        <v>846</v>
      </c>
      <c r="I1228" t="s">
        <v>840</v>
      </c>
      <c r="J1228">
        <v>92</v>
      </c>
      <c r="K1228">
        <v>1</v>
      </c>
      <c r="L1228" t="s">
        <v>401</v>
      </c>
      <c r="M1228" t="s">
        <v>262</v>
      </c>
      <c r="U1228" s="8">
        <f t="shared" si="123"/>
        <v>2</v>
      </c>
      <c r="AD1228" t="str">
        <f t="shared" si="122"/>
        <v>e</v>
      </c>
      <c r="AE1228" t="str">
        <f t="shared" si="126"/>
        <v>DeadIce</v>
      </c>
      <c r="AF1228" t="str">
        <f t="shared" si="124"/>
        <v/>
      </c>
      <c r="AG1228" t="str">
        <f t="shared" si="125"/>
        <v/>
      </c>
      <c r="AN1228" t="str">
        <f t="shared" si="127"/>
        <v/>
      </c>
      <c r="BD1228" s="23"/>
      <c r="BF1228" s="21"/>
    </row>
    <row r="1229" spans="1:58" x14ac:dyDescent="0.2">
      <c r="A1229">
        <v>622</v>
      </c>
      <c r="E1229" s="5" t="s">
        <v>871</v>
      </c>
      <c r="F1229" s="5" t="s">
        <v>846</v>
      </c>
      <c r="I1229" t="s">
        <v>835</v>
      </c>
      <c r="J1229">
        <v>70</v>
      </c>
      <c r="K1229">
        <v>1</v>
      </c>
      <c r="L1229" t="s">
        <v>845</v>
      </c>
      <c r="M1229" t="s">
        <v>6</v>
      </c>
      <c r="N1229" t="s">
        <v>255</v>
      </c>
      <c r="U1229" s="8">
        <f t="shared" si="123"/>
        <v>2</v>
      </c>
      <c r="AD1229" t="str">
        <f t="shared" si="122"/>
        <v>e</v>
      </c>
      <c r="AE1229" t="str">
        <f t="shared" si="126"/>
        <v>Faceoff</v>
      </c>
      <c r="AF1229" t="str">
        <f t="shared" si="124"/>
        <v>Faceoff_AfterStoppage</v>
      </c>
      <c r="AG1229" t="str">
        <f t="shared" si="125"/>
        <v/>
      </c>
      <c r="AN1229" t="str">
        <f t="shared" si="127"/>
        <v>Offensive</v>
      </c>
      <c r="BD1229" s="23"/>
      <c r="BF1229" s="21"/>
    </row>
    <row r="1230" spans="1:58" x14ac:dyDescent="0.2">
      <c r="A1230">
        <v>622</v>
      </c>
      <c r="J1230">
        <v>14</v>
      </c>
      <c r="K1230">
        <v>1</v>
      </c>
      <c r="U1230" s="8">
        <f t="shared" si="123"/>
        <v>2</v>
      </c>
      <c r="AD1230" t="str">
        <f t="shared" si="122"/>
        <v>e</v>
      </c>
      <c r="AE1230" t="str">
        <f t="shared" si="126"/>
        <v>Faceoff</v>
      </c>
      <c r="AF1230" t="str">
        <f t="shared" si="124"/>
        <v>Faceoff_AfterStoppage</v>
      </c>
      <c r="AG1230" t="str">
        <f t="shared" si="125"/>
        <v/>
      </c>
      <c r="AN1230" t="str">
        <f t="shared" si="127"/>
        <v>Offensive</v>
      </c>
      <c r="BD1230" s="23"/>
      <c r="BF1230" s="21"/>
    </row>
    <row r="1231" spans="1:58" x14ac:dyDescent="0.2">
      <c r="A1231">
        <v>622</v>
      </c>
      <c r="J1231">
        <v>13</v>
      </c>
      <c r="U1231" s="8">
        <f t="shared" si="123"/>
        <v>2</v>
      </c>
      <c r="AD1231" t="str">
        <f t="shared" si="122"/>
        <v>o</v>
      </c>
      <c r="AE1231" t="str">
        <f t="shared" si="126"/>
        <v>Faceoff</v>
      </c>
      <c r="AF1231" t="str">
        <f t="shared" si="124"/>
        <v>Faceoff_AfterStoppage</v>
      </c>
      <c r="AG1231" t="str">
        <f t="shared" si="125"/>
        <v/>
      </c>
      <c r="AN1231" t="str">
        <f t="shared" si="127"/>
        <v>Defensive</v>
      </c>
      <c r="BD1231" s="23"/>
      <c r="BF1231" s="21"/>
    </row>
    <row r="1232" spans="1:58" x14ac:dyDescent="0.2">
      <c r="A1232">
        <v>623</v>
      </c>
      <c r="E1232" s="5" t="s">
        <v>871</v>
      </c>
      <c r="F1232" s="5" t="s">
        <v>889</v>
      </c>
      <c r="I1232" t="s">
        <v>835</v>
      </c>
      <c r="J1232">
        <v>14</v>
      </c>
      <c r="K1232">
        <v>1</v>
      </c>
      <c r="L1232" t="s">
        <v>845</v>
      </c>
      <c r="M1232" t="s">
        <v>8</v>
      </c>
      <c r="N1232" t="s">
        <v>189</v>
      </c>
      <c r="O1232" t="s">
        <v>68</v>
      </c>
      <c r="P1232" t="s">
        <v>689</v>
      </c>
      <c r="U1232" s="8">
        <f t="shared" si="123"/>
        <v>2</v>
      </c>
      <c r="AD1232" t="str">
        <f t="shared" si="122"/>
        <v>e</v>
      </c>
      <c r="AE1232" t="str">
        <f t="shared" si="126"/>
        <v>Pass</v>
      </c>
      <c r="AF1232" t="str">
        <f t="shared" si="124"/>
        <v>Pass_Completed</v>
      </c>
      <c r="AG1232" t="str">
        <f t="shared" si="125"/>
        <v>Pass-Rim/Wrap</v>
      </c>
      <c r="AN1232" t="str">
        <f t="shared" si="127"/>
        <v>Offensive</v>
      </c>
      <c r="BD1232" s="23"/>
      <c r="BF1232" s="21"/>
    </row>
    <row r="1233" spans="1:58" x14ac:dyDescent="0.2">
      <c r="A1233">
        <v>623</v>
      </c>
      <c r="J1233">
        <v>91</v>
      </c>
      <c r="K1233">
        <v>1</v>
      </c>
      <c r="U1233" s="8">
        <f t="shared" si="123"/>
        <v>2</v>
      </c>
      <c r="AD1233" t="str">
        <f t="shared" si="122"/>
        <v>e</v>
      </c>
      <c r="AE1233" t="str">
        <f t="shared" si="126"/>
        <v>Pass</v>
      </c>
      <c r="AF1233" t="str">
        <f t="shared" si="124"/>
        <v>Pass_Completed</v>
      </c>
      <c r="AG1233" t="str">
        <f t="shared" si="125"/>
        <v>Pass-Rim/Wrap</v>
      </c>
      <c r="AN1233" t="str">
        <f t="shared" si="127"/>
        <v>Offensive</v>
      </c>
      <c r="BD1233" s="23"/>
      <c r="BF1233" s="21"/>
    </row>
    <row r="1234" spans="1:58" x14ac:dyDescent="0.2">
      <c r="A1234">
        <v>624</v>
      </c>
      <c r="E1234" s="5" t="s">
        <v>871</v>
      </c>
      <c r="F1234" s="5" t="s">
        <v>878</v>
      </c>
      <c r="G1234" s="5" t="s">
        <v>871</v>
      </c>
      <c r="H1234" s="7" t="s">
        <v>879</v>
      </c>
      <c r="I1234" t="s">
        <v>835</v>
      </c>
      <c r="J1234">
        <v>91</v>
      </c>
      <c r="K1234">
        <v>1</v>
      </c>
      <c r="L1234" t="s">
        <v>845</v>
      </c>
      <c r="M1234" t="s">
        <v>15</v>
      </c>
      <c r="N1234" t="s">
        <v>667</v>
      </c>
      <c r="U1234" s="8">
        <f t="shared" si="123"/>
        <v>2</v>
      </c>
      <c r="AD1234" t="str">
        <f t="shared" si="122"/>
        <v>e</v>
      </c>
      <c r="AE1234" t="str">
        <f t="shared" si="126"/>
        <v>Possession</v>
      </c>
      <c r="AF1234" t="str">
        <f t="shared" si="124"/>
        <v>Regroup</v>
      </c>
      <c r="AG1234" t="str">
        <f t="shared" si="125"/>
        <v/>
      </c>
      <c r="AN1234" t="str">
        <f t="shared" si="127"/>
        <v>Offensive</v>
      </c>
      <c r="BD1234" s="23"/>
      <c r="BF1234" s="21"/>
    </row>
    <row r="1235" spans="1:58" x14ac:dyDescent="0.2">
      <c r="A1235">
        <v>625</v>
      </c>
      <c r="B1235">
        <v>102</v>
      </c>
      <c r="E1235" s="5" t="s">
        <v>871</v>
      </c>
      <c r="F1235" s="5" t="s">
        <v>880</v>
      </c>
      <c r="I1235" t="s">
        <v>835</v>
      </c>
      <c r="J1235">
        <v>91</v>
      </c>
      <c r="K1235">
        <v>1</v>
      </c>
      <c r="L1235" t="s">
        <v>845</v>
      </c>
      <c r="M1235" t="s">
        <v>8</v>
      </c>
      <c r="N1235" t="s">
        <v>199</v>
      </c>
      <c r="O1235" t="s">
        <v>478</v>
      </c>
      <c r="P1235" t="s">
        <v>688</v>
      </c>
      <c r="Q1235" t="s">
        <v>706</v>
      </c>
      <c r="S1235" t="s">
        <v>688</v>
      </c>
      <c r="T1235">
        <v>1</v>
      </c>
      <c r="U1235" s="8">
        <f t="shared" si="123"/>
        <v>2</v>
      </c>
      <c r="AD1235" t="str">
        <f t="shared" si="122"/>
        <v>e</v>
      </c>
      <c r="AE1235" t="str">
        <f t="shared" si="126"/>
        <v>Pass</v>
      </c>
      <c r="AF1235" t="str">
        <f t="shared" si="124"/>
        <v>Pass_Missed</v>
      </c>
      <c r="AG1235" t="str">
        <f t="shared" si="125"/>
        <v>Pass-ReceiverMissed</v>
      </c>
      <c r="AN1235" t="str">
        <f t="shared" si="127"/>
        <v>Offensive</v>
      </c>
      <c r="BD1235" s="23"/>
      <c r="BF1235" s="21"/>
    </row>
    <row r="1236" spans="1:58" x14ac:dyDescent="0.2">
      <c r="A1236">
        <v>625</v>
      </c>
      <c r="B1236">
        <v>102</v>
      </c>
      <c r="J1236">
        <v>14</v>
      </c>
      <c r="K1236">
        <v>1</v>
      </c>
      <c r="Q1236" t="s">
        <v>713</v>
      </c>
      <c r="S1236" t="s">
        <v>688</v>
      </c>
      <c r="U1236" s="8">
        <f t="shared" si="123"/>
        <v>2</v>
      </c>
      <c r="AD1236" t="str">
        <f t="shared" si="122"/>
        <v>e</v>
      </c>
      <c r="AE1236" t="str">
        <f t="shared" si="126"/>
        <v>Pass</v>
      </c>
      <c r="AF1236" t="str">
        <f t="shared" si="124"/>
        <v>Pass_Missed</v>
      </c>
      <c r="AG1236" t="str">
        <f t="shared" si="125"/>
        <v>Pass-ReceiverMissed</v>
      </c>
      <c r="AN1236" t="str">
        <f t="shared" si="127"/>
        <v>Offensive</v>
      </c>
      <c r="BD1236" s="23"/>
      <c r="BF1236" s="21"/>
    </row>
    <row r="1237" spans="1:58" x14ac:dyDescent="0.2">
      <c r="A1237">
        <v>625</v>
      </c>
      <c r="B1237">
        <v>102</v>
      </c>
      <c r="J1237">
        <v>71</v>
      </c>
      <c r="T1237">
        <v>1</v>
      </c>
      <c r="U1237" s="8">
        <f t="shared" si="123"/>
        <v>2</v>
      </c>
      <c r="AD1237" t="str">
        <f t="shared" si="122"/>
        <v>o</v>
      </c>
      <c r="AE1237" t="str">
        <f t="shared" si="126"/>
        <v>Pass</v>
      </c>
      <c r="AF1237" t="str">
        <f t="shared" si="124"/>
        <v>Pass_Missed</v>
      </c>
      <c r="AG1237" t="str">
        <f t="shared" si="125"/>
        <v>Pass-ReceiverMissed</v>
      </c>
      <c r="AN1237" t="str">
        <f t="shared" si="127"/>
        <v>Defensive</v>
      </c>
      <c r="BD1237" s="23"/>
      <c r="BF1237" s="21"/>
    </row>
    <row r="1238" spans="1:58" x14ac:dyDescent="0.2">
      <c r="A1238">
        <v>626</v>
      </c>
      <c r="B1238">
        <v>102</v>
      </c>
      <c r="I1238" t="s">
        <v>835</v>
      </c>
      <c r="J1238">
        <v>91</v>
      </c>
      <c r="K1238">
        <v>1</v>
      </c>
      <c r="L1238" t="s">
        <v>845</v>
      </c>
      <c r="M1238" t="s">
        <v>257</v>
      </c>
      <c r="N1238" t="s">
        <v>201</v>
      </c>
      <c r="O1238" t="s">
        <v>91</v>
      </c>
      <c r="P1238" t="s">
        <v>688</v>
      </c>
      <c r="Q1238" t="s">
        <v>706</v>
      </c>
      <c r="S1238" t="s">
        <v>688</v>
      </c>
      <c r="T1238">
        <v>1</v>
      </c>
      <c r="U1238" s="8">
        <f t="shared" si="123"/>
        <v>2</v>
      </c>
      <c r="AD1238" t="str">
        <f t="shared" si="122"/>
        <v>e</v>
      </c>
      <c r="AE1238" t="str">
        <f t="shared" si="126"/>
        <v>Zone_Entry_Exit</v>
      </c>
      <c r="AF1238" t="str">
        <f t="shared" si="124"/>
        <v>Zone_Exit</v>
      </c>
      <c r="AG1238" t="str">
        <f t="shared" si="125"/>
        <v>ZoneExit-Pass</v>
      </c>
      <c r="AN1238" t="str">
        <f t="shared" si="127"/>
        <v>Offensive</v>
      </c>
      <c r="BD1238" s="23"/>
      <c r="BF1238" s="21"/>
    </row>
    <row r="1239" spans="1:58" x14ac:dyDescent="0.2">
      <c r="A1239">
        <v>626</v>
      </c>
      <c r="B1239">
        <v>102</v>
      </c>
      <c r="J1239">
        <v>14</v>
      </c>
      <c r="K1239">
        <v>1</v>
      </c>
      <c r="Q1239" t="s">
        <v>713</v>
      </c>
      <c r="S1239" t="s">
        <v>688</v>
      </c>
      <c r="U1239" s="8">
        <f t="shared" si="123"/>
        <v>2</v>
      </c>
      <c r="AD1239" t="str">
        <f t="shared" si="122"/>
        <v>e</v>
      </c>
      <c r="AE1239" t="str">
        <f t="shared" si="126"/>
        <v>Zone_Entry_Exit</v>
      </c>
      <c r="AF1239" t="str">
        <f t="shared" si="124"/>
        <v>Zone_Exit</v>
      </c>
      <c r="AG1239" t="str">
        <f t="shared" si="125"/>
        <v>ZoneExit-Pass</v>
      </c>
      <c r="AN1239" t="str">
        <f t="shared" si="127"/>
        <v>Offensive</v>
      </c>
      <c r="BD1239" s="23"/>
      <c r="BF1239" s="21"/>
    </row>
    <row r="1240" spans="1:58" x14ac:dyDescent="0.2">
      <c r="A1240">
        <v>626</v>
      </c>
      <c r="B1240">
        <v>102</v>
      </c>
      <c r="J1240">
        <v>71</v>
      </c>
      <c r="T1240">
        <v>1</v>
      </c>
      <c r="U1240" s="8">
        <f t="shared" si="123"/>
        <v>2</v>
      </c>
      <c r="AD1240" t="str">
        <f t="shared" si="122"/>
        <v>o</v>
      </c>
      <c r="AE1240" t="str">
        <f t="shared" si="126"/>
        <v>Zone_Entry_Exit</v>
      </c>
      <c r="AF1240" t="str">
        <f t="shared" si="124"/>
        <v>Zone_Exit</v>
      </c>
      <c r="AG1240" t="str">
        <f t="shared" si="125"/>
        <v>ZoneExit-Pass</v>
      </c>
      <c r="AN1240" t="str">
        <f t="shared" si="127"/>
        <v>Defensive</v>
      </c>
      <c r="BD1240" s="23"/>
      <c r="BF1240" s="21"/>
    </row>
    <row r="1241" spans="1:58" x14ac:dyDescent="0.2">
      <c r="A1241">
        <v>627</v>
      </c>
      <c r="E1241" s="5" t="s">
        <v>871</v>
      </c>
      <c r="F1241" s="5" t="s">
        <v>851</v>
      </c>
      <c r="I1241" t="s">
        <v>835</v>
      </c>
      <c r="J1241">
        <v>70</v>
      </c>
      <c r="K1241">
        <v>1</v>
      </c>
      <c r="L1241" t="s">
        <v>839</v>
      </c>
      <c r="M1241" t="s">
        <v>15</v>
      </c>
      <c r="N1241" t="s">
        <v>681</v>
      </c>
      <c r="P1241" t="s">
        <v>688</v>
      </c>
      <c r="Q1241" t="s">
        <v>714</v>
      </c>
      <c r="S1241" t="s">
        <v>688</v>
      </c>
      <c r="T1241">
        <v>1</v>
      </c>
      <c r="U1241" s="8">
        <f t="shared" si="123"/>
        <v>2</v>
      </c>
      <c r="AD1241" t="str">
        <f t="shared" si="122"/>
        <v>e</v>
      </c>
      <c r="AE1241" t="str">
        <f t="shared" si="126"/>
        <v>Possession</v>
      </c>
      <c r="AF1241" t="str">
        <f t="shared" si="124"/>
        <v>PuckRecovery</v>
      </c>
      <c r="AG1241" t="str">
        <f t="shared" si="125"/>
        <v/>
      </c>
      <c r="AN1241" t="str">
        <f t="shared" si="127"/>
        <v>Offensive</v>
      </c>
      <c r="BD1241" s="23"/>
      <c r="BF1241" s="21"/>
    </row>
    <row r="1242" spans="1:58" x14ac:dyDescent="0.2">
      <c r="A1242">
        <v>627</v>
      </c>
      <c r="J1242">
        <v>7</v>
      </c>
      <c r="Q1242" t="s">
        <v>696</v>
      </c>
      <c r="R1242" t="s">
        <v>695</v>
      </c>
      <c r="S1242" t="s">
        <v>689</v>
      </c>
      <c r="T1242">
        <v>1</v>
      </c>
      <c r="U1242" s="8">
        <f t="shared" si="123"/>
        <v>2</v>
      </c>
      <c r="AD1242" t="str">
        <f t="shared" si="122"/>
        <v>o</v>
      </c>
      <c r="AE1242" t="str">
        <f t="shared" si="126"/>
        <v>Possession</v>
      </c>
      <c r="AF1242" t="str">
        <f t="shared" si="124"/>
        <v>PuckRecovery</v>
      </c>
      <c r="AG1242" t="str">
        <f t="shared" si="125"/>
        <v/>
      </c>
      <c r="AN1242" t="str">
        <f t="shared" si="127"/>
        <v>Defensive</v>
      </c>
      <c r="BD1242" s="23"/>
      <c r="BF1242" s="21"/>
    </row>
    <row r="1243" spans="1:58" x14ac:dyDescent="0.2">
      <c r="A1243">
        <v>628</v>
      </c>
      <c r="B1243">
        <v>103</v>
      </c>
      <c r="E1243" s="5" t="s">
        <v>871</v>
      </c>
      <c r="F1243" s="5" t="s">
        <v>852</v>
      </c>
      <c r="I1243" t="s">
        <v>840</v>
      </c>
      <c r="J1243">
        <v>7</v>
      </c>
      <c r="K1243">
        <v>1</v>
      </c>
      <c r="L1243" t="s">
        <v>839</v>
      </c>
      <c r="M1243" t="s">
        <v>10</v>
      </c>
      <c r="N1243" t="s">
        <v>200</v>
      </c>
      <c r="O1243" t="s">
        <v>82</v>
      </c>
      <c r="P1243" t="s">
        <v>689</v>
      </c>
      <c r="Q1243" t="s">
        <v>775</v>
      </c>
      <c r="R1243" t="s">
        <v>695</v>
      </c>
      <c r="S1243" t="s">
        <v>689</v>
      </c>
      <c r="T1243">
        <v>1</v>
      </c>
      <c r="U1243" s="8">
        <f t="shared" si="123"/>
        <v>2</v>
      </c>
      <c r="AD1243" t="str">
        <f t="shared" si="122"/>
        <v>e</v>
      </c>
      <c r="AE1243" t="str">
        <f t="shared" si="126"/>
        <v>Turnover</v>
      </c>
      <c r="AF1243" t="str">
        <f t="shared" si="124"/>
        <v>Turnover_Takeaway</v>
      </c>
      <c r="AG1243" t="str">
        <f t="shared" si="125"/>
        <v>Takeaway-PokeCheck</v>
      </c>
      <c r="AN1243" t="str">
        <f t="shared" si="127"/>
        <v>Defensive</v>
      </c>
      <c r="BD1243" s="23"/>
      <c r="BF1243" s="21"/>
    </row>
    <row r="1244" spans="1:58" x14ac:dyDescent="0.2">
      <c r="A1244">
        <v>628</v>
      </c>
      <c r="B1244">
        <v>103</v>
      </c>
      <c r="J1244">
        <v>70</v>
      </c>
      <c r="Q1244" t="s">
        <v>711</v>
      </c>
      <c r="S1244" t="s">
        <v>688</v>
      </c>
      <c r="T1244">
        <v>1</v>
      </c>
      <c r="U1244" s="8">
        <f t="shared" si="123"/>
        <v>2</v>
      </c>
      <c r="AD1244" t="str">
        <f t="shared" si="122"/>
        <v>o</v>
      </c>
      <c r="AE1244" t="str">
        <f t="shared" si="126"/>
        <v>Turnover</v>
      </c>
      <c r="AF1244" t="str">
        <f t="shared" si="124"/>
        <v>Turnover_Takeaway</v>
      </c>
      <c r="AG1244" t="str">
        <f t="shared" si="125"/>
        <v>Takeaway-PokeCheck</v>
      </c>
      <c r="AN1244" t="str">
        <f t="shared" si="127"/>
        <v>Offensive</v>
      </c>
      <c r="BD1244" s="23"/>
      <c r="BF1244" s="21"/>
    </row>
    <row r="1245" spans="1:58" x14ac:dyDescent="0.2">
      <c r="A1245">
        <v>629</v>
      </c>
      <c r="B1245">
        <v>103</v>
      </c>
      <c r="E1245" s="5" t="s">
        <v>871</v>
      </c>
      <c r="F1245" s="5" t="s">
        <v>852</v>
      </c>
      <c r="I1245" t="s">
        <v>835</v>
      </c>
      <c r="J1245">
        <v>70</v>
      </c>
      <c r="K1245">
        <v>1</v>
      </c>
      <c r="L1245" t="s">
        <v>839</v>
      </c>
      <c r="M1245" t="s">
        <v>257</v>
      </c>
      <c r="N1245" t="s">
        <v>751</v>
      </c>
      <c r="O1245" t="s">
        <v>87</v>
      </c>
      <c r="P1245" t="s">
        <v>688</v>
      </c>
      <c r="Q1245" t="s">
        <v>775</v>
      </c>
      <c r="R1245" t="s">
        <v>695</v>
      </c>
      <c r="S1245" t="s">
        <v>689</v>
      </c>
      <c r="T1245">
        <v>1</v>
      </c>
      <c r="U1245" s="8">
        <f t="shared" si="123"/>
        <v>2</v>
      </c>
      <c r="AD1245" t="str">
        <f t="shared" si="122"/>
        <v>e</v>
      </c>
      <c r="AE1245" t="str">
        <f t="shared" si="126"/>
        <v>Zone_Entry_Exit</v>
      </c>
      <c r="AF1245" t="str">
        <f t="shared" si="124"/>
        <v>Zone_Entryfailed</v>
      </c>
      <c r="AG1245" t="str">
        <f t="shared" si="125"/>
        <v>ZoneEntry-Rush</v>
      </c>
      <c r="AN1245" t="str">
        <f t="shared" si="127"/>
        <v>Offensive</v>
      </c>
      <c r="BD1245" s="23"/>
      <c r="BF1245" s="21"/>
    </row>
    <row r="1246" spans="1:58" x14ac:dyDescent="0.2">
      <c r="A1246">
        <v>629</v>
      </c>
      <c r="B1246">
        <v>103</v>
      </c>
      <c r="J1246">
        <v>7</v>
      </c>
      <c r="Q1246" t="s">
        <v>711</v>
      </c>
      <c r="S1246" t="s">
        <v>688</v>
      </c>
      <c r="T1246">
        <v>1</v>
      </c>
      <c r="U1246" s="8">
        <f t="shared" si="123"/>
        <v>2</v>
      </c>
      <c r="AD1246" t="str">
        <f t="shared" si="122"/>
        <v>o</v>
      </c>
      <c r="AE1246" t="str">
        <f t="shared" si="126"/>
        <v>Zone_Entry_Exit</v>
      </c>
      <c r="AF1246" t="str">
        <f t="shared" si="124"/>
        <v>Zone_Entryfailed</v>
      </c>
      <c r="AG1246" t="str">
        <f t="shared" si="125"/>
        <v>ZoneEntry-Rush</v>
      </c>
      <c r="AN1246" t="str">
        <f t="shared" si="127"/>
        <v>Defensive</v>
      </c>
      <c r="BD1246" s="23"/>
      <c r="BF1246" s="21"/>
    </row>
    <row r="1247" spans="1:58" x14ac:dyDescent="0.2">
      <c r="A1247">
        <v>630</v>
      </c>
      <c r="E1247" s="5" t="s">
        <v>871</v>
      </c>
      <c r="F1247" s="5" t="s">
        <v>855</v>
      </c>
      <c r="I1247" t="s">
        <v>835</v>
      </c>
      <c r="J1247">
        <v>14</v>
      </c>
      <c r="K1247">
        <v>1</v>
      </c>
      <c r="L1247" t="s">
        <v>839</v>
      </c>
      <c r="M1247" t="s">
        <v>15</v>
      </c>
      <c r="N1247" t="s">
        <v>681</v>
      </c>
      <c r="P1247" t="s">
        <v>688</v>
      </c>
      <c r="Q1247" t="s">
        <v>712</v>
      </c>
      <c r="S1247" t="s">
        <v>688</v>
      </c>
      <c r="U1247" s="8">
        <f t="shared" si="123"/>
        <v>2</v>
      </c>
      <c r="AD1247" t="str">
        <f t="shared" si="122"/>
        <v>e</v>
      </c>
      <c r="AE1247" t="str">
        <f t="shared" si="126"/>
        <v>Possession</v>
      </c>
      <c r="AF1247" t="str">
        <f t="shared" si="124"/>
        <v>PuckRecovery</v>
      </c>
      <c r="AG1247" t="str">
        <f t="shared" si="125"/>
        <v/>
      </c>
      <c r="AN1247" t="str">
        <f t="shared" si="127"/>
        <v>Offensive</v>
      </c>
      <c r="BD1247" s="23"/>
      <c r="BF1247" s="21"/>
    </row>
    <row r="1248" spans="1:58" x14ac:dyDescent="0.2">
      <c r="A1248">
        <v>631</v>
      </c>
      <c r="B1248">
        <v>104</v>
      </c>
      <c r="E1248" s="5" t="s">
        <v>871</v>
      </c>
      <c r="F1248" s="5" t="s">
        <v>855</v>
      </c>
      <c r="I1248" t="s">
        <v>835</v>
      </c>
      <c r="J1248">
        <v>14</v>
      </c>
      <c r="K1248">
        <v>1</v>
      </c>
      <c r="L1248" t="s">
        <v>839</v>
      </c>
      <c r="M1248" t="s">
        <v>257</v>
      </c>
      <c r="N1248" t="s">
        <v>191</v>
      </c>
      <c r="O1248" t="s">
        <v>89</v>
      </c>
      <c r="P1248" t="s">
        <v>688</v>
      </c>
      <c r="Q1248" t="s">
        <v>913</v>
      </c>
      <c r="S1248" t="s">
        <v>688</v>
      </c>
      <c r="U1248" s="8">
        <f t="shared" si="123"/>
        <v>2</v>
      </c>
      <c r="AD1248" t="str">
        <f t="shared" si="122"/>
        <v>e</v>
      </c>
      <c r="AE1248" t="str">
        <f t="shared" si="126"/>
        <v>Zone_Entry_Exit</v>
      </c>
      <c r="AF1248" t="str">
        <f t="shared" si="124"/>
        <v>Zone_Entry</v>
      </c>
      <c r="AG1248" t="str">
        <f t="shared" si="125"/>
        <v>ZoneEntry-DumpIn</v>
      </c>
      <c r="AN1248" t="str">
        <f t="shared" si="127"/>
        <v>Offensive</v>
      </c>
      <c r="BD1248" s="23"/>
      <c r="BF1248" s="21"/>
    </row>
    <row r="1249" spans="1:58" x14ac:dyDescent="0.2">
      <c r="A1249">
        <v>632</v>
      </c>
      <c r="B1249">
        <v>104</v>
      </c>
      <c r="E1249" s="5" t="s">
        <v>871</v>
      </c>
      <c r="F1249" s="5" t="s">
        <v>855</v>
      </c>
      <c r="I1249" t="s">
        <v>835</v>
      </c>
      <c r="J1249">
        <v>14</v>
      </c>
      <c r="K1249">
        <v>1</v>
      </c>
      <c r="L1249" t="s">
        <v>839</v>
      </c>
      <c r="M1249" t="s">
        <v>10</v>
      </c>
      <c r="N1249" t="s">
        <v>190</v>
      </c>
      <c r="O1249" t="s">
        <v>387</v>
      </c>
      <c r="P1249" t="s">
        <v>688</v>
      </c>
      <c r="Q1249" t="s">
        <v>913</v>
      </c>
      <c r="R1249" t="s">
        <v>710</v>
      </c>
      <c r="S1249" t="s">
        <v>688</v>
      </c>
      <c r="U1249" s="8">
        <f t="shared" si="123"/>
        <v>2</v>
      </c>
      <c r="AD1249" t="str">
        <f t="shared" si="122"/>
        <v>e</v>
      </c>
      <c r="AE1249" t="str">
        <f t="shared" si="126"/>
        <v>Turnover</v>
      </c>
      <c r="AF1249" t="str">
        <f t="shared" si="124"/>
        <v>Turnover_Giveaway</v>
      </c>
      <c r="AG1249" t="str">
        <f t="shared" si="125"/>
        <v>Giveaway-ZoneClear/Dump</v>
      </c>
      <c r="AN1249" t="str">
        <f t="shared" si="127"/>
        <v>Offensive</v>
      </c>
      <c r="BD1249" s="23"/>
      <c r="BF1249" s="21"/>
    </row>
    <row r="1250" spans="1:58" x14ac:dyDescent="0.2">
      <c r="A1250">
        <v>633</v>
      </c>
      <c r="E1250" s="5" t="s">
        <v>871</v>
      </c>
      <c r="F1250" s="5" t="s">
        <v>857</v>
      </c>
      <c r="G1250" s="5" t="s">
        <v>871</v>
      </c>
      <c r="H1250" s="7" t="s">
        <v>858</v>
      </c>
      <c r="I1250" s="5" t="s">
        <v>840</v>
      </c>
      <c r="J1250">
        <v>7</v>
      </c>
      <c r="K1250">
        <v>1</v>
      </c>
      <c r="L1250" s="5" t="s">
        <v>845</v>
      </c>
      <c r="M1250" t="s">
        <v>15</v>
      </c>
      <c r="N1250" t="s">
        <v>680</v>
      </c>
      <c r="P1250" t="s">
        <v>689</v>
      </c>
      <c r="Q1250" t="s">
        <v>698</v>
      </c>
      <c r="S1250" t="s">
        <v>689</v>
      </c>
      <c r="U1250" s="8">
        <f t="shared" si="123"/>
        <v>2</v>
      </c>
      <c r="AD1250" t="str">
        <f t="shared" si="122"/>
        <v>e</v>
      </c>
      <c r="AE1250" t="str">
        <f t="shared" si="126"/>
        <v>Possession</v>
      </c>
      <c r="AF1250" t="str">
        <f t="shared" si="124"/>
        <v>PuckRetrieval</v>
      </c>
      <c r="AG1250" t="str">
        <f t="shared" si="125"/>
        <v/>
      </c>
      <c r="AN1250" t="str">
        <f t="shared" si="127"/>
        <v>Offensive</v>
      </c>
      <c r="BD1250" s="23"/>
      <c r="BF1250" s="21"/>
    </row>
    <row r="1251" spans="1:58" x14ac:dyDescent="0.2">
      <c r="A1251">
        <v>634</v>
      </c>
      <c r="E1251" s="5" t="s">
        <v>871</v>
      </c>
      <c r="F1251" s="5" t="s">
        <v>858</v>
      </c>
      <c r="I1251" t="s">
        <v>840</v>
      </c>
      <c r="J1251">
        <v>7</v>
      </c>
      <c r="K1251">
        <v>1</v>
      </c>
      <c r="L1251" t="s">
        <v>845</v>
      </c>
      <c r="M1251" t="s">
        <v>8</v>
      </c>
      <c r="N1251" t="s">
        <v>189</v>
      </c>
      <c r="O1251" t="s">
        <v>70</v>
      </c>
      <c r="P1251" t="s">
        <v>689</v>
      </c>
      <c r="U1251" s="8">
        <f t="shared" si="123"/>
        <v>2</v>
      </c>
      <c r="AD1251" t="str">
        <f t="shared" si="122"/>
        <v>e</v>
      </c>
      <c r="AE1251" t="str">
        <f t="shared" si="126"/>
        <v>Pass</v>
      </c>
      <c r="AF1251" t="str">
        <f t="shared" si="124"/>
        <v>Pass_Completed</v>
      </c>
      <c r="AG1251" t="str">
        <f t="shared" si="125"/>
        <v>Pass-Forehand</v>
      </c>
      <c r="AN1251" t="str">
        <f t="shared" si="127"/>
        <v>Offensive</v>
      </c>
      <c r="BD1251" s="23"/>
      <c r="BF1251" s="21"/>
    </row>
    <row r="1252" spans="1:58" x14ac:dyDescent="0.2">
      <c r="A1252">
        <v>634</v>
      </c>
      <c r="J1252">
        <v>5</v>
      </c>
      <c r="K1252">
        <v>1</v>
      </c>
      <c r="U1252" s="8">
        <f t="shared" si="123"/>
        <v>2</v>
      </c>
      <c r="AD1252" t="str">
        <f t="shared" si="122"/>
        <v>e</v>
      </c>
      <c r="AE1252" t="str">
        <f t="shared" si="126"/>
        <v>Pass</v>
      </c>
      <c r="AF1252" t="str">
        <f t="shared" si="124"/>
        <v>Pass_Completed</v>
      </c>
      <c r="AG1252" t="str">
        <f t="shared" si="125"/>
        <v>Pass-Forehand</v>
      </c>
      <c r="AN1252" t="str">
        <f t="shared" si="127"/>
        <v>Offensive</v>
      </c>
      <c r="BD1252" s="23"/>
      <c r="BF1252" s="21"/>
    </row>
    <row r="1253" spans="1:58" x14ac:dyDescent="0.2">
      <c r="A1253">
        <v>635</v>
      </c>
      <c r="E1253" s="5" t="s">
        <v>871</v>
      </c>
      <c r="F1253" s="5" t="s">
        <v>859</v>
      </c>
      <c r="I1253" t="s">
        <v>840</v>
      </c>
      <c r="J1253">
        <v>5</v>
      </c>
      <c r="K1253">
        <v>1</v>
      </c>
      <c r="L1253" t="s">
        <v>845</v>
      </c>
      <c r="M1253" t="s">
        <v>8</v>
      </c>
      <c r="N1253" t="s">
        <v>189</v>
      </c>
      <c r="O1253" t="s">
        <v>418</v>
      </c>
      <c r="P1253" t="s">
        <v>689</v>
      </c>
      <c r="Q1253" t="s">
        <v>749</v>
      </c>
      <c r="S1253" t="s">
        <v>689</v>
      </c>
      <c r="T1253">
        <v>1</v>
      </c>
      <c r="U1253" s="8">
        <f t="shared" si="123"/>
        <v>2</v>
      </c>
      <c r="AD1253" t="str">
        <f t="shared" si="122"/>
        <v>e</v>
      </c>
      <c r="AE1253" t="str">
        <f t="shared" si="126"/>
        <v>Pass</v>
      </c>
      <c r="AF1253" t="str">
        <f t="shared" si="124"/>
        <v>Pass_Completed</v>
      </c>
      <c r="AG1253" t="str">
        <f t="shared" si="125"/>
        <v>Pass-Drop</v>
      </c>
      <c r="AN1253" t="str">
        <f t="shared" si="127"/>
        <v>Offensive</v>
      </c>
      <c r="BD1253" s="23"/>
      <c r="BF1253" s="21"/>
    </row>
    <row r="1254" spans="1:58" x14ac:dyDescent="0.2">
      <c r="A1254">
        <v>635</v>
      </c>
      <c r="J1254">
        <v>13</v>
      </c>
      <c r="K1254">
        <v>1</v>
      </c>
      <c r="U1254" s="8">
        <f t="shared" si="123"/>
        <v>2</v>
      </c>
      <c r="AD1254" t="str">
        <f t="shared" si="122"/>
        <v>e</v>
      </c>
      <c r="AE1254" t="str">
        <f t="shared" si="126"/>
        <v>Pass</v>
      </c>
      <c r="AF1254" t="str">
        <f t="shared" si="124"/>
        <v>Pass_Completed</v>
      </c>
      <c r="AG1254" t="str">
        <f t="shared" si="125"/>
        <v>Pass-Drop</v>
      </c>
      <c r="AN1254" t="str">
        <f t="shared" si="127"/>
        <v>Offensive</v>
      </c>
      <c r="BD1254" s="23"/>
      <c r="BF1254" s="21"/>
    </row>
    <row r="1255" spans="1:58" x14ac:dyDescent="0.2">
      <c r="A1255">
        <v>635</v>
      </c>
      <c r="J1255">
        <v>14</v>
      </c>
      <c r="T1255">
        <v>1</v>
      </c>
      <c r="U1255" s="8">
        <f t="shared" si="123"/>
        <v>2</v>
      </c>
      <c r="AD1255" t="str">
        <f t="shared" si="122"/>
        <v>o</v>
      </c>
      <c r="AE1255" t="str">
        <f t="shared" si="126"/>
        <v>Pass</v>
      </c>
      <c r="AF1255" t="str">
        <f t="shared" si="124"/>
        <v>Pass_Completed</v>
      </c>
      <c r="AG1255" t="str">
        <f t="shared" si="125"/>
        <v>Pass-Drop</v>
      </c>
      <c r="AN1255" t="str">
        <f t="shared" si="127"/>
        <v>Defensive</v>
      </c>
      <c r="BD1255" s="23"/>
      <c r="BF1255" s="21"/>
    </row>
    <row r="1256" spans="1:58" x14ac:dyDescent="0.2">
      <c r="A1256">
        <v>636</v>
      </c>
      <c r="E1256" s="5" t="s">
        <v>871</v>
      </c>
      <c r="F1256" s="5" t="s">
        <v>862</v>
      </c>
      <c r="G1256" s="5" t="s">
        <v>871</v>
      </c>
      <c r="H1256" s="7" t="s">
        <v>836</v>
      </c>
      <c r="I1256" s="5" t="s">
        <v>840</v>
      </c>
      <c r="J1256">
        <v>13</v>
      </c>
      <c r="K1256">
        <v>1</v>
      </c>
      <c r="L1256" s="5" t="s">
        <v>845</v>
      </c>
      <c r="M1256" t="s">
        <v>15</v>
      </c>
      <c r="N1256" t="s">
        <v>667</v>
      </c>
      <c r="U1256" s="8">
        <f t="shared" si="123"/>
        <v>2</v>
      </c>
      <c r="AD1256" t="str">
        <f t="shared" si="122"/>
        <v>e</v>
      </c>
      <c r="AE1256" t="str">
        <f t="shared" si="126"/>
        <v>Possession</v>
      </c>
      <c r="AF1256" t="str">
        <f t="shared" si="124"/>
        <v>Regroup</v>
      </c>
      <c r="AG1256" t="str">
        <f t="shared" si="125"/>
        <v/>
      </c>
      <c r="AN1256" t="str">
        <f t="shared" si="127"/>
        <v>Offensive</v>
      </c>
      <c r="BD1256" s="23"/>
      <c r="BF1256" s="21"/>
    </row>
    <row r="1257" spans="1:58" x14ac:dyDescent="0.2">
      <c r="A1257">
        <v>637</v>
      </c>
      <c r="E1257" s="5" t="s">
        <v>871</v>
      </c>
      <c r="F1257" s="5" t="s">
        <v>836</v>
      </c>
      <c r="I1257" t="s">
        <v>840</v>
      </c>
      <c r="J1257">
        <v>13</v>
      </c>
      <c r="K1257">
        <v>1</v>
      </c>
      <c r="L1257" t="s">
        <v>845</v>
      </c>
      <c r="M1257" t="s">
        <v>8</v>
      </c>
      <c r="N1257" t="s">
        <v>189</v>
      </c>
      <c r="O1257" t="s">
        <v>70</v>
      </c>
      <c r="P1257" t="s">
        <v>689</v>
      </c>
      <c r="U1257" s="8">
        <f t="shared" si="123"/>
        <v>2</v>
      </c>
      <c r="AD1257" t="str">
        <f t="shared" si="122"/>
        <v>e</v>
      </c>
      <c r="AE1257" t="str">
        <f t="shared" si="126"/>
        <v>Pass</v>
      </c>
      <c r="AF1257" t="str">
        <f t="shared" si="124"/>
        <v>Pass_Completed</v>
      </c>
      <c r="AG1257" t="str">
        <f t="shared" si="125"/>
        <v>Pass-Forehand</v>
      </c>
      <c r="AN1257" t="str">
        <f t="shared" si="127"/>
        <v>Offensive</v>
      </c>
      <c r="BD1257" s="23"/>
      <c r="BF1257" s="21"/>
    </row>
    <row r="1258" spans="1:58" x14ac:dyDescent="0.2">
      <c r="A1258">
        <v>637</v>
      </c>
      <c r="J1258">
        <v>7</v>
      </c>
      <c r="K1258">
        <v>1</v>
      </c>
      <c r="U1258" s="8">
        <f t="shared" si="123"/>
        <v>2</v>
      </c>
      <c r="AD1258" t="str">
        <f t="shared" si="122"/>
        <v>e</v>
      </c>
      <c r="AE1258" t="str">
        <f t="shared" si="126"/>
        <v>Pass</v>
      </c>
      <c r="AF1258" t="str">
        <f t="shared" si="124"/>
        <v>Pass_Completed</v>
      </c>
      <c r="AG1258" t="str">
        <f t="shared" si="125"/>
        <v>Pass-Forehand</v>
      </c>
      <c r="AN1258" t="str">
        <f t="shared" si="127"/>
        <v>Offensive</v>
      </c>
      <c r="BD1258" s="23"/>
      <c r="BF1258" s="21"/>
    </row>
    <row r="1259" spans="1:58" x14ac:dyDescent="0.2">
      <c r="A1259">
        <v>638</v>
      </c>
      <c r="E1259" s="5" t="s">
        <v>871</v>
      </c>
      <c r="F1259" s="5" t="s">
        <v>836</v>
      </c>
      <c r="G1259" s="5" t="s">
        <v>871</v>
      </c>
      <c r="H1259" s="7" t="s">
        <v>871</v>
      </c>
      <c r="I1259" s="5" t="s">
        <v>840</v>
      </c>
      <c r="J1259">
        <v>7</v>
      </c>
      <c r="K1259">
        <v>1</v>
      </c>
      <c r="L1259" s="5" t="s">
        <v>845</v>
      </c>
      <c r="M1259" t="s">
        <v>15</v>
      </c>
      <c r="U1259" s="8">
        <f t="shared" si="123"/>
        <v>2</v>
      </c>
      <c r="AD1259" t="str">
        <f t="shared" si="122"/>
        <v>e</v>
      </c>
      <c r="AE1259" t="str">
        <f t="shared" si="126"/>
        <v>Possession</v>
      </c>
      <c r="AF1259" t="str">
        <f t="shared" si="124"/>
        <v/>
      </c>
      <c r="AG1259" t="str">
        <f t="shared" si="125"/>
        <v/>
      </c>
      <c r="AN1259" t="str">
        <f t="shared" si="127"/>
        <v>Offensive</v>
      </c>
      <c r="BD1259" s="23"/>
      <c r="BF1259" s="21"/>
    </row>
    <row r="1260" spans="1:58" x14ac:dyDescent="0.2">
      <c r="A1260">
        <v>639</v>
      </c>
      <c r="B1260">
        <v>105</v>
      </c>
      <c r="E1260" s="5" t="s">
        <v>871</v>
      </c>
      <c r="F1260" s="5" t="s">
        <v>871</v>
      </c>
      <c r="I1260" t="s">
        <v>840</v>
      </c>
      <c r="J1260">
        <v>7</v>
      </c>
      <c r="K1260">
        <v>1</v>
      </c>
      <c r="L1260" t="s">
        <v>845</v>
      </c>
      <c r="M1260" t="s">
        <v>8</v>
      </c>
      <c r="N1260" t="s">
        <v>216</v>
      </c>
      <c r="O1260" t="s">
        <v>67</v>
      </c>
      <c r="P1260" t="s">
        <v>688</v>
      </c>
      <c r="Q1260" t="s">
        <v>706</v>
      </c>
      <c r="S1260" t="s">
        <v>688</v>
      </c>
      <c r="U1260" s="8">
        <f t="shared" si="123"/>
        <v>2</v>
      </c>
      <c r="AD1260" t="str">
        <f t="shared" si="122"/>
        <v>e</v>
      </c>
      <c r="AE1260" t="str">
        <f t="shared" si="126"/>
        <v>Pass</v>
      </c>
      <c r="AF1260" t="str">
        <f t="shared" si="124"/>
        <v>Pass_Intercepted</v>
      </c>
      <c r="AG1260" t="str">
        <f t="shared" si="125"/>
        <v>Pass-Stretch</v>
      </c>
      <c r="AN1260" t="str">
        <f t="shared" si="127"/>
        <v>Offensive</v>
      </c>
      <c r="BD1260" s="23"/>
      <c r="BF1260" s="21"/>
    </row>
    <row r="1261" spans="1:58" x14ac:dyDescent="0.2">
      <c r="A1261">
        <v>639</v>
      </c>
      <c r="B1261">
        <v>105</v>
      </c>
      <c r="J1261">
        <v>5</v>
      </c>
      <c r="K1261">
        <v>1</v>
      </c>
      <c r="U1261" s="8">
        <f t="shared" si="123"/>
        <v>2</v>
      </c>
      <c r="AD1261" t="str">
        <f t="shared" si="122"/>
        <v>e</v>
      </c>
      <c r="AE1261" t="str">
        <f t="shared" si="126"/>
        <v>Pass</v>
      </c>
      <c r="AF1261" t="str">
        <f t="shared" si="124"/>
        <v>Pass_Intercepted</v>
      </c>
      <c r="AG1261" t="str">
        <f t="shared" si="125"/>
        <v>Pass-Stretch</v>
      </c>
      <c r="AN1261" t="str">
        <f t="shared" si="127"/>
        <v>Offensive</v>
      </c>
      <c r="BD1261" s="23"/>
      <c r="BF1261" s="21"/>
    </row>
    <row r="1262" spans="1:58" x14ac:dyDescent="0.2">
      <c r="A1262">
        <v>639</v>
      </c>
      <c r="B1262">
        <v>105</v>
      </c>
      <c r="J1262">
        <v>70</v>
      </c>
      <c r="Q1262" t="s">
        <v>700</v>
      </c>
      <c r="S1262" t="s">
        <v>689</v>
      </c>
      <c r="U1262" s="8">
        <f t="shared" si="123"/>
        <v>2</v>
      </c>
      <c r="AD1262" t="str">
        <f t="shared" si="122"/>
        <v>o</v>
      </c>
      <c r="AE1262" t="str">
        <f t="shared" si="126"/>
        <v>Pass</v>
      </c>
      <c r="AF1262" t="str">
        <f t="shared" si="124"/>
        <v>Pass_Intercepted</v>
      </c>
      <c r="AG1262" t="str">
        <f t="shared" si="125"/>
        <v>Pass-Stretch</v>
      </c>
      <c r="AN1262" t="str">
        <f t="shared" si="127"/>
        <v>Defensive</v>
      </c>
      <c r="BD1262" s="23"/>
      <c r="BF1262" s="21"/>
    </row>
    <row r="1263" spans="1:58" x14ac:dyDescent="0.2">
      <c r="A1263">
        <v>640</v>
      </c>
      <c r="B1263">
        <v>105</v>
      </c>
      <c r="E1263" s="5" t="s">
        <v>871</v>
      </c>
      <c r="F1263" s="5" t="s">
        <v>871</v>
      </c>
      <c r="I1263" t="s">
        <v>840</v>
      </c>
      <c r="J1263">
        <v>7</v>
      </c>
      <c r="K1263">
        <v>1</v>
      </c>
      <c r="L1263" t="s">
        <v>845</v>
      </c>
      <c r="M1263" t="s">
        <v>257</v>
      </c>
      <c r="N1263" t="s">
        <v>201</v>
      </c>
      <c r="O1263" t="s">
        <v>409</v>
      </c>
      <c r="P1263" t="s">
        <v>688</v>
      </c>
      <c r="Q1263" t="s">
        <v>706</v>
      </c>
      <c r="S1263" t="s">
        <v>688</v>
      </c>
      <c r="U1263" s="8">
        <f t="shared" si="123"/>
        <v>2</v>
      </c>
      <c r="AD1263" t="str">
        <f t="shared" si="122"/>
        <v>e</v>
      </c>
      <c r="AE1263" t="str">
        <f t="shared" si="126"/>
        <v>Zone_Entry_Exit</v>
      </c>
      <c r="AF1263" t="str">
        <f t="shared" si="124"/>
        <v>Zone_Exit</v>
      </c>
      <c r="AG1263" t="str">
        <f t="shared" si="125"/>
        <v>ZoneExit-PassMiss/Misplay</v>
      </c>
      <c r="AN1263" t="str">
        <f t="shared" si="127"/>
        <v>Offensive</v>
      </c>
      <c r="BD1263" s="23"/>
      <c r="BF1263" s="21"/>
    </row>
    <row r="1264" spans="1:58" x14ac:dyDescent="0.2">
      <c r="A1264">
        <v>640</v>
      </c>
      <c r="B1264">
        <v>105</v>
      </c>
      <c r="J1264">
        <v>5</v>
      </c>
      <c r="K1264">
        <v>1</v>
      </c>
      <c r="U1264" s="8">
        <f t="shared" si="123"/>
        <v>2</v>
      </c>
      <c r="AD1264" t="str">
        <f t="shared" si="122"/>
        <v>e</v>
      </c>
      <c r="AE1264" t="str">
        <f t="shared" si="126"/>
        <v>Zone_Entry_Exit</v>
      </c>
      <c r="AF1264" t="str">
        <f t="shared" si="124"/>
        <v>Zone_Exit</v>
      </c>
      <c r="AG1264" t="str">
        <f t="shared" si="125"/>
        <v>ZoneExit-PassMiss/Misplay</v>
      </c>
      <c r="AN1264" t="str">
        <f t="shared" si="127"/>
        <v>Offensive</v>
      </c>
      <c r="BD1264" s="23"/>
      <c r="BF1264" s="21"/>
    </row>
    <row r="1265" spans="1:58" x14ac:dyDescent="0.2">
      <c r="A1265">
        <v>640</v>
      </c>
      <c r="B1265">
        <v>105</v>
      </c>
      <c r="J1265">
        <v>70</v>
      </c>
      <c r="Q1265" t="s">
        <v>700</v>
      </c>
      <c r="S1265" t="s">
        <v>689</v>
      </c>
      <c r="U1265" s="8">
        <f t="shared" si="123"/>
        <v>2</v>
      </c>
      <c r="AD1265" t="str">
        <f t="shared" si="122"/>
        <v>o</v>
      </c>
      <c r="AE1265" t="str">
        <f t="shared" si="126"/>
        <v>Zone_Entry_Exit</v>
      </c>
      <c r="AF1265" t="str">
        <f t="shared" si="124"/>
        <v>Zone_Exit</v>
      </c>
      <c r="AG1265" t="str">
        <f t="shared" si="125"/>
        <v>ZoneExit-PassMiss/Misplay</v>
      </c>
      <c r="AN1265" t="str">
        <f t="shared" si="127"/>
        <v>Defensive</v>
      </c>
      <c r="BD1265" s="23"/>
      <c r="BF1265" s="21"/>
    </row>
    <row r="1266" spans="1:58" x14ac:dyDescent="0.2">
      <c r="A1266">
        <v>641</v>
      </c>
      <c r="B1266">
        <v>105</v>
      </c>
      <c r="E1266" s="5" t="s">
        <v>871</v>
      </c>
      <c r="F1266" s="5" t="s">
        <v>871</v>
      </c>
      <c r="I1266" t="s">
        <v>840</v>
      </c>
      <c r="J1266">
        <v>7</v>
      </c>
      <c r="K1266">
        <v>1</v>
      </c>
      <c r="L1266" t="s">
        <v>845</v>
      </c>
      <c r="M1266" t="s">
        <v>10</v>
      </c>
      <c r="N1266" t="s">
        <v>190</v>
      </c>
      <c r="O1266" t="s">
        <v>75</v>
      </c>
      <c r="P1266" t="s">
        <v>901</v>
      </c>
      <c r="Q1266" t="s">
        <v>706</v>
      </c>
      <c r="S1266" t="s">
        <v>688</v>
      </c>
      <c r="U1266" s="8">
        <f t="shared" si="123"/>
        <v>2</v>
      </c>
      <c r="AD1266" t="str">
        <f t="shared" si="122"/>
        <v>e</v>
      </c>
      <c r="AE1266" t="str">
        <f t="shared" si="126"/>
        <v>Turnover</v>
      </c>
      <c r="AF1266" t="str">
        <f t="shared" si="124"/>
        <v>Turnover_Giveaway</v>
      </c>
      <c r="AG1266" t="str">
        <f t="shared" si="125"/>
        <v>Giveaway-PassIntercepted</v>
      </c>
      <c r="AN1266" t="str">
        <f t="shared" si="127"/>
        <v>Offensive</v>
      </c>
      <c r="BD1266" s="23"/>
      <c r="BF1266" s="21"/>
    </row>
    <row r="1267" spans="1:58" x14ac:dyDescent="0.2">
      <c r="A1267">
        <v>641</v>
      </c>
      <c r="B1267">
        <v>105</v>
      </c>
      <c r="J1267">
        <v>5</v>
      </c>
      <c r="K1267">
        <v>1</v>
      </c>
      <c r="U1267" s="8">
        <f t="shared" si="123"/>
        <v>2</v>
      </c>
      <c r="AD1267" t="str">
        <f t="shared" si="122"/>
        <v>e</v>
      </c>
      <c r="AE1267" t="str">
        <f t="shared" si="126"/>
        <v>Turnover</v>
      </c>
      <c r="AF1267" t="str">
        <f t="shared" si="124"/>
        <v>Turnover_Giveaway</v>
      </c>
      <c r="AG1267" t="str">
        <f t="shared" si="125"/>
        <v>Giveaway-PassIntercepted</v>
      </c>
      <c r="AN1267" t="str">
        <f t="shared" si="127"/>
        <v>Offensive</v>
      </c>
      <c r="BD1267" s="23"/>
      <c r="BF1267" s="21"/>
    </row>
    <row r="1268" spans="1:58" x14ac:dyDescent="0.2">
      <c r="A1268">
        <v>641</v>
      </c>
      <c r="B1268">
        <v>105</v>
      </c>
      <c r="J1268">
        <v>70</v>
      </c>
      <c r="Q1268" t="s">
        <v>700</v>
      </c>
      <c r="S1268" t="s">
        <v>689</v>
      </c>
      <c r="U1268" s="8">
        <f t="shared" si="123"/>
        <v>2</v>
      </c>
      <c r="AD1268" t="str">
        <f t="shared" si="122"/>
        <v>o</v>
      </c>
      <c r="AE1268" t="str">
        <f t="shared" si="126"/>
        <v>Turnover</v>
      </c>
      <c r="AF1268" t="str">
        <f t="shared" si="124"/>
        <v>Turnover_Giveaway</v>
      </c>
      <c r="AG1268" t="str">
        <f t="shared" si="125"/>
        <v>Giveaway-PassIntercepted</v>
      </c>
      <c r="AN1268" t="str">
        <f t="shared" si="127"/>
        <v>Defensive</v>
      </c>
      <c r="BD1268" s="23"/>
      <c r="BF1268" s="21"/>
    </row>
    <row r="1269" spans="1:58" x14ac:dyDescent="0.2">
      <c r="A1269">
        <v>642</v>
      </c>
      <c r="E1269" s="5" t="s">
        <v>871</v>
      </c>
      <c r="F1269" s="5" t="s">
        <v>864</v>
      </c>
      <c r="G1269" s="5" t="s">
        <v>871</v>
      </c>
      <c r="H1269" s="7" t="s">
        <v>866</v>
      </c>
      <c r="I1269" s="5" t="s">
        <v>835</v>
      </c>
      <c r="J1269">
        <v>70</v>
      </c>
      <c r="K1269">
        <v>1</v>
      </c>
      <c r="L1269" s="5" t="s">
        <v>839</v>
      </c>
      <c r="M1269" t="s">
        <v>15</v>
      </c>
      <c r="N1269" t="s">
        <v>667</v>
      </c>
      <c r="Q1269" t="s">
        <v>721</v>
      </c>
      <c r="R1269" t="s">
        <v>727</v>
      </c>
      <c r="S1269" t="s">
        <v>689</v>
      </c>
      <c r="T1269">
        <v>1</v>
      </c>
      <c r="U1269" s="8">
        <f t="shared" si="123"/>
        <v>2</v>
      </c>
      <c r="AD1269" t="str">
        <f t="shared" si="122"/>
        <v>e</v>
      </c>
      <c r="AE1269" t="str">
        <f t="shared" si="126"/>
        <v>Possession</v>
      </c>
      <c r="AF1269" t="str">
        <f t="shared" si="124"/>
        <v>Regroup</v>
      </c>
      <c r="AG1269" t="str">
        <f t="shared" si="125"/>
        <v/>
      </c>
      <c r="AN1269" t="str">
        <f t="shared" si="127"/>
        <v>Offensive</v>
      </c>
      <c r="BD1269" s="23"/>
      <c r="BF1269" s="21"/>
    </row>
    <row r="1270" spans="1:58" x14ac:dyDescent="0.2">
      <c r="A1270">
        <v>642</v>
      </c>
      <c r="J1270">
        <v>13</v>
      </c>
      <c r="Q1270" t="s">
        <v>719</v>
      </c>
      <c r="S1270" t="s">
        <v>688</v>
      </c>
      <c r="T1270">
        <v>1</v>
      </c>
      <c r="U1270" s="8">
        <f t="shared" si="123"/>
        <v>2</v>
      </c>
      <c r="AD1270" t="str">
        <f t="shared" si="122"/>
        <v>o</v>
      </c>
      <c r="AE1270" t="str">
        <f t="shared" si="126"/>
        <v>Possession</v>
      </c>
      <c r="AF1270" t="str">
        <f t="shared" si="124"/>
        <v>Regroup</v>
      </c>
      <c r="AG1270" t="str">
        <f t="shared" si="125"/>
        <v/>
      </c>
      <c r="AN1270" t="str">
        <f t="shared" si="127"/>
        <v>Defensive</v>
      </c>
      <c r="BD1270" s="23"/>
      <c r="BF1270" s="21"/>
    </row>
    <row r="1271" spans="1:58" x14ac:dyDescent="0.2">
      <c r="A1271">
        <v>643</v>
      </c>
      <c r="B1271">
        <v>106</v>
      </c>
      <c r="E1271" s="5" t="s">
        <v>871</v>
      </c>
      <c r="F1271" s="5" t="s">
        <v>866</v>
      </c>
      <c r="I1271" t="s">
        <v>835</v>
      </c>
      <c r="J1271">
        <v>70</v>
      </c>
      <c r="K1271">
        <v>1</v>
      </c>
      <c r="L1271" t="s">
        <v>839</v>
      </c>
      <c r="M1271" t="s">
        <v>8</v>
      </c>
      <c r="N1271" t="s">
        <v>199</v>
      </c>
      <c r="O1271" t="s">
        <v>71</v>
      </c>
      <c r="P1271" t="s">
        <v>688</v>
      </c>
      <c r="Q1271" t="s">
        <v>709</v>
      </c>
      <c r="S1271" t="s">
        <v>688</v>
      </c>
      <c r="U1271" s="8">
        <f t="shared" si="123"/>
        <v>2</v>
      </c>
      <c r="AD1271" t="str">
        <f t="shared" si="122"/>
        <v>e</v>
      </c>
      <c r="AE1271" t="str">
        <f t="shared" si="126"/>
        <v>Pass</v>
      </c>
      <c r="AF1271" t="str">
        <f t="shared" si="124"/>
        <v>Pass_Missed</v>
      </c>
      <c r="AG1271" t="str">
        <f t="shared" si="125"/>
        <v>Pass-Bank</v>
      </c>
      <c r="AN1271" t="str">
        <f t="shared" si="127"/>
        <v>Offensive</v>
      </c>
      <c r="BD1271" s="23"/>
      <c r="BF1271" s="21"/>
    </row>
    <row r="1272" spans="1:58" x14ac:dyDescent="0.2">
      <c r="A1272">
        <v>643</v>
      </c>
      <c r="B1272">
        <v>106</v>
      </c>
      <c r="J1272">
        <v>75</v>
      </c>
      <c r="K1272">
        <v>1</v>
      </c>
      <c r="Q1272" t="s">
        <v>713</v>
      </c>
      <c r="S1272" t="s">
        <v>688</v>
      </c>
      <c r="U1272" s="8">
        <f t="shared" si="123"/>
        <v>2</v>
      </c>
      <c r="AD1272" t="str">
        <f t="shared" si="122"/>
        <v>e</v>
      </c>
      <c r="AE1272" t="str">
        <f t="shared" si="126"/>
        <v>Pass</v>
      </c>
      <c r="AF1272" t="str">
        <f t="shared" si="124"/>
        <v>Pass_Missed</v>
      </c>
      <c r="AG1272" t="str">
        <f t="shared" si="125"/>
        <v>Pass-Bank</v>
      </c>
      <c r="AN1272" t="str">
        <f t="shared" si="127"/>
        <v>Offensive</v>
      </c>
      <c r="BD1272" s="23"/>
      <c r="BF1272" s="21"/>
    </row>
    <row r="1273" spans="1:58" x14ac:dyDescent="0.2">
      <c r="A1273">
        <v>644</v>
      </c>
      <c r="B1273">
        <v>106</v>
      </c>
      <c r="E1273" s="5" t="s">
        <v>871</v>
      </c>
      <c r="F1273" s="5" t="s">
        <v>866</v>
      </c>
      <c r="I1273" t="s">
        <v>835</v>
      </c>
      <c r="J1273">
        <v>70</v>
      </c>
      <c r="K1273">
        <v>1</v>
      </c>
      <c r="L1273" t="s">
        <v>839</v>
      </c>
      <c r="M1273" t="s">
        <v>10</v>
      </c>
      <c r="N1273" t="s">
        <v>190</v>
      </c>
      <c r="O1273" t="s">
        <v>76</v>
      </c>
      <c r="P1273" t="s">
        <v>688</v>
      </c>
      <c r="Q1273" t="s">
        <v>709</v>
      </c>
      <c r="S1273" t="s">
        <v>688</v>
      </c>
      <c r="U1273" s="8">
        <f t="shared" si="123"/>
        <v>2</v>
      </c>
      <c r="AD1273" t="str">
        <f t="shared" si="122"/>
        <v>e</v>
      </c>
      <c r="AE1273" t="str">
        <f t="shared" si="126"/>
        <v>Turnover</v>
      </c>
      <c r="AF1273" t="str">
        <f t="shared" si="124"/>
        <v>Turnover_Giveaway</v>
      </c>
      <c r="AG1273" t="str">
        <f t="shared" si="125"/>
        <v>Giveaway-PassMissed</v>
      </c>
      <c r="AN1273" t="str">
        <f t="shared" si="127"/>
        <v>Offensive</v>
      </c>
      <c r="BD1273" s="23"/>
      <c r="BF1273" s="21"/>
    </row>
    <row r="1274" spans="1:58" x14ac:dyDescent="0.2">
      <c r="A1274">
        <v>644</v>
      </c>
      <c r="B1274">
        <v>106</v>
      </c>
      <c r="J1274">
        <v>75</v>
      </c>
      <c r="K1274">
        <v>1</v>
      </c>
      <c r="Q1274" t="s">
        <v>713</v>
      </c>
      <c r="S1274" t="s">
        <v>688</v>
      </c>
      <c r="U1274" s="8">
        <f t="shared" si="123"/>
        <v>2</v>
      </c>
      <c r="AD1274" t="str">
        <f t="shared" si="122"/>
        <v>e</v>
      </c>
      <c r="AE1274" t="str">
        <f t="shared" si="126"/>
        <v>Turnover</v>
      </c>
      <c r="AF1274" t="str">
        <f t="shared" si="124"/>
        <v>Turnover_Giveaway</v>
      </c>
      <c r="AG1274" t="str">
        <f t="shared" si="125"/>
        <v>Giveaway-PassMissed</v>
      </c>
      <c r="AN1274" t="str">
        <f t="shared" si="127"/>
        <v>Offensive</v>
      </c>
      <c r="BD1274" s="23"/>
      <c r="BF1274" s="21"/>
    </row>
    <row r="1275" spans="1:58" x14ac:dyDescent="0.2">
      <c r="A1275">
        <v>645</v>
      </c>
      <c r="E1275" s="5" t="s">
        <v>871</v>
      </c>
      <c r="F1275" s="5" t="s">
        <v>891</v>
      </c>
      <c r="G1275" s="5" t="s">
        <v>871</v>
      </c>
      <c r="H1275" s="7" t="s">
        <v>902</v>
      </c>
      <c r="I1275" s="5" t="s">
        <v>840</v>
      </c>
      <c r="J1275">
        <v>17</v>
      </c>
      <c r="K1275">
        <v>1</v>
      </c>
      <c r="L1275" s="5" t="s">
        <v>839</v>
      </c>
      <c r="M1275" t="s">
        <v>15</v>
      </c>
      <c r="N1275" t="s">
        <v>680</v>
      </c>
      <c r="P1275" t="s">
        <v>689</v>
      </c>
      <c r="Q1275" t="s">
        <v>701</v>
      </c>
      <c r="S1275" t="s">
        <v>689</v>
      </c>
      <c r="U1275" s="8">
        <f t="shared" si="123"/>
        <v>2</v>
      </c>
      <c r="AD1275" t="str">
        <f t="shared" si="122"/>
        <v>e</v>
      </c>
      <c r="AE1275" t="str">
        <f t="shared" si="126"/>
        <v>Possession</v>
      </c>
      <c r="AF1275" t="str">
        <f t="shared" si="124"/>
        <v>PuckRetrieval</v>
      </c>
      <c r="AG1275" t="str">
        <f t="shared" si="125"/>
        <v/>
      </c>
      <c r="AN1275" t="str">
        <f t="shared" si="127"/>
        <v>Offensive</v>
      </c>
      <c r="BD1275" s="23"/>
      <c r="BF1275" s="21"/>
    </row>
    <row r="1276" spans="1:58" x14ac:dyDescent="0.2">
      <c r="A1276">
        <v>645</v>
      </c>
      <c r="J1276">
        <v>70</v>
      </c>
      <c r="U1276" s="8">
        <f t="shared" si="123"/>
        <v>2</v>
      </c>
      <c r="AD1276" t="str">
        <f t="shared" si="122"/>
        <v>o</v>
      </c>
      <c r="AE1276" t="str">
        <f t="shared" si="126"/>
        <v>Possession</v>
      </c>
      <c r="AF1276" t="str">
        <f t="shared" si="124"/>
        <v>PuckRetrieval</v>
      </c>
      <c r="AG1276" t="str">
        <f t="shared" si="125"/>
        <v/>
      </c>
      <c r="AN1276" t="str">
        <f t="shared" si="127"/>
        <v>Defensive</v>
      </c>
      <c r="BD1276" s="23"/>
      <c r="BF1276" s="21"/>
    </row>
    <row r="1277" spans="1:58" x14ac:dyDescent="0.2">
      <c r="A1277">
        <v>646</v>
      </c>
      <c r="E1277" s="5" t="s">
        <v>871</v>
      </c>
      <c r="F1277" s="5" t="s">
        <v>902</v>
      </c>
      <c r="I1277" t="s">
        <v>840</v>
      </c>
      <c r="J1277">
        <v>17</v>
      </c>
      <c r="K1277">
        <v>1</v>
      </c>
      <c r="L1277" t="s">
        <v>839</v>
      </c>
      <c r="M1277" t="s">
        <v>8</v>
      </c>
      <c r="N1277" t="s">
        <v>199</v>
      </c>
      <c r="O1277" t="s">
        <v>69</v>
      </c>
      <c r="P1277" t="s">
        <v>689</v>
      </c>
      <c r="T1277">
        <v>1</v>
      </c>
      <c r="U1277" s="8">
        <f t="shared" si="123"/>
        <v>2</v>
      </c>
      <c r="AD1277" t="str">
        <f t="shared" si="122"/>
        <v>e</v>
      </c>
      <c r="AE1277" t="str">
        <f t="shared" si="126"/>
        <v>Pass</v>
      </c>
      <c r="AF1277" t="str">
        <f t="shared" si="124"/>
        <v>Pass_Missed</v>
      </c>
      <c r="AG1277" t="str">
        <f t="shared" si="125"/>
        <v>Pass-Backhand</v>
      </c>
      <c r="AN1277" t="str">
        <f t="shared" si="127"/>
        <v>Offensive</v>
      </c>
      <c r="BD1277" s="23"/>
      <c r="BF1277" s="21"/>
    </row>
    <row r="1278" spans="1:58" x14ac:dyDescent="0.2">
      <c r="A1278">
        <v>646</v>
      </c>
      <c r="J1278">
        <v>13</v>
      </c>
      <c r="K1278">
        <v>1</v>
      </c>
      <c r="Q1278" t="s">
        <v>713</v>
      </c>
      <c r="S1278" t="s">
        <v>688</v>
      </c>
      <c r="U1278" s="8">
        <f t="shared" si="123"/>
        <v>2</v>
      </c>
      <c r="AD1278" t="str">
        <f t="shared" si="122"/>
        <v>e</v>
      </c>
      <c r="AE1278" t="str">
        <f t="shared" si="126"/>
        <v>Pass</v>
      </c>
      <c r="AF1278" t="str">
        <f t="shared" si="124"/>
        <v>Pass_Missed</v>
      </c>
      <c r="AG1278" t="str">
        <f t="shared" si="125"/>
        <v>Pass-Backhand</v>
      </c>
      <c r="AN1278" t="str">
        <f t="shared" si="127"/>
        <v>Offensive</v>
      </c>
      <c r="BD1278" s="23"/>
      <c r="BF1278" s="21"/>
    </row>
    <row r="1279" spans="1:58" x14ac:dyDescent="0.2">
      <c r="A1279">
        <v>646</v>
      </c>
      <c r="J1279">
        <v>70</v>
      </c>
      <c r="Q1279" t="s">
        <v>765</v>
      </c>
      <c r="T1279">
        <v>1</v>
      </c>
      <c r="U1279" s="8">
        <f t="shared" si="123"/>
        <v>2</v>
      </c>
      <c r="AD1279" t="str">
        <f t="shared" si="122"/>
        <v>o</v>
      </c>
      <c r="AE1279" t="str">
        <f t="shared" si="126"/>
        <v>Pass</v>
      </c>
      <c r="AF1279" t="str">
        <f t="shared" si="124"/>
        <v>Pass_Missed</v>
      </c>
      <c r="AG1279" t="str">
        <f t="shared" si="125"/>
        <v>Pass-Backhand</v>
      </c>
      <c r="AN1279" t="str">
        <f t="shared" si="127"/>
        <v>Defensive</v>
      </c>
      <c r="BD1279" s="23"/>
      <c r="BF1279" s="21"/>
    </row>
    <row r="1280" spans="1:58" x14ac:dyDescent="0.2">
      <c r="A1280">
        <v>647</v>
      </c>
      <c r="B1280">
        <v>107</v>
      </c>
      <c r="E1280" s="5" t="s">
        <v>871</v>
      </c>
      <c r="F1280" s="5" t="s">
        <v>893</v>
      </c>
      <c r="I1280" t="s">
        <v>840</v>
      </c>
      <c r="J1280">
        <v>13</v>
      </c>
      <c r="K1280">
        <v>1</v>
      </c>
      <c r="L1280" t="s">
        <v>839</v>
      </c>
      <c r="M1280" t="s">
        <v>13</v>
      </c>
      <c r="N1280" t="s">
        <v>204</v>
      </c>
      <c r="O1280" t="s">
        <v>109</v>
      </c>
      <c r="U1280" s="8">
        <f t="shared" si="123"/>
        <v>2</v>
      </c>
      <c r="AD1280" t="str">
        <f t="shared" si="122"/>
        <v>e</v>
      </c>
      <c r="AE1280" t="str">
        <f t="shared" si="126"/>
        <v>Stoppage</v>
      </c>
      <c r="AF1280" t="str">
        <f t="shared" si="124"/>
        <v>Stoppage_Play</v>
      </c>
      <c r="AG1280" t="str">
        <f t="shared" si="125"/>
        <v>Stoppage-Offsides</v>
      </c>
      <c r="AN1280" t="str">
        <f t="shared" si="127"/>
        <v/>
      </c>
      <c r="BD1280" s="23"/>
      <c r="BF1280" s="21"/>
    </row>
    <row r="1281" spans="1:58" x14ac:dyDescent="0.2">
      <c r="A1281">
        <v>648</v>
      </c>
      <c r="B1281">
        <v>107</v>
      </c>
      <c r="E1281" s="5" t="s">
        <v>871</v>
      </c>
      <c r="F1281" s="5" t="s">
        <v>893</v>
      </c>
      <c r="G1281" s="5" t="s">
        <v>864</v>
      </c>
      <c r="H1281" s="7" t="s">
        <v>888</v>
      </c>
      <c r="I1281" t="s">
        <v>840</v>
      </c>
      <c r="J1281">
        <v>13</v>
      </c>
      <c r="K1281">
        <v>1</v>
      </c>
      <c r="L1281" t="s">
        <v>839</v>
      </c>
      <c r="M1281" t="s">
        <v>262</v>
      </c>
      <c r="U1281" s="8">
        <f t="shared" si="123"/>
        <v>2</v>
      </c>
      <c r="AD1281" t="str">
        <f t="shared" si="122"/>
        <v>e</v>
      </c>
      <c r="AE1281" t="str">
        <f t="shared" si="126"/>
        <v>DeadIce</v>
      </c>
      <c r="AF1281" t="str">
        <f t="shared" si="124"/>
        <v/>
      </c>
      <c r="AG1281" t="str">
        <f t="shared" si="125"/>
        <v/>
      </c>
      <c r="AN1281" t="str">
        <f t="shared" si="127"/>
        <v/>
      </c>
      <c r="BD1281" s="23"/>
      <c r="BF1281" s="21"/>
    </row>
    <row r="1282" spans="1:58" x14ac:dyDescent="0.2">
      <c r="A1282">
        <v>649</v>
      </c>
      <c r="E1282" s="5" t="s">
        <v>864</v>
      </c>
      <c r="F1282" s="5" t="s">
        <v>888</v>
      </c>
      <c r="I1282" t="s">
        <v>835</v>
      </c>
      <c r="J1282">
        <v>70</v>
      </c>
      <c r="K1282">
        <v>1</v>
      </c>
      <c r="L1282" t="s">
        <v>839</v>
      </c>
      <c r="M1282" t="s">
        <v>6</v>
      </c>
      <c r="N1282" t="s">
        <v>255</v>
      </c>
      <c r="U1282" s="8">
        <f t="shared" si="123"/>
        <v>2</v>
      </c>
      <c r="AD1282" t="str">
        <f t="shared" ref="AD1282:AD1345" si="128">IF(K1282="x","",IF(K1282=1,"e","o"))</f>
        <v>e</v>
      </c>
      <c r="AE1282" t="str">
        <f t="shared" si="126"/>
        <v>Faceoff</v>
      </c>
      <c r="AF1282" t="str">
        <f t="shared" si="124"/>
        <v>Faceoff_AfterStoppage</v>
      </c>
      <c r="AG1282" t="str">
        <f t="shared" si="125"/>
        <v/>
      </c>
      <c r="AN1282" t="str">
        <f t="shared" si="127"/>
        <v>Offensive</v>
      </c>
      <c r="BD1282" s="23"/>
      <c r="BF1282" s="21"/>
    </row>
    <row r="1283" spans="1:58" x14ac:dyDescent="0.2">
      <c r="A1283">
        <v>649</v>
      </c>
      <c r="J1283">
        <v>22</v>
      </c>
      <c r="K1283">
        <v>1</v>
      </c>
      <c r="U1283" s="8">
        <f t="shared" ref="U1283:U1346" si="129">IF(M1283="Intermission",U1282+1,U1282)</f>
        <v>2</v>
      </c>
      <c r="AD1283" t="str">
        <f t="shared" si="128"/>
        <v>e</v>
      </c>
      <c r="AE1283" t="str">
        <f t="shared" si="126"/>
        <v>Faceoff</v>
      </c>
      <c r="AF1283" t="str">
        <f t="shared" ref="AF1283:AF1346" si="130">IF(N1283&lt;&gt;"",N1283,IF($A1283=$A1282,AF1282,""))</f>
        <v>Faceoff_AfterStoppage</v>
      </c>
      <c r="AG1283" t="str">
        <f t="shared" ref="AG1283:AG1346" si="131">IF(O1283&lt;&gt;"",O1283,IF($A1283=$A1282,AG1282,""))</f>
        <v/>
      </c>
      <c r="AN1283" t="str">
        <f t="shared" si="127"/>
        <v>Offensive</v>
      </c>
      <c r="BD1283" s="23"/>
      <c r="BF1283" s="21"/>
    </row>
    <row r="1284" spans="1:58" x14ac:dyDescent="0.2">
      <c r="A1284">
        <v>649</v>
      </c>
      <c r="J1284">
        <v>13</v>
      </c>
      <c r="U1284" s="8">
        <f t="shared" si="129"/>
        <v>2</v>
      </c>
      <c r="AD1284" t="str">
        <f t="shared" si="128"/>
        <v>o</v>
      </c>
      <c r="AE1284" t="str">
        <f t="shared" ref="AE1284:AE1347" si="132">IF(M1284&lt;&gt;"",M1284,IF($A1284=$A1283,AE1283,""))</f>
        <v>Faceoff</v>
      </c>
      <c r="AF1284" t="str">
        <f t="shared" si="130"/>
        <v>Faceoff_AfterStoppage</v>
      </c>
      <c r="AG1284" t="str">
        <f t="shared" si="131"/>
        <v/>
      </c>
      <c r="AN1284" t="str">
        <f t="shared" si="127"/>
        <v>Defensive</v>
      </c>
      <c r="BD1284" s="23"/>
      <c r="BF1284" s="21"/>
    </row>
    <row r="1285" spans="1:58" x14ac:dyDescent="0.2">
      <c r="A1285">
        <v>650</v>
      </c>
      <c r="E1285" s="5" t="s">
        <v>864</v>
      </c>
      <c r="F1285" s="5" t="s">
        <v>889</v>
      </c>
      <c r="G1285" s="5" t="s">
        <v>864</v>
      </c>
      <c r="H1285" s="7" t="s">
        <v>897</v>
      </c>
      <c r="I1285" s="5" t="s">
        <v>835</v>
      </c>
      <c r="J1285">
        <v>22</v>
      </c>
      <c r="K1285">
        <v>1</v>
      </c>
      <c r="L1285" s="5" t="s">
        <v>845</v>
      </c>
      <c r="M1285" t="s">
        <v>15</v>
      </c>
      <c r="N1285" t="s">
        <v>667</v>
      </c>
      <c r="U1285" s="8">
        <f t="shared" si="129"/>
        <v>2</v>
      </c>
      <c r="AD1285" t="str">
        <f t="shared" si="128"/>
        <v>e</v>
      </c>
      <c r="AE1285" t="str">
        <f t="shared" si="132"/>
        <v>Possession</v>
      </c>
      <c r="AF1285" t="str">
        <f t="shared" si="130"/>
        <v>Regroup</v>
      </c>
      <c r="AG1285" t="str">
        <f t="shared" si="131"/>
        <v/>
      </c>
      <c r="AN1285" t="str">
        <f t="shared" si="127"/>
        <v>Offensive</v>
      </c>
      <c r="BD1285" s="23"/>
      <c r="BF1285" s="21"/>
    </row>
    <row r="1286" spans="1:58" x14ac:dyDescent="0.2">
      <c r="A1286">
        <v>651</v>
      </c>
      <c r="E1286" s="5" t="s">
        <v>864</v>
      </c>
      <c r="F1286" s="5" t="s">
        <v>897</v>
      </c>
      <c r="I1286" t="s">
        <v>835</v>
      </c>
      <c r="J1286">
        <v>22</v>
      </c>
      <c r="K1286">
        <v>1</v>
      </c>
      <c r="L1286" t="s">
        <v>845</v>
      </c>
      <c r="M1286" t="s">
        <v>8</v>
      </c>
      <c r="N1286" t="s">
        <v>189</v>
      </c>
      <c r="O1286" t="s">
        <v>67</v>
      </c>
      <c r="P1286" t="s">
        <v>689</v>
      </c>
      <c r="U1286" s="8">
        <f t="shared" si="129"/>
        <v>2</v>
      </c>
      <c r="AD1286" t="str">
        <f t="shared" si="128"/>
        <v>e</v>
      </c>
      <c r="AE1286" t="str">
        <f t="shared" si="132"/>
        <v>Pass</v>
      </c>
      <c r="AF1286" t="str">
        <f t="shared" si="130"/>
        <v>Pass_Completed</v>
      </c>
      <c r="AG1286" t="str">
        <f t="shared" si="131"/>
        <v>Pass-Stretch</v>
      </c>
      <c r="AN1286" t="str">
        <f t="shared" si="127"/>
        <v>Offensive</v>
      </c>
      <c r="BD1286" s="23"/>
      <c r="BF1286" s="21"/>
    </row>
    <row r="1287" spans="1:58" x14ac:dyDescent="0.2">
      <c r="A1287">
        <v>651</v>
      </c>
      <c r="J1287">
        <v>87</v>
      </c>
      <c r="K1287">
        <v>1</v>
      </c>
      <c r="U1287" s="8">
        <f t="shared" si="129"/>
        <v>2</v>
      </c>
      <c r="AD1287" t="str">
        <f t="shared" si="128"/>
        <v>e</v>
      </c>
      <c r="AE1287" t="str">
        <f t="shared" si="132"/>
        <v>Pass</v>
      </c>
      <c r="AF1287" t="str">
        <f t="shared" si="130"/>
        <v>Pass_Completed</v>
      </c>
      <c r="AG1287" t="str">
        <f t="shared" si="131"/>
        <v>Pass-Stretch</v>
      </c>
      <c r="AN1287" t="str">
        <f t="shared" si="127"/>
        <v>Offensive</v>
      </c>
      <c r="BD1287" s="23"/>
      <c r="BF1287" s="21"/>
    </row>
    <row r="1288" spans="1:58" x14ac:dyDescent="0.2">
      <c r="A1288">
        <v>652</v>
      </c>
      <c r="E1288" s="5" t="s">
        <v>864</v>
      </c>
      <c r="F1288" s="5" t="s">
        <v>897</v>
      </c>
      <c r="G1288" s="5" t="s">
        <v>864</v>
      </c>
      <c r="H1288" s="7" t="s">
        <v>879</v>
      </c>
      <c r="I1288" s="5" t="s">
        <v>835</v>
      </c>
      <c r="J1288">
        <v>87</v>
      </c>
      <c r="K1288">
        <v>1</v>
      </c>
      <c r="L1288" s="5" t="s">
        <v>839</v>
      </c>
      <c r="M1288" t="s">
        <v>15</v>
      </c>
      <c r="U1288" s="8">
        <f t="shared" si="129"/>
        <v>2</v>
      </c>
      <c r="AD1288" t="str">
        <f t="shared" si="128"/>
        <v>e</v>
      </c>
      <c r="AE1288" t="str">
        <f t="shared" si="132"/>
        <v>Possession</v>
      </c>
      <c r="AF1288" t="str">
        <f t="shared" si="130"/>
        <v/>
      </c>
      <c r="AG1288" t="str">
        <f t="shared" si="131"/>
        <v/>
      </c>
      <c r="AN1288" t="str">
        <f t="shared" si="127"/>
        <v>Offensive</v>
      </c>
      <c r="BD1288" s="23"/>
      <c r="BF1288" s="21"/>
    </row>
    <row r="1289" spans="1:58" x14ac:dyDescent="0.2">
      <c r="A1289">
        <v>653</v>
      </c>
      <c r="E1289" s="5" t="s">
        <v>864</v>
      </c>
      <c r="F1289" s="5" t="s">
        <v>879</v>
      </c>
      <c r="I1289" t="s">
        <v>835</v>
      </c>
      <c r="J1289">
        <v>87</v>
      </c>
      <c r="K1289">
        <v>1</v>
      </c>
      <c r="L1289" t="s">
        <v>401</v>
      </c>
      <c r="M1289" t="s">
        <v>257</v>
      </c>
      <c r="N1289" t="s">
        <v>191</v>
      </c>
      <c r="O1289" t="s">
        <v>87</v>
      </c>
      <c r="P1289" t="s">
        <v>689</v>
      </c>
      <c r="Q1289" t="s">
        <v>661</v>
      </c>
      <c r="T1289">
        <v>1</v>
      </c>
      <c r="U1289" s="8">
        <f t="shared" si="129"/>
        <v>2</v>
      </c>
      <c r="AD1289" t="str">
        <f t="shared" si="128"/>
        <v>e</v>
      </c>
      <c r="AE1289" t="str">
        <f t="shared" si="132"/>
        <v>Zone_Entry_Exit</v>
      </c>
      <c r="AF1289" t="str">
        <f t="shared" si="130"/>
        <v>Zone_Entry</v>
      </c>
      <c r="AG1289" t="str">
        <f t="shared" si="131"/>
        <v>ZoneEntry-Rush</v>
      </c>
      <c r="AN1289" t="str">
        <f t="shared" ref="AN1289:AN1352" si="133">IF(AND(AD1289="e",OR(AE1289="Save",AF1289="Turnover_Takeaway",AF1289="Play_Defensive")),"Defensive",IF(AND(AD1289="o",OR(AE1289="Save",AF1289="Turnover_Takeaway",AF1289="Play_Defensive")),"Offensive",IF(OR(AE1289="Deadice",AE1289="Stoppage",AE1289="Intermission"),"",IF(AD1289="e","Offensive",IF(AD1289="o","Defensive","")))))</f>
        <v>Offensive</v>
      </c>
      <c r="BD1289" s="23"/>
      <c r="BF1289" s="21"/>
    </row>
    <row r="1290" spans="1:58" x14ac:dyDescent="0.2">
      <c r="A1290">
        <v>653</v>
      </c>
      <c r="J1290">
        <v>17</v>
      </c>
      <c r="Q1290" t="s">
        <v>728</v>
      </c>
      <c r="T1290">
        <v>1</v>
      </c>
      <c r="U1290" s="8">
        <f t="shared" si="129"/>
        <v>2</v>
      </c>
      <c r="AD1290" t="str">
        <f t="shared" si="128"/>
        <v>o</v>
      </c>
      <c r="AE1290" t="str">
        <f t="shared" si="132"/>
        <v>Zone_Entry_Exit</v>
      </c>
      <c r="AF1290" t="str">
        <f t="shared" si="130"/>
        <v>Zone_Entry</v>
      </c>
      <c r="AG1290" t="str">
        <f t="shared" si="131"/>
        <v>ZoneEntry-Rush</v>
      </c>
      <c r="AN1290" t="str">
        <f t="shared" si="133"/>
        <v>Defensive</v>
      </c>
      <c r="BD1290" s="23"/>
      <c r="BF1290" s="21"/>
    </row>
    <row r="1291" spans="1:58" x14ac:dyDescent="0.2">
      <c r="A1291">
        <v>653</v>
      </c>
      <c r="J1291">
        <v>7</v>
      </c>
      <c r="Q1291" t="s">
        <v>728</v>
      </c>
      <c r="T1291">
        <v>1</v>
      </c>
      <c r="U1291" s="8">
        <f t="shared" si="129"/>
        <v>2</v>
      </c>
      <c r="AD1291" t="str">
        <f t="shared" si="128"/>
        <v>o</v>
      </c>
      <c r="AE1291" t="str">
        <f t="shared" si="132"/>
        <v>Zone_Entry_Exit</v>
      </c>
      <c r="AF1291" t="str">
        <f t="shared" si="130"/>
        <v>Zone_Entry</v>
      </c>
      <c r="AG1291" t="str">
        <f t="shared" si="131"/>
        <v>ZoneEntry-Rush</v>
      </c>
      <c r="AN1291" t="str">
        <f t="shared" si="133"/>
        <v>Defensive</v>
      </c>
      <c r="BD1291" s="23"/>
      <c r="BF1291" s="21"/>
    </row>
    <row r="1292" spans="1:58" x14ac:dyDescent="0.2">
      <c r="A1292">
        <v>656</v>
      </c>
      <c r="E1292" s="5" t="s">
        <v>864</v>
      </c>
      <c r="F1292" s="5" t="s">
        <v>879</v>
      </c>
      <c r="G1292" s="5" t="s">
        <v>864</v>
      </c>
      <c r="H1292" s="7" t="s">
        <v>881</v>
      </c>
      <c r="I1292" s="5" t="s">
        <v>835</v>
      </c>
      <c r="J1292">
        <v>87</v>
      </c>
      <c r="K1292">
        <v>1</v>
      </c>
      <c r="L1292" s="5" t="s">
        <v>401</v>
      </c>
      <c r="M1292" t="s">
        <v>15</v>
      </c>
      <c r="N1292" t="s">
        <v>451</v>
      </c>
      <c r="Q1292" t="s">
        <v>661</v>
      </c>
      <c r="U1292" s="8">
        <f t="shared" si="129"/>
        <v>2</v>
      </c>
      <c r="AD1292" t="str">
        <f t="shared" si="128"/>
        <v>e</v>
      </c>
      <c r="AE1292" t="str">
        <f t="shared" si="132"/>
        <v>Possession</v>
      </c>
      <c r="AF1292" t="str">
        <f t="shared" si="130"/>
        <v>Breakaway</v>
      </c>
      <c r="AG1292" t="str">
        <f t="shared" si="131"/>
        <v/>
      </c>
      <c r="AN1292" t="str">
        <f t="shared" si="133"/>
        <v>Offensive</v>
      </c>
      <c r="BD1292" s="23"/>
      <c r="BF1292" s="21"/>
    </row>
    <row r="1293" spans="1:58" x14ac:dyDescent="0.2">
      <c r="A1293">
        <v>656</v>
      </c>
      <c r="J1293">
        <v>17</v>
      </c>
      <c r="Q1293" t="s">
        <v>757</v>
      </c>
      <c r="U1293" s="8">
        <f t="shared" si="129"/>
        <v>2</v>
      </c>
      <c r="AD1293" t="str">
        <f t="shared" si="128"/>
        <v>o</v>
      </c>
      <c r="AE1293" t="str">
        <f t="shared" si="132"/>
        <v>Possession</v>
      </c>
      <c r="AF1293" t="str">
        <f t="shared" si="130"/>
        <v>Breakaway</v>
      </c>
      <c r="AG1293" t="str">
        <f t="shared" si="131"/>
        <v/>
      </c>
      <c r="AN1293" t="str">
        <f t="shared" si="133"/>
        <v>Defensive</v>
      </c>
      <c r="BD1293" s="23"/>
      <c r="BF1293" s="21"/>
    </row>
    <row r="1294" spans="1:58" x14ac:dyDescent="0.2">
      <c r="A1294">
        <v>657</v>
      </c>
      <c r="B1294">
        <v>107</v>
      </c>
      <c r="E1294" s="5" t="s">
        <v>864</v>
      </c>
      <c r="F1294" s="5" t="s">
        <v>881</v>
      </c>
      <c r="I1294" t="s">
        <v>835</v>
      </c>
      <c r="J1294">
        <v>87</v>
      </c>
      <c r="K1294">
        <v>1</v>
      </c>
      <c r="L1294" t="s">
        <v>401</v>
      </c>
      <c r="M1294" t="s">
        <v>7</v>
      </c>
      <c r="N1294" t="s">
        <v>222</v>
      </c>
      <c r="O1294" t="s">
        <v>55</v>
      </c>
      <c r="P1294" t="s">
        <v>689</v>
      </c>
      <c r="T1294">
        <v>1</v>
      </c>
      <c r="U1294" s="8">
        <f t="shared" si="129"/>
        <v>2</v>
      </c>
      <c r="AD1294" t="str">
        <f t="shared" si="128"/>
        <v>e</v>
      </c>
      <c r="AE1294" t="str">
        <f t="shared" si="132"/>
        <v>Shot</v>
      </c>
      <c r="AF1294" t="str">
        <f t="shared" si="130"/>
        <v>Shot_OnNetSaved</v>
      </c>
      <c r="AG1294" t="str">
        <f t="shared" si="131"/>
        <v>Shot-Backhand</v>
      </c>
      <c r="AN1294" t="str">
        <f t="shared" si="133"/>
        <v>Offensive</v>
      </c>
      <c r="BD1294" s="23"/>
      <c r="BF1294" s="21"/>
    </row>
    <row r="1295" spans="1:58" x14ac:dyDescent="0.2">
      <c r="A1295">
        <v>657</v>
      </c>
      <c r="B1295">
        <v>107</v>
      </c>
      <c r="J1295">
        <v>38</v>
      </c>
      <c r="U1295" s="8">
        <f t="shared" si="129"/>
        <v>2</v>
      </c>
      <c r="AD1295" t="str">
        <f t="shared" si="128"/>
        <v>o</v>
      </c>
      <c r="AE1295" t="str">
        <f t="shared" si="132"/>
        <v>Shot</v>
      </c>
      <c r="AF1295" t="str">
        <f t="shared" si="130"/>
        <v>Shot_OnNetSaved</v>
      </c>
      <c r="AG1295" t="str">
        <f t="shared" si="131"/>
        <v>Shot-Backhand</v>
      </c>
      <c r="AN1295" t="str">
        <f t="shared" si="133"/>
        <v>Defensive</v>
      </c>
      <c r="BD1295" s="23"/>
      <c r="BF1295" s="21"/>
    </row>
    <row r="1296" spans="1:58" x14ac:dyDescent="0.2">
      <c r="A1296">
        <v>657</v>
      </c>
      <c r="B1296">
        <v>107</v>
      </c>
      <c r="J1296">
        <v>17</v>
      </c>
      <c r="Q1296" t="s">
        <v>696</v>
      </c>
      <c r="T1296">
        <v>1</v>
      </c>
      <c r="U1296" s="8">
        <f t="shared" si="129"/>
        <v>2</v>
      </c>
      <c r="AD1296" t="str">
        <f t="shared" si="128"/>
        <v>o</v>
      </c>
      <c r="AE1296" t="str">
        <f t="shared" si="132"/>
        <v>Shot</v>
      </c>
      <c r="AF1296" t="str">
        <f t="shared" si="130"/>
        <v>Shot_OnNetSaved</v>
      </c>
      <c r="AG1296" t="str">
        <f t="shared" si="131"/>
        <v>Shot-Backhand</v>
      </c>
      <c r="AN1296" t="str">
        <f t="shared" si="133"/>
        <v>Defensive</v>
      </c>
      <c r="BD1296" s="23"/>
      <c r="BF1296" s="21"/>
    </row>
    <row r="1297" spans="1:58" x14ac:dyDescent="0.2">
      <c r="A1297">
        <v>658</v>
      </c>
      <c r="B1297">
        <v>107</v>
      </c>
      <c r="E1297" s="5" t="s">
        <v>864</v>
      </c>
      <c r="F1297" s="5" t="s">
        <v>881</v>
      </c>
      <c r="I1297" t="s">
        <v>840</v>
      </c>
      <c r="J1297">
        <v>38</v>
      </c>
      <c r="K1297">
        <v>1</v>
      </c>
      <c r="L1297" t="s">
        <v>845</v>
      </c>
      <c r="M1297" t="s">
        <v>17</v>
      </c>
      <c r="N1297" t="s">
        <v>206</v>
      </c>
      <c r="O1297" t="s">
        <v>103</v>
      </c>
      <c r="U1297" s="8">
        <f t="shared" si="129"/>
        <v>2</v>
      </c>
      <c r="AD1297" t="str">
        <f t="shared" si="128"/>
        <v>e</v>
      </c>
      <c r="AE1297" t="str">
        <f t="shared" si="132"/>
        <v>Save</v>
      </c>
      <c r="AF1297" t="str">
        <f t="shared" si="130"/>
        <v>Save_Freeze</v>
      </c>
      <c r="AG1297" t="str">
        <f t="shared" si="131"/>
        <v>Save-Chest</v>
      </c>
      <c r="AN1297" t="str">
        <f t="shared" si="133"/>
        <v>Defensive</v>
      </c>
      <c r="BD1297" s="23"/>
      <c r="BF1297" s="21"/>
    </row>
    <row r="1298" spans="1:58" x14ac:dyDescent="0.2">
      <c r="A1298">
        <v>658</v>
      </c>
      <c r="B1298">
        <v>107</v>
      </c>
      <c r="J1298">
        <v>17</v>
      </c>
      <c r="K1298">
        <v>1</v>
      </c>
      <c r="Q1298" t="s">
        <v>696</v>
      </c>
      <c r="T1298">
        <v>1</v>
      </c>
      <c r="U1298" s="8">
        <f t="shared" si="129"/>
        <v>2</v>
      </c>
      <c r="AD1298" t="str">
        <f t="shared" si="128"/>
        <v>e</v>
      </c>
      <c r="AE1298" t="str">
        <f t="shared" si="132"/>
        <v>Save</v>
      </c>
      <c r="AF1298" t="str">
        <f t="shared" si="130"/>
        <v>Save_Freeze</v>
      </c>
      <c r="AG1298" t="str">
        <f t="shared" si="131"/>
        <v>Save-Chest</v>
      </c>
      <c r="AN1298" t="str">
        <f t="shared" si="133"/>
        <v>Defensive</v>
      </c>
      <c r="BD1298" s="23"/>
      <c r="BF1298" s="21"/>
    </row>
    <row r="1299" spans="1:58" x14ac:dyDescent="0.2">
      <c r="A1299">
        <v>658</v>
      </c>
      <c r="B1299">
        <v>107</v>
      </c>
      <c r="J1299">
        <v>87</v>
      </c>
      <c r="T1299">
        <v>1</v>
      </c>
      <c r="U1299" s="8">
        <f t="shared" si="129"/>
        <v>2</v>
      </c>
      <c r="AD1299" t="str">
        <f t="shared" si="128"/>
        <v>o</v>
      </c>
      <c r="AE1299" t="str">
        <f t="shared" si="132"/>
        <v>Save</v>
      </c>
      <c r="AF1299" t="str">
        <f t="shared" si="130"/>
        <v>Save_Freeze</v>
      </c>
      <c r="AG1299" t="str">
        <f t="shared" si="131"/>
        <v>Save-Chest</v>
      </c>
      <c r="AN1299" t="str">
        <f t="shared" si="133"/>
        <v>Offensive</v>
      </c>
      <c r="BD1299" s="23"/>
      <c r="BF1299" s="21"/>
    </row>
    <row r="1300" spans="1:58" x14ac:dyDescent="0.2">
      <c r="A1300">
        <v>659</v>
      </c>
      <c r="B1300">
        <v>107</v>
      </c>
      <c r="E1300" s="5" t="s">
        <v>864</v>
      </c>
      <c r="F1300" s="5" t="s">
        <v>850</v>
      </c>
      <c r="I1300" t="s">
        <v>840</v>
      </c>
      <c r="J1300">
        <v>38</v>
      </c>
      <c r="K1300">
        <v>1</v>
      </c>
      <c r="L1300" t="s">
        <v>845</v>
      </c>
      <c r="M1300" t="s">
        <v>13</v>
      </c>
      <c r="N1300" t="s">
        <v>204</v>
      </c>
      <c r="O1300" t="s">
        <v>110</v>
      </c>
      <c r="U1300" s="8">
        <f t="shared" si="129"/>
        <v>2</v>
      </c>
      <c r="AD1300" t="str">
        <f t="shared" si="128"/>
        <v>e</v>
      </c>
      <c r="AE1300" t="str">
        <f t="shared" si="132"/>
        <v>Stoppage</v>
      </c>
      <c r="AF1300" t="str">
        <f t="shared" si="130"/>
        <v>Stoppage_Play</v>
      </c>
      <c r="AG1300" t="str">
        <f t="shared" si="131"/>
        <v>Stoppage-GoalieStoppage</v>
      </c>
      <c r="AN1300" t="str">
        <f t="shared" si="133"/>
        <v/>
      </c>
      <c r="BD1300" s="23"/>
      <c r="BF1300" s="21"/>
    </row>
    <row r="1301" spans="1:58" x14ac:dyDescent="0.2">
      <c r="A1301">
        <v>660</v>
      </c>
      <c r="B1301">
        <v>107</v>
      </c>
      <c r="E1301" s="5" t="s">
        <v>864</v>
      </c>
      <c r="F1301" s="5" t="s">
        <v>850</v>
      </c>
      <c r="G1301" s="5" t="s">
        <v>864</v>
      </c>
      <c r="H1301" s="7" t="s">
        <v>884</v>
      </c>
      <c r="I1301" t="s">
        <v>840</v>
      </c>
      <c r="J1301">
        <v>38</v>
      </c>
      <c r="K1301">
        <v>1</v>
      </c>
      <c r="L1301" t="s">
        <v>845</v>
      </c>
      <c r="M1301" t="s">
        <v>262</v>
      </c>
      <c r="U1301" s="8">
        <f t="shared" si="129"/>
        <v>2</v>
      </c>
      <c r="AD1301" t="str">
        <f t="shared" si="128"/>
        <v>e</v>
      </c>
      <c r="AE1301" t="str">
        <f t="shared" si="132"/>
        <v>DeadIce</v>
      </c>
      <c r="AF1301" t="str">
        <f t="shared" si="130"/>
        <v/>
      </c>
      <c r="AG1301" t="str">
        <f t="shared" si="131"/>
        <v/>
      </c>
      <c r="AN1301" t="str">
        <f t="shared" si="133"/>
        <v/>
      </c>
      <c r="BD1301" s="23"/>
      <c r="BF1301" s="21"/>
    </row>
    <row r="1302" spans="1:58" x14ac:dyDescent="0.2">
      <c r="A1302">
        <v>661</v>
      </c>
      <c r="E1302" s="5" t="s">
        <v>864</v>
      </c>
      <c r="F1302" s="5" t="s">
        <v>884</v>
      </c>
      <c r="I1302" t="s">
        <v>840</v>
      </c>
      <c r="J1302">
        <v>42</v>
      </c>
      <c r="K1302">
        <v>1</v>
      </c>
      <c r="L1302" t="s">
        <v>845</v>
      </c>
      <c r="M1302" t="s">
        <v>6</v>
      </c>
      <c r="N1302" t="s">
        <v>255</v>
      </c>
      <c r="U1302" s="8">
        <f t="shared" si="129"/>
        <v>2</v>
      </c>
      <c r="AD1302" t="str">
        <f t="shared" si="128"/>
        <v>e</v>
      </c>
      <c r="AE1302" t="str">
        <f t="shared" si="132"/>
        <v>Faceoff</v>
      </c>
      <c r="AF1302" t="str">
        <f t="shared" si="130"/>
        <v>Faceoff_AfterStoppage</v>
      </c>
      <c r="AG1302" t="str">
        <f t="shared" si="131"/>
        <v/>
      </c>
      <c r="AN1302" t="str">
        <f t="shared" si="133"/>
        <v>Offensive</v>
      </c>
      <c r="BD1302" s="23"/>
      <c r="BF1302" s="21"/>
    </row>
    <row r="1303" spans="1:58" x14ac:dyDescent="0.2">
      <c r="A1303">
        <v>661</v>
      </c>
      <c r="J1303">
        <v>7</v>
      </c>
      <c r="K1303">
        <v>1</v>
      </c>
      <c r="U1303" s="8">
        <f t="shared" si="129"/>
        <v>2</v>
      </c>
      <c r="AD1303" t="str">
        <f t="shared" si="128"/>
        <v>e</v>
      </c>
      <c r="AE1303" t="str">
        <f t="shared" si="132"/>
        <v>Faceoff</v>
      </c>
      <c r="AF1303" t="str">
        <f t="shared" si="130"/>
        <v>Faceoff_AfterStoppage</v>
      </c>
      <c r="AG1303" t="str">
        <f t="shared" si="131"/>
        <v/>
      </c>
      <c r="AN1303" t="str">
        <f t="shared" si="133"/>
        <v>Offensive</v>
      </c>
      <c r="BD1303" s="23"/>
      <c r="BF1303" s="21"/>
    </row>
    <row r="1304" spans="1:58" x14ac:dyDescent="0.2">
      <c r="A1304">
        <v>661</v>
      </c>
      <c r="J1304">
        <v>42</v>
      </c>
      <c r="U1304" s="8">
        <f t="shared" si="129"/>
        <v>2</v>
      </c>
      <c r="AD1304" t="str">
        <f t="shared" si="128"/>
        <v>o</v>
      </c>
      <c r="AE1304" t="str">
        <f t="shared" si="132"/>
        <v>Faceoff</v>
      </c>
      <c r="AF1304" t="str">
        <f t="shared" si="130"/>
        <v>Faceoff_AfterStoppage</v>
      </c>
      <c r="AG1304" t="str">
        <f t="shared" si="131"/>
        <v/>
      </c>
      <c r="AN1304" t="str">
        <f t="shared" si="133"/>
        <v>Defensive</v>
      </c>
      <c r="BD1304" s="23"/>
      <c r="BF1304" s="21"/>
    </row>
    <row r="1305" spans="1:58" x14ac:dyDescent="0.2">
      <c r="A1305">
        <v>662</v>
      </c>
      <c r="E1305" s="5" t="s">
        <v>864</v>
      </c>
      <c r="F1305" s="5" t="s">
        <v>894</v>
      </c>
      <c r="I1305" t="s">
        <v>840</v>
      </c>
      <c r="J1305">
        <v>7</v>
      </c>
      <c r="K1305">
        <v>1</v>
      </c>
      <c r="L1305" t="s">
        <v>845</v>
      </c>
      <c r="M1305" t="s">
        <v>10</v>
      </c>
      <c r="N1305" t="s">
        <v>190</v>
      </c>
      <c r="O1305" t="s">
        <v>73</v>
      </c>
      <c r="U1305" s="8">
        <f t="shared" si="129"/>
        <v>2</v>
      </c>
      <c r="AD1305" t="str">
        <f t="shared" si="128"/>
        <v>e</v>
      </c>
      <c r="AE1305" t="str">
        <f t="shared" si="132"/>
        <v>Turnover</v>
      </c>
      <c r="AF1305" t="str">
        <f t="shared" si="130"/>
        <v>Turnover_Giveaway</v>
      </c>
      <c r="AG1305" t="str">
        <f t="shared" si="131"/>
        <v>Giveaway-Misplayed</v>
      </c>
      <c r="AN1305" t="str">
        <f t="shared" si="133"/>
        <v>Offensive</v>
      </c>
      <c r="BD1305" s="23"/>
      <c r="BF1305" s="21"/>
    </row>
    <row r="1306" spans="1:58" x14ac:dyDescent="0.2">
      <c r="A1306">
        <v>663</v>
      </c>
      <c r="E1306" s="5" t="s">
        <v>865</v>
      </c>
      <c r="F1306" s="5" t="s">
        <v>837</v>
      </c>
      <c r="I1306" t="s">
        <v>835</v>
      </c>
      <c r="J1306">
        <v>42</v>
      </c>
      <c r="K1306">
        <v>1</v>
      </c>
      <c r="L1306" t="s">
        <v>401</v>
      </c>
      <c r="M1306" t="s">
        <v>15</v>
      </c>
      <c r="N1306" t="s">
        <v>680</v>
      </c>
      <c r="P1306" t="s">
        <v>689</v>
      </c>
      <c r="Q1306" t="s">
        <v>694</v>
      </c>
      <c r="S1306" t="s">
        <v>689</v>
      </c>
      <c r="U1306" s="8">
        <f t="shared" si="129"/>
        <v>2</v>
      </c>
      <c r="AD1306" t="str">
        <f t="shared" si="128"/>
        <v>e</v>
      </c>
      <c r="AE1306" t="str">
        <f t="shared" si="132"/>
        <v>Possession</v>
      </c>
      <c r="AF1306" t="str">
        <f t="shared" si="130"/>
        <v>PuckRetrieval</v>
      </c>
      <c r="AG1306" t="str">
        <f t="shared" si="131"/>
        <v/>
      </c>
      <c r="AN1306" t="str">
        <f t="shared" si="133"/>
        <v>Offensive</v>
      </c>
      <c r="BD1306" s="23"/>
      <c r="BF1306" s="21"/>
    </row>
    <row r="1307" spans="1:58" x14ac:dyDescent="0.2">
      <c r="A1307">
        <v>664</v>
      </c>
      <c r="B1307">
        <v>108</v>
      </c>
      <c r="E1307" s="5" t="s">
        <v>865</v>
      </c>
      <c r="F1307" s="5" t="s">
        <v>872</v>
      </c>
      <c r="I1307" t="s">
        <v>835</v>
      </c>
      <c r="J1307">
        <v>42</v>
      </c>
      <c r="K1307">
        <v>1</v>
      </c>
      <c r="L1307" t="s">
        <v>401</v>
      </c>
      <c r="M1307" t="s">
        <v>7</v>
      </c>
      <c r="N1307" t="s">
        <v>222</v>
      </c>
      <c r="O1307" t="s">
        <v>53</v>
      </c>
      <c r="P1307" t="s">
        <v>689</v>
      </c>
      <c r="U1307" s="8">
        <f t="shared" si="129"/>
        <v>2</v>
      </c>
      <c r="AD1307" t="str">
        <f t="shared" si="128"/>
        <v>e</v>
      </c>
      <c r="AE1307" t="str">
        <f t="shared" si="132"/>
        <v>Shot</v>
      </c>
      <c r="AF1307" t="str">
        <f t="shared" si="130"/>
        <v>Shot_OnNetSaved</v>
      </c>
      <c r="AG1307" t="str">
        <f t="shared" si="131"/>
        <v>Shot-Wrist</v>
      </c>
      <c r="AN1307" t="str">
        <f t="shared" si="133"/>
        <v>Offensive</v>
      </c>
      <c r="BD1307" s="23"/>
      <c r="BF1307" s="21"/>
    </row>
    <row r="1308" spans="1:58" x14ac:dyDescent="0.2">
      <c r="A1308">
        <v>664</v>
      </c>
      <c r="B1308">
        <v>108</v>
      </c>
      <c r="J1308">
        <v>38</v>
      </c>
      <c r="U1308" s="8">
        <f t="shared" si="129"/>
        <v>2</v>
      </c>
      <c r="AD1308" t="str">
        <f t="shared" si="128"/>
        <v>o</v>
      </c>
      <c r="AE1308" t="str">
        <f t="shared" si="132"/>
        <v>Shot</v>
      </c>
      <c r="AF1308" t="str">
        <f t="shared" si="130"/>
        <v>Shot_OnNetSaved</v>
      </c>
      <c r="AG1308" t="str">
        <f t="shared" si="131"/>
        <v>Shot-Wrist</v>
      </c>
      <c r="AN1308" t="str">
        <f t="shared" si="133"/>
        <v>Defensive</v>
      </c>
      <c r="BD1308" s="23"/>
      <c r="BF1308" s="21"/>
    </row>
    <row r="1309" spans="1:58" x14ac:dyDescent="0.2">
      <c r="A1309">
        <v>665</v>
      </c>
      <c r="B1309">
        <v>108</v>
      </c>
      <c r="E1309" s="5" t="s">
        <v>865</v>
      </c>
      <c r="F1309" s="5" t="s">
        <v>872</v>
      </c>
      <c r="I1309" t="s">
        <v>840</v>
      </c>
      <c r="J1309">
        <v>38</v>
      </c>
      <c r="K1309">
        <v>1</v>
      </c>
      <c r="L1309" t="s">
        <v>845</v>
      </c>
      <c r="M1309" t="s">
        <v>17</v>
      </c>
      <c r="N1309" t="s">
        <v>196</v>
      </c>
      <c r="O1309" t="s">
        <v>103</v>
      </c>
      <c r="U1309" s="8">
        <f t="shared" si="129"/>
        <v>2</v>
      </c>
      <c r="AD1309" t="str">
        <f t="shared" si="128"/>
        <v>e</v>
      </c>
      <c r="AE1309" t="str">
        <f t="shared" si="132"/>
        <v>Save</v>
      </c>
      <c r="AF1309" t="str">
        <f t="shared" si="130"/>
        <v>Save_Rebound</v>
      </c>
      <c r="AG1309" t="str">
        <f t="shared" si="131"/>
        <v>Save-Chest</v>
      </c>
      <c r="AN1309" t="str">
        <f t="shared" si="133"/>
        <v>Defensive</v>
      </c>
      <c r="BD1309" s="23"/>
      <c r="BF1309" s="21"/>
    </row>
    <row r="1310" spans="1:58" x14ac:dyDescent="0.2">
      <c r="A1310">
        <v>665</v>
      </c>
      <c r="B1310">
        <v>108</v>
      </c>
      <c r="J1310">
        <v>42</v>
      </c>
      <c r="U1310" s="8">
        <f t="shared" si="129"/>
        <v>2</v>
      </c>
      <c r="AD1310" t="str">
        <f t="shared" si="128"/>
        <v>o</v>
      </c>
      <c r="AE1310" t="str">
        <f t="shared" si="132"/>
        <v>Save</v>
      </c>
      <c r="AF1310" t="str">
        <f t="shared" si="130"/>
        <v>Save_Rebound</v>
      </c>
      <c r="AG1310" t="str">
        <f t="shared" si="131"/>
        <v>Save-Chest</v>
      </c>
      <c r="AN1310" t="str">
        <f t="shared" si="133"/>
        <v>Offensive</v>
      </c>
      <c r="BD1310" s="23"/>
      <c r="BF1310" s="21"/>
    </row>
    <row r="1311" spans="1:58" x14ac:dyDescent="0.2">
      <c r="A1311">
        <v>666</v>
      </c>
      <c r="B1311">
        <v>108</v>
      </c>
      <c r="E1311" s="5" t="s">
        <v>865</v>
      </c>
      <c r="F1311" s="5" t="s">
        <v>872</v>
      </c>
      <c r="I1311" t="s">
        <v>840</v>
      </c>
      <c r="J1311">
        <v>38</v>
      </c>
      <c r="K1311">
        <v>1</v>
      </c>
      <c r="L1311" t="s">
        <v>845</v>
      </c>
      <c r="M1311" t="s">
        <v>250</v>
      </c>
      <c r="N1311" t="s">
        <v>251</v>
      </c>
      <c r="U1311" s="8">
        <f t="shared" si="129"/>
        <v>2</v>
      </c>
      <c r="AD1311" t="str">
        <f t="shared" si="128"/>
        <v>e</v>
      </c>
      <c r="AE1311" t="str">
        <f t="shared" si="132"/>
        <v>Rebound</v>
      </c>
      <c r="AF1311" t="str">
        <f t="shared" si="130"/>
        <v>Rebound_TeamRecovered</v>
      </c>
      <c r="AG1311" t="str">
        <f t="shared" si="131"/>
        <v/>
      </c>
      <c r="AN1311" t="str">
        <f t="shared" si="133"/>
        <v>Offensive</v>
      </c>
      <c r="BD1311" s="23"/>
      <c r="BF1311" s="21"/>
    </row>
    <row r="1312" spans="1:58" x14ac:dyDescent="0.2">
      <c r="A1312">
        <v>667</v>
      </c>
      <c r="E1312" s="5" t="s">
        <v>865</v>
      </c>
      <c r="F1312" s="5" t="s">
        <v>838</v>
      </c>
      <c r="G1312" s="5" t="s">
        <v>865</v>
      </c>
      <c r="H1312" s="7" t="s">
        <v>895</v>
      </c>
      <c r="I1312" t="s">
        <v>840</v>
      </c>
      <c r="J1312">
        <v>19</v>
      </c>
      <c r="K1312">
        <v>1</v>
      </c>
      <c r="L1312" t="s">
        <v>845</v>
      </c>
      <c r="M1312" t="s">
        <v>15</v>
      </c>
      <c r="N1312" t="s">
        <v>680</v>
      </c>
      <c r="P1312" t="s">
        <v>689</v>
      </c>
      <c r="Q1312" t="s">
        <v>789</v>
      </c>
      <c r="U1312" s="8">
        <f t="shared" si="129"/>
        <v>2</v>
      </c>
      <c r="AD1312" t="str">
        <f t="shared" si="128"/>
        <v>e</v>
      </c>
      <c r="AE1312" t="str">
        <f t="shared" si="132"/>
        <v>Possession</v>
      </c>
      <c r="AF1312" t="str">
        <f t="shared" si="130"/>
        <v>PuckRetrieval</v>
      </c>
      <c r="AG1312" t="str">
        <f t="shared" si="131"/>
        <v/>
      </c>
      <c r="AN1312" t="str">
        <f t="shared" si="133"/>
        <v>Offensive</v>
      </c>
      <c r="BD1312" s="23"/>
      <c r="BF1312" s="21"/>
    </row>
    <row r="1313" spans="1:58" x14ac:dyDescent="0.2">
      <c r="A1313">
        <v>668</v>
      </c>
      <c r="E1313" s="5" t="s">
        <v>865</v>
      </c>
      <c r="F1313" s="5" t="s">
        <v>885</v>
      </c>
      <c r="I1313" t="s">
        <v>840</v>
      </c>
      <c r="J1313">
        <v>19</v>
      </c>
      <c r="K1313">
        <v>1</v>
      </c>
      <c r="L1313" t="s">
        <v>845</v>
      </c>
      <c r="M1313" t="s">
        <v>8</v>
      </c>
      <c r="N1313" t="s">
        <v>189</v>
      </c>
      <c r="O1313" t="s">
        <v>70</v>
      </c>
      <c r="P1313" t="s">
        <v>689</v>
      </c>
      <c r="Q1313" t="s">
        <v>749</v>
      </c>
      <c r="S1313" t="s">
        <v>689</v>
      </c>
      <c r="U1313" s="8">
        <f t="shared" si="129"/>
        <v>2</v>
      </c>
      <c r="AD1313" t="str">
        <f t="shared" si="128"/>
        <v>e</v>
      </c>
      <c r="AE1313" t="str">
        <f t="shared" si="132"/>
        <v>Pass</v>
      </c>
      <c r="AF1313" t="str">
        <f t="shared" si="130"/>
        <v>Pass_Completed</v>
      </c>
      <c r="AG1313" t="str">
        <f t="shared" si="131"/>
        <v>Pass-Forehand</v>
      </c>
      <c r="AN1313" t="str">
        <f t="shared" si="133"/>
        <v>Offensive</v>
      </c>
      <c r="BD1313" s="23"/>
      <c r="BF1313" s="21"/>
    </row>
    <row r="1314" spans="1:58" x14ac:dyDescent="0.2">
      <c r="A1314">
        <v>668</v>
      </c>
      <c r="J1314">
        <v>8</v>
      </c>
      <c r="K1314">
        <v>1</v>
      </c>
      <c r="U1314" s="8">
        <f t="shared" si="129"/>
        <v>2</v>
      </c>
      <c r="AD1314" t="str">
        <f t="shared" si="128"/>
        <v>e</v>
      </c>
      <c r="AE1314" t="str">
        <f t="shared" si="132"/>
        <v>Pass</v>
      </c>
      <c r="AF1314" t="str">
        <f t="shared" si="130"/>
        <v>Pass_Completed</v>
      </c>
      <c r="AG1314" t="str">
        <f t="shared" si="131"/>
        <v>Pass-Forehand</v>
      </c>
      <c r="AN1314" t="str">
        <f t="shared" si="133"/>
        <v>Offensive</v>
      </c>
      <c r="BD1314" s="23"/>
      <c r="BF1314" s="21"/>
    </row>
    <row r="1315" spans="1:58" x14ac:dyDescent="0.2">
      <c r="A1315">
        <v>669</v>
      </c>
      <c r="E1315" s="5" t="s">
        <v>865</v>
      </c>
      <c r="F1315" s="5" t="s">
        <v>885</v>
      </c>
      <c r="G1315" s="5" t="s">
        <v>865</v>
      </c>
      <c r="H1315" s="7" t="s">
        <v>874</v>
      </c>
      <c r="I1315" s="5" t="s">
        <v>840</v>
      </c>
      <c r="J1315">
        <v>8</v>
      </c>
      <c r="K1315">
        <v>1</v>
      </c>
      <c r="L1315" s="5" t="s">
        <v>845</v>
      </c>
      <c r="M1315" t="s">
        <v>257</v>
      </c>
      <c r="N1315" t="s">
        <v>201</v>
      </c>
      <c r="O1315" t="s">
        <v>90</v>
      </c>
      <c r="P1315" t="s">
        <v>689</v>
      </c>
      <c r="U1315" s="8">
        <f t="shared" si="129"/>
        <v>2</v>
      </c>
      <c r="AD1315" t="str">
        <f t="shared" si="128"/>
        <v>e</v>
      </c>
      <c r="AE1315" t="str">
        <f t="shared" si="132"/>
        <v>Zone_Entry_Exit</v>
      </c>
      <c r="AF1315" t="str">
        <f t="shared" si="130"/>
        <v>Zone_Exit</v>
      </c>
      <c r="AG1315" t="str">
        <f t="shared" si="131"/>
        <v>ZoneExit-Rush</v>
      </c>
      <c r="AN1315" t="str">
        <f t="shared" si="133"/>
        <v>Offensive</v>
      </c>
      <c r="BD1315" s="23"/>
      <c r="BF1315" s="21"/>
    </row>
    <row r="1316" spans="1:58" x14ac:dyDescent="0.2">
      <c r="A1316">
        <v>670</v>
      </c>
      <c r="E1316" s="5" t="s">
        <v>865</v>
      </c>
      <c r="F1316" s="5" t="s">
        <v>874</v>
      </c>
      <c r="G1316" s="5" t="s">
        <v>865</v>
      </c>
      <c r="H1316" s="7" t="s">
        <v>875</v>
      </c>
      <c r="I1316" s="5" t="s">
        <v>840</v>
      </c>
      <c r="J1316">
        <v>8</v>
      </c>
      <c r="K1316">
        <v>1</v>
      </c>
      <c r="L1316" s="5" t="s">
        <v>839</v>
      </c>
      <c r="M1316" t="s">
        <v>15</v>
      </c>
      <c r="U1316" s="8">
        <f t="shared" si="129"/>
        <v>2</v>
      </c>
      <c r="AD1316" t="str">
        <f t="shared" si="128"/>
        <v>e</v>
      </c>
      <c r="AE1316" t="str">
        <f t="shared" si="132"/>
        <v>Possession</v>
      </c>
      <c r="AF1316" t="str">
        <f t="shared" si="130"/>
        <v/>
      </c>
      <c r="AG1316" t="str">
        <f t="shared" si="131"/>
        <v/>
      </c>
      <c r="AN1316" t="str">
        <f t="shared" si="133"/>
        <v>Offensive</v>
      </c>
      <c r="BD1316" s="23"/>
      <c r="BF1316" s="21"/>
    </row>
    <row r="1317" spans="1:58" x14ac:dyDescent="0.2">
      <c r="A1317">
        <v>671</v>
      </c>
      <c r="E1317" s="5" t="s">
        <v>865</v>
      </c>
      <c r="F1317" s="5" t="s">
        <v>875</v>
      </c>
      <c r="G1317" s="5" t="s">
        <v>865</v>
      </c>
      <c r="H1317" s="7" t="s">
        <v>886</v>
      </c>
      <c r="I1317" t="s">
        <v>840</v>
      </c>
      <c r="J1317">
        <v>8</v>
      </c>
      <c r="K1317">
        <v>1</v>
      </c>
      <c r="L1317" t="s">
        <v>401</v>
      </c>
      <c r="M1317" t="s">
        <v>257</v>
      </c>
      <c r="N1317" t="s">
        <v>191</v>
      </c>
      <c r="O1317" t="s">
        <v>87</v>
      </c>
      <c r="P1317" t="s">
        <v>689</v>
      </c>
      <c r="Q1317" t="s">
        <v>661</v>
      </c>
      <c r="S1317" t="s">
        <v>689</v>
      </c>
      <c r="T1317">
        <v>1</v>
      </c>
      <c r="U1317" s="8">
        <f t="shared" si="129"/>
        <v>2</v>
      </c>
      <c r="AD1317" t="str">
        <f t="shared" si="128"/>
        <v>e</v>
      </c>
      <c r="AE1317" t="str">
        <f t="shared" si="132"/>
        <v>Zone_Entry_Exit</v>
      </c>
      <c r="AF1317" t="str">
        <f t="shared" si="130"/>
        <v>Zone_Entry</v>
      </c>
      <c r="AG1317" t="str">
        <f t="shared" si="131"/>
        <v>ZoneEntry-Rush</v>
      </c>
      <c r="AN1317" t="str">
        <f t="shared" si="133"/>
        <v>Offensive</v>
      </c>
      <c r="BD1317" s="23"/>
      <c r="BF1317" s="21"/>
    </row>
    <row r="1318" spans="1:58" x14ac:dyDescent="0.2">
      <c r="A1318">
        <v>671</v>
      </c>
      <c r="J1318">
        <v>26</v>
      </c>
      <c r="K1318">
        <v>1</v>
      </c>
      <c r="U1318" s="8">
        <f t="shared" si="129"/>
        <v>2</v>
      </c>
      <c r="AD1318" t="str">
        <f t="shared" si="128"/>
        <v>e</v>
      </c>
      <c r="AE1318" t="str">
        <f t="shared" si="132"/>
        <v>Zone_Entry_Exit</v>
      </c>
      <c r="AF1318" t="str">
        <f t="shared" si="130"/>
        <v>Zone_Entry</v>
      </c>
      <c r="AG1318" t="str">
        <f t="shared" si="131"/>
        <v>ZoneEntry-Rush</v>
      </c>
      <c r="AN1318" t="str">
        <f t="shared" si="133"/>
        <v>Offensive</v>
      </c>
      <c r="BD1318" s="23"/>
      <c r="BF1318" s="21"/>
    </row>
    <row r="1319" spans="1:58" x14ac:dyDescent="0.2">
      <c r="A1319">
        <v>671</v>
      </c>
      <c r="J1319">
        <v>22</v>
      </c>
      <c r="T1319">
        <v>1</v>
      </c>
      <c r="U1319" s="8">
        <f t="shared" si="129"/>
        <v>2</v>
      </c>
      <c r="AD1319" t="str">
        <f t="shared" si="128"/>
        <v>o</v>
      </c>
      <c r="AE1319" t="str">
        <f t="shared" si="132"/>
        <v>Zone_Entry_Exit</v>
      </c>
      <c r="AF1319" t="str">
        <f t="shared" si="130"/>
        <v>Zone_Entry</v>
      </c>
      <c r="AG1319" t="str">
        <f t="shared" si="131"/>
        <v>ZoneEntry-Rush</v>
      </c>
      <c r="AN1319" t="str">
        <f t="shared" si="133"/>
        <v>Defensive</v>
      </c>
      <c r="BD1319" s="23"/>
      <c r="BF1319" s="21"/>
    </row>
    <row r="1320" spans="1:58" x14ac:dyDescent="0.2">
      <c r="A1320">
        <v>671</v>
      </c>
      <c r="J1320">
        <v>9</v>
      </c>
      <c r="U1320" s="8">
        <f t="shared" si="129"/>
        <v>2</v>
      </c>
      <c r="AD1320" t="str">
        <f t="shared" si="128"/>
        <v>o</v>
      </c>
      <c r="AE1320" t="str">
        <f t="shared" si="132"/>
        <v>Zone_Entry_Exit</v>
      </c>
      <c r="AF1320" t="str">
        <f t="shared" si="130"/>
        <v>Zone_Entry</v>
      </c>
      <c r="AG1320" t="str">
        <f t="shared" si="131"/>
        <v>ZoneEntry-Rush</v>
      </c>
      <c r="AN1320" t="str">
        <f t="shared" si="133"/>
        <v>Defensive</v>
      </c>
      <c r="BD1320" s="23"/>
      <c r="BF1320" s="21"/>
    </row>
    <row r="1321" spans="1:58" x14ac:dyDescent="0.2">
      <c r="A1321">
        <v>672</v>
      </c>
      <c r="E1321" s="5" t="s">
        <v>865</v>
      </c>
      <c r="F1321" s="5" t="s">
        <v>886</v>
      </c>
      <c r="G1321" s="5" t="s">
        <v>865</v>
      </c>
      <c r="H1321" s="7" t="s">
        <v>846</v>
      </c>
      <c r="I1321" s="5" t="s">
        <v>840</v>
      </c>
      <c r="J1321">
        <v>8</v>
      </c>
      <c r="K1321">
        <v>1</v>
      </c>
      <c r="L1321" s="5" t="s">
        <v>401</v>
      </c>
      <c r="M1321" t="s">
        <v>15</v>
      </c>
      <c r="N1321" t="s">
        <v>667</v>
      </c>
      <c r="Q1321" t="s">
        <v>727</v>
      </c>
      <c r="T1321">
        <v>1</v>
      </c>
      <c r="U1321" s="8">
        <f t="shared" si="129"/>
        <v>2</v>
      </c>
      <c r="AD1321" t="str">
        <f t="shared" si="128"/>
        <v>e</v>
      </c>
      <c r="AE1321" t="str">
        <f t="shared" si="132"/>
        <v>Possession</v>
      </c>
      <c r="AF1321" t="str">
        <f t="shared" si="130"/>
        <v>Regroup</v>
      </c>
      <c r="AG1321" t="str">
        <f t="shared" si="131"/>
        <v/>
      </c>
      <c r="AN1321" t="str">
        <f t="shared" si="133"/>
        <v>Offensive</v>
      </c>
      <c r="BD1321" s="23"/>
      <c r="BF1321" s="21"/>
    </row>
    <row r="1322" spans="1:58" x14ac:dyDescent="0.2">
      <c r="A1322">
        <v>672</v>
      </c>
      <c r="J1322">
        <v>9</v>
      </c>
      <c r="T1322">
        <v>1</v>
      </c>
      <c r="U1322" s="8">
        <f t="shared" si="129"/>
        <v>2</v>
      </c>
      <c r="AD1322" t="str">
        <f t="shared" si="128"/>
        <v>o</v>
      </c>
      <c r="AE1322" t="str">
        <f t="shared" si="132"/>
        <v>Possession</v>
      </c>
      <c r="AF1322" t="str">
        <f t="shared" si="130"/>
        <v>Regroup</v>
      </c>
      <c r="AG1322" t="str">
        <f t="shared" si="131"/>
        <v/>
      </c>
      <c r="AN1322" t="str">
        <f t="shared" si="133"/>
        <v>Defensive</v>
      </c>
      <c r="BD1322" s="23"/>
      <c r="BF1322" s="21"/>
    </row>
    <row r="1323" spans="1:58" x14ac:dyDescent="0.2">
      <c r="A1323">
        <v>673</v>
      </c>
      <c r="E1323" s="5" t="s">
        <v>865</v>
      </c>
      <c r="F1323" s="5" t="s">
        <v>844</v>
      </c>
      <c r="I1323" t="s">
        <v>840</v>
      </c>
      <c r="J1323">
        <v>8</v>
      </c>
      <c r="K1323">
        <v>1</v>
      </c>
      <c r="L1323" t="s">
        <v>401</v>
      </c>
      <c r="M1323" t="s">
        <v>8</v>
      </c>
      <c r="N1323" t="s">
        <v>189</v>
      </c>
      <c r="O1323" t="s">
        <v>71</v>
      </c>
      <c r="P1323" t="s">
        <v>689</v>
      </c>
      <c r="U1323" s="8">
        <f t="shared" si="129"/>
        <v>2</v>
      </c>
      <c r="AD1323" t="str">
        <f t="shared" si="128"/>
        <v>e</v>
      </c>
      <c r="AE1323" t="str">
        <f t="shared" si="132"/>
        <v>Pass</v>
      </c>
      <c r="AF1323" t="str">
        <f t="shared" si="130"/>
        <v>Pass_Completed</v>
      </c>
      <c r="AG1323" t="str">
        <f t="shared" si="131"/>
        <v>Pass-Bank</v>
      </c>
      <c r="AN1323" t="str">
        <f t="shared" si="133"/>
        <v>Offensive</v>
      </c>
      <c r="BD1323" s="23"/>
      <c r="BF1323" s="21"/>
    </row>
    <row r="1324" spans="1:58" x14ac:dyDescent="0.2">
      <c r="A1324">
        <v>673</v>
      </c>
      <c r="J1324">
        <v>19</v>
      </c>
      <c r="K1324">
        <v>1</v>
      </c>
      <c r="U1324" s="8">
        <f t="shared" si="129"/>
        <v>2</v>
      </c>
      <c r="AD1324" t="str">
        <f t="shared" si="128"/>
        <v>e</v>
      </c>
      <c r="AE1324" t="str">
        <f t="shared" si="132"/>
        <v>Pass</v>
      </c>
      <c r="AF1324" t="str">
        <f t="shared" si="130"/>
        <v>Pass_Completed</v>
      </c>
      <c r="AG1324" t="str">
        <f t="shared" si="131"/>
        <v>Pass-Bank</v>
      </c>
      <c r="AN1324" t="str">
        <f t="shared" si="133"/>
        <v>Offensive</v>
      </c>
      <c r="BD1324" s="23"/>
      <c r="BF1324" s="21"/>
    </row>
    <row r="1325" spans="1:58" x14ac:dyDescent="0.2">
      <c r="A1325">
        <v>673</v>
      </c>
      <c r="J1325">
        <v>9</v>
      </c>
      <c r="U1325" s="8">
        <f t="shared" si="129"/>
        <v>2</v>
      </c>
      <c r="AD1325" t="str">
        <f t="shared" si="128"/>
        <v>o</v>
      </c>
      <c r="AE1325" t="str">
        <f t="shared" si="132"/>
        <v>Pass</v>
      </c>
      <c r="AF1325" t="str">
        <f t="shared" si="130"/>
        <v>Pass_Completed</v>
      </c>
      <c r="AG1325" t="str">
        <f t="shared" si="131"/>
        <v>Pass-Bank</v>
      </c>
      <c r="AN1325" t="str">
        <f t="shared" si="133"/>
        <v>Defensive</v>
      </c>
      <c r="BD1325" s="23"/>
      <c r="BF1325" s="21"/>
    </row>
    <row r="1326" spans="1:58" x14ac:dyDescent="0.2">
      <c r="A1326">
        <v>674</v>
      </c>
      <c r="E1326" s="5" t="s">
        <v>865</v>
      </c>
      <c r="F1326" s="5" t="s">
        <v>847</v>
      </c>
      <c r="G1326" s="5" t="s">
        <v>865</v>
      </c>
      <c r="H1326" s="7" t="s">
        <v>877</v>
      </c>
      <c r="I1326" s="5" t="s">
        <v>840</v>
      </c>
      <c r="J1326">
        <v>19</v>
      </c>
      <c r="K1326">
        <v>1</v>
      </c>
      <c r="L1326" s="5" t="s">
        <v>401</v>
      </c>
      <c r="M1326" t="s">
        <v>15</v>
      </c>
      <c r="U1326" s="8">
        <f t="shared" si="129"/>
        <v>2</v>
      </c>
      <c r="AD1326" t="str">
        <f t="shared" si="128"/>
        <v>e</v>
      </c>
      <c r="AE1326" t="str">
        <f t="shared" si="132"/>
        <v>Possession</v>
      </c>
      <c r="AF1326" t="str">
        <f t="shared" si="130"/>
        <v/>
      </c>
      <c r="AG1326" t="str">
        <f t="shared" si="131"/>
        <v/>
      </c>
      <c r="AN1326" t="str">
        <f t="shared" si="133"/>
        <v>Offensive</v>
      </c>
      <c r="BD1326" s="23"/>
      <c r="BF1326" s="21"/>
    </row>
    <row r="1327" spans="1:58" x14ac:dyDescent="0.2">
      <c r="A1327">
        <v>675</v>
      </c>
      <c r="E1327" s="5" t="s">
        <v>865</v>
      </c>
      <c r="F1327" s="5" t="s">
        <v>877</v>
      </c>
      <c r="I1327" t="s">
        <v>840</v>
      </c>
      <c r="J1327">
        <v>19</v>
      </c>
      <c r="K1327">
        <v>1</v>
      </c>
      <c r="L1327" t="s">
        <v>401</v>
      </c>
      <c r="M1327" t="s">
        <v>8</v>
      </c>
      <c r="N1327" t="s">
        <v>189</v>
      </c>
      <c r="O1327" t="s">
        <v>70</v>
      </c>
      <c r="P1327" t="s">
        <v>689</v>
      </c>
      <c r="U1327" s="8">
        <f t="shared" si="129"/>
        <v>2</v>
      </c>
      <c r="AD1327" t="str">
        <f t="shared" si="128"/>
        <v>e</v>
      </c>
      <c r="AE1327" t="str">
        <f t="shared" si="132"/>
        <v>Pass</v>
      </c>
      <c r="AF1327" t="str">
        <f t="shared" si="130"/>
        <v>Pass_Completed</v>
      </c>
      <c r="AG1327" t="str">
        <f t="shared" si="131"/>
        <v>Pass-Forehand</v>
      </c>
      <c r="AN1327" t="str">
        <f t="shared" si="133"/>
        <v>Offensive</v>
      </c>
      <c r="BD1327" s="23"/>
      <c r="BF1327" s="21"/>
    </row>
    <row r="1328" spans="1:58" x14ac:dyDescent="0.2">
      <c r="A1328">
        <v>675</v>
      </c>
      <c r="J1328">
        <v>17</v>
      </c>
      <c r="K1328">
        <v>1</v>
      </c>
      <c r="U1328" s="8">
        <f t="shared" si="129"/>
        <v>2</v>
      </c>
      <c r="AD1328" t="str">
        <f t="shared" si="128"/>
        <v>e</v>
      </c>
      <c r="AE1328" t="str">
        <f t="shared" si="132"/>
        <v>Pass</v>
      </c>
      <c r="AF1328" t="str">
        <f t="shared" si="130"/>
        <v>Pass_Completed</v>
      </c>
      <c r="AG1328" t="str">
        <f t="shared" si="131"/>
        <v>Pass-Forehand</v>
      </c>
      <c r="AN1328" t="str">
        <f t="shared" si="133"/>
        <v>Offensive</v>
      </c>
      <c r="BD1328" s="23"/>
      <c r="BF1328" s="21"/>
    </row>
    <row r="1329" spans="1:58" x14ac:dyDescent="0.2">
      <c r="A1329">
        <v>675</v>
      </c>
      <c r="J1329">
        <v>24</v>
      </c>
      <c r="U1329" s="8">
        <f t="shared" si="129"/>
        <v>2</v>
      </c>
      <c r="AD1329" t="str">
        <f t="shared" si="128"/>
        <v>o</v>
      </c>
      <c r="AE1329" t="str">
        <f t="shared" si="132"/>
        <v>Pass</v>
      </c>
      <c r="AF1329" t="str">
        <f t="shared" si="130"/>
        <v>Pass_Completed</v>
      </c>
      <c r="AG1329" t="str">
        <f t="shared" si="131"/>
        <v>Pass-Forehand</v>
      </c>
      <c r="AN1329" t="str">
        <f t="shared" si="133"/>
        <v>Defensive</v>
      </c>
      <c r="BD1329" s="23"/>
      <c r="BF1329" s="21"/>
    </row>
    <row r="1330" spans="1:58" x14ac:dyDescent="0.2">
      <c r="A1330">
        <v>676</v>
      </c>
      <c r="E1330" s="5" t="s">
        <v>865</v>
      </c>
      <c r="F1330" s="5" t="s">
        <v>888</v>
      </c>
      <c r="G1330" s="5" t="s">
        <v>865</v>
      </c>
      <c r="H1330" s="7" t="s">
        <v>878</v>
      </c>
      <c r="I1330" s="5" t="s">
        <v>840</v>
      </c>
      <c r="J1330">
        <v>17</v>
      </c>
      <c r="K1330">
        <v>1</v>
      </c>
      <c r="L1330" s="5" t="s">
        <v>401</v>
      </c>
      <c r="M1330" t="s">
        <v>15</v>
      </c>
      <c r="U1330" s="8">
        <f t="shared" si="129"/>
        <v>2</v>
      </c>
      <c r="AD1330" t="str">
        <f t="shared" si="128"/>
        <v>e</v>
      </c>
      <c r="AE1330" t="str">
        <f t="shared" si="132"/>
        <v>Possession</v>
      </c>
      <c r="AF1330" t="str">
        <f t="shared" si="130"/>
        <v/>
      </c>
      <c r="AG1330" t="str">
        <f t="shared" si="131"/>
        <v/>
      </c>
      <c r="AN1330" t="str">
        <f t="shared" si="133"/>
        <v>Offensive</v>
      </c>
      <c r="BD1330" s="23"/>
      <c r="BF1330" s="21"/>
    </row>
    <row r="1331" spans="1:58" x14ac:dyDescent="0.2">
      <c r="A1331">
        <v>677</v>
      </c>
      <c r="B1331">
        <v>109</v>
      </c>
      <c r="E1331" s="5" t="s">
        <v>865</v>
      </c>
      <c r="F1331" s="5" t="s">
        <v>878</v>
      </c>
      <c r="I1331" t="s">
        <v>840</v>
      </c>
      <c r="J1331">
        <v>17</v>
      </c>
      <c r="K1331">
        <v>1</v>
      </c>
      <c r="L1331" t="s">
        <v>401</v>
      </c>
      <c r="M1331" t="s">
        <v>7</v>
      </c>
      <c r="N1331" t="s">
        <v>222</v>
      </c>
      <c r="O1331" t="s">
        <v>53</v>
      </c>
      <c r="P1331" t="s">
        <v>689</v>
      </c>
      <c r="T1331">
        <v>1</v>
      </c>
      <c r="U1331" s="8">
        <f t="shared" si="129"/>
        <v>2</v>
      </c>
      <c r="AD1331" t="str">
        <f t="shared" si="128"/>
        <v>e</v>
      </c>
      <c r="AE1331" t="str">
        <f t="shared" si="132"/>
        <v>Shot</v>
      </c>
      <c r="AF1331" t="str">
        <f t="shared" si="130"/>
        <v>Shot_OnNetSaved</v>
      </c>
      <c r="AG1331" t="str">
        <f t="shared" si="131"/>
        <v>Shot-Wrist</v>
      </c>
      <c r="AN1331" t="str">
        <f t="shared" si="133"/>
        <v>Offensive</v>
      </c>
      <c r="BD1331" s="23"/>
      <c r="BF1331" s="21"/>
    </row>
    <row r="1332" spans="1:58" x14ac:dyDescent="0.2">
      <c r="A1332">
        <v>677</v>
      </c>
      <c r="B1332">
        <v>109</v>
      </c>
      <c r="J1332">
        <v>19</v>
      </c>
      <c r="K1332">
        <v>1</v>
      </c>
      <c r="Q1332" t="s">
        <v>779</v>
      </c>
      <c r="U1332" s="8">
        <f t="shared" si="129"/>
        <v>2</v>
      </c>
      <c r="AD1332" t="str">
        <f t="shared" si="128"/>
        <v>e</v>
      </c>
      <c r="AE1332" t="str">
        <f t="shared" si="132"/>
        <v>Shot</v>
      </c>
      <c r="AF1332" t="str">
        <f t="shared" si="130"/>
        <v>Shot_OnNetSaved</v>
      </c>
      <c r="AG1332" t="str">
        <f t="shared" si="131"/>
        <v>Shot-Wrist</v>
      </c>
      <c r="AN1332" t="str">
        <f t="shared" si="133"/>
        <v>Offensive</v>
      </c>
      <c r="BD1332" s="23"/>
      <c r="BF1332" s="21"/>
    </row>
    <row r="1333" spans="1:58" x14ac:dyDescent="0.2">
      <c r="A1333">
        <v>677</v>
      </c>
      <c r="B1333">
        <v>109</v>
      </c>
      <c r="J1333">
        <v>39</v>
      </c>
      <c r="U1333" s="8">
        <f t="shared" si="129"/>
        <v>2</v>
      </c>
      <c r="AD1333" t="str">
        <f t="shared" si="128"/>
        <v>o</v>
      </c>
      <c r="AE1333" t="str">
        <f t="shared" si="132"/>
        <v>Shot</v>
      </c>
      <c r="AF1333" t="str">
        <f t="shared" si="130"/>
        <v>Shot_OnNetSaved</v>
      </c>
      <c r="AG1333" t="str">
        <f t="shared" si="131"/>
        <v>Shot-Wrist</v>
      </c>
      <c r="AN1333" t="str">
        <f t="shared" si="133"/>
        <v>Defensive</v>
      </c>
      <c r="BD1333" s="23"/>
      <c r="BF1333" s="21"/>
    </row>
    <row r="1334" spans="1:58" x14ac:dyDescent="0.2">
      <c r="A1334">
        <v>677</v>
      </c>
      <c r="B1334">
        <v>109</v>
      </c>
      <c r="J1334">
        <v>24</v>
      </c>
      <c r="Q1334" t="s">
        <v>696</v>
      </c>
      <c r="T1334">
        <v>1</v>
      </c>
      <c r="U1334" s="8">
        <f t="shared" si="129"/>
        <v>2</v>
      </c>
      <c r="AD1334" t="str">
        <f t="shared" si="128"/>
        <v>o</v>
      </c>
      <c r="AE1334" t="str">
        <f t="shared" si="132"/>
        <v>Shot</v>
      </c>
      <c r="AF1334" t="str">
        <f t="shared" si="130"/>
        <v>Shot_OnNetSaved</v>
      </c>
      <c r="AG1334" t="str">
        <f t="shared" si="131"/>
        <v>Shot-Wrist</v>
      </c>
      <c r="AN1334" t="str">
        <f t="shared" si="133"/>
        <v>Defensive</v>
      </c>
      <c r="BD1334" s="23"/>
      <c r="BF1334" s="21"/>
    </row>
    <row r="1335" spans="1:58" x14ac:dyDescent="0.2">
      <c r="A1335">
        <v>678</v>
      </c>
      <c r="B1335">
        <v>109</v>
      </c>
      <c r="E1335" s="5" t="s">
        <v>865</v>
      </c>
      <c r="F1335" s="5" t="s">
        <v>878</v>
      </c>
      <c r="I1335" t="s">
        <v>835</v>
      </c>
      <c r="J1335">
        <v>39</v>
      </c>
      <c r="K1335">
        <v>1</v>
      </c>
      <c r="L1335" t="s">
        <v>845</v>
      </c>
      <c r="M1335" t="s">
        <v>17</v>
      </c>
      <c r="N1335" t="s">
        <v>196</v>
      </c>
      <c r="O1335" t="s">
        <v>102</v>
      </c>
      <c r="U1335" s="8">
        <f t="shared" si="129"/>
        <v>2</v>
      </c>
      <c r="AD1335" t="str">
        <f t="shared" si="128"/>
        <v>e</v>
      </c>
      <c r="AE1335" t="str">
        <f t="shared" si="132"/>
        <v>Save</v>
      </c>
      <c r="AF1335" t="str">
        <f t="shared" si="130"/>
        <v>Save_Rebound</v>
      </c>
      <c r="AG1335" t="str">
        <f t="shared" si="131"/>
        <v>Save-Butterfly</v>
      </c>
      <c r="AN1335" t="str">
        <f t="shared" si="133"/>
        <v>Defensive</v>
      </c>
      <c r="BD1335" s="23"/>
      <c r="BF1335" s="21"/>
    </row>
    <row r="1336" spans="1:58" x14ac:dyDescent="0.2">
      <c r="A1336">
        <v>678</v>
      </c>
      <c r="B1336">
        <v>109</v>
      </c>
      <c r="J1336">
        <v>24</v>
      </c>
      <c r="K1336">
        <v>1</v>
      </c>
      <c r="Q1336" t="s">
        <v>696</v>
      </c>
      <c r="T1336">
        <v>1</v>
      </c>
      <c r="U1336" s="8">
        <f t="shared" si="129"/>
        <v>2</v>
      </c>
      <c r="AD1336" t="str">
        <f t="shared" si="128"/>
        <v>e</v>
      </c>
      <c r="AE1336" t="str">
        <f t="shared" si="132"/>
        <v>Save</v>
      </c>
      <c r="AF1336" t="str">
        <f t="shared" si="130"/>
        <v>Save_Rebound</v>
      </c>
      <c r="AG1336" t="str">
        <f t="shared" si="131"/>
        <v>Save-Butterfly</v>
      </c>
      <c r="AN1336" t="str">
        <f t="shared" si="133"/>
        <v>Defensive</v>
      </c>
      <c r="BD1336" s="23"/>
      <c r="BF1336" s="21"/>
    </row>
    <row r="1337" spans="1:58" x14ac:dyDescent="0.2">
      <c r="A1337">
        <v>678</v>
      </c>
      <c r="B1337">
        <v>109</v>
      </c>
      <c r="J1337">
        <v>17</v>
      </c>
      <c r="T1337">
        <v>1</v>
      </c>
      <c r="U1337" s="8">
        <f t="shared" si="129"/>
        <v>2</v>
      </c>
      <c r="AD1337" t="str">
        <f t="shared" si="128"/>
        <v>o</v>
      </c>
      <c r="AE1337" t="str">
        <f t="shared" si="132"/>
        <v>Save</v>
      </c>
      <c r="AF1337" t="str">
        <f t="shared" si="130"/>
        <v>Save_Rebound</v>
      </c>
      <c r="AG1337" t="str">
        <f t="shared" si="131"/>
        <v>Save-Butterfly</v>
      </c>
      <c r="AN1337" t="str">
        <f t="shared" si="133"/>
        <v>Offensive</v>
      </c>
      <c r="BD1337" s="23"/>
      <c r="BF1337" s="21"/>
    </row>
    <row r="1338" spans="1:58" x14ac:dyDescent="0.2">
      <c r="A1338">
        <v>678</v>
      </c>
      <c r="B1338">
        <v>109</v>
      </c>
      <c r="J1338">
        <v>19</v>
      </c>
      <c r="Q1338" t="s">
        <v>779</v>
      </c>
      <c r="U1338" s="8">
        <f t="shared" si="129"/>
        <v>2</v>
      </c>
      <c r="AD1338" t="str">
        <f t="shared" si="128"/>
        <v>o</v>
      </c>
      <c r="AE1338" t="str">
        <f t="shared" si="132"/>
        <v>Save</v>
      </c>
      <c r="AF1338" t="str">
        <f t="shared" si="130"/>
        <v>Save_Rebound</v>
      </c>
      <c r="AG1338" t="str">
        <f t="shared" si="131"/>
        <v>Save-Butterfly</v>
      </c>
      <c r="AN1338" t="str">
        <f t="shared" si="133"/>
        <v>Offensive</v>
      </c>
      <c r="BD1338" s="23"/>
      <c r="BF1338" s="21"/>
    </row>
    <row r="1339" spans="1:58" x14ac:dyDescent="0.2">
      <c r="A1339">
        <v>679</v>
      </c>
      <c r="B1339">
        <v>109</v>
      </c>
      <c r="E1339" s="5" t="s">
        <v>865</v>
      </c>
      <c r="F1339" s="5" t="s">
        <v>878</v>
      </c>
      <c r="I1339" t="s">
        <v>835</v>
      </c>
      <c r="J1339">
        <v>39</v>
      </c>
      <c r="K1339">
        <v>1</v>
      </c>
      <c r="L1339" t="s">
        <v>845</v>
      </c>
      <c r="M1339" t="s">
        <v>250</v>
      </c>
      <c r="N1339" t="s">
        <v>252</v>
      </c>
      <c r="U1339" s="8">
        <f t="shared" si="129"/>
        <v>2</v>
      </c>
      <c r="AD1339" t="str">
        <f t="shared" si="128"/>
        <v>e</v>
      </c>
      <c r="AE1339" t="str">
        <f t="shared" si="132"/>
        <v>Rebound</v>
      </c>
      <c r="AF1339" t="str">
        <f t="shared" si="130"/>
        <v>Rebound_OppTeamRecovered</v>
      </c>
      <c r="AG1339" t="str">
        <f t="shared" si="131"/>
        <v/>
      </c>
      <c r="AN1339" t="str">
        <f t="shared" si="133"/>
        <v>Offensive</v>
      </c>
      <c r="BD1339" s="23"/>
      <c r="BF1339" s="21"/>
    </row>
    <row r="1340" spans="1:58" x14ac:dyDescent="0.2">
      <c r="A1340">
        <v>680</v>
      </c>
      <c r="E1340" s="5" t="s">
        <v>865</v>
      </c>
      <c r="F1340" s="5" t="s">
        <v>880</v>
      </c>
      <c r="I1340" t="s">
        <v>840</v>
      </c>
      <c r="J1340">
        <v>26</v>
      </c>
      <c r="K1340">
        <v>1</v>
      </c>
      <c r="L1340" t="s">
        <v>401</v>
      </c>
      <c r="M1340" t="s">
        <v>15</v>
      </c>
      <c r="N1340" t="s">
        <v>680</v>
      </c>
      <c r="P1340" t="s">
        <v>688</v>
      </c>
      <c r="Q1340" t="s">
        <v>789</v>
      </c>
      <c r="S1340" t="s">
        <v>688</v>
      </c>
      <c r="U1340" s="8">
        <f t="shared" si="129"/>
        <v>2</v>
      </c>
      <c r="AD1340" t="str">
        <f t="shared" si="128"/>
        <v>e</v>
      </c>
      <c r="AE1340" t="str">
        <f t="shared" si="132"/>
        <v>Possession</v>
      </c>
      <c r="AF1340" t="str">
        <f t="shared" si="130"/>
        <v>PuckRetrieval</v>
      </c>
      <c r="AG1340" t="str">
        <f t="shared" si="131"/>
        <v/>
      </c>
      <c r="AN1340" t="str">
        <f t="shared" si="133"/>
        <v>Offensive</v>
      </c>
      <c r="BD1340" s="23"/>
      <c r="BF1340" s="21"/>
    </row>
    <row r="1341" spans="1:58" x14ac:dyDescent="0.2">
      <c r="A1341">
        <v>681</v>
      </c>
      <c r="B1341">
        <v>110</v>
      </c>
      <c r="E1341" s="5" t="s">
        <v>865</v>
      </c>
      <c r="F1341" s="5" t="s">
        <v>880</v>
      </c>
      <c r="I1341" t="s">
        <v>840</v>
      </c>
      <c r="J1341">
        <v>26</v>
      </c>
      <c r="K1341">
        <v>1</v>
      </c>
      <c r="L1341" t="s">
        <v>401</v>
      </c>
      <c r="M1341" t="s">
        <v>8</v>
      </c>
      <c r="N1341" t="s">
        <v>199</v>
      </c>
      <c r="O1341" t="s">
        <v>70</v>
      </c>
      <c r="P1341" t="s">
        <v>688</v>
      </c>
      <c r="Q1341" t="s">
        <v>749</v>
      </c>
      <c r="S1341" t="s">
        <v>688</v>
      </c>
      <c r="T1341">
        <v>1</v>
      </c>
      <c r="U1341" s="8">
        <f t="shared" si="129"/>
        <v>2</v>
      </c>
      <c r="AD1341" t="str">
        <f t="shared" si="128"/>
        <v>e</v>
      </c>
      <c r="AE1341" t="str">
        <f t="shared" si="132"/>
        <v>Pass</v>
      </c>
      <c r="AF1341" t="str">
        <f t="shared" si="130"/>
        <v>Pass_Missed</v>
      </c>
      <c r="AG1341" t="str">
        <f t="shared" si="131"/>
        <v>Pass-Forehand</v>
      </c>
      <c r="AN1341" t="str">
        <f t="shared" si="133"/>
        <v>Offensive</v>
      </c>
      <c r="BD1341" s="23"/>
      <c r="BF1341" s="21"/>
    </row>
    <row r="1342" spans="1:58" x14ac:dyDescent="0.2">
      <c r="A1342">
        <v>681</v>
      </c>
      <c r="B1342">
        <v>110</v>
      </c>
      <c r="J1342">
        <v>17</v>
      </c>
      <c r="K1342">
        <v>1</v>
      </c>
      <c r="Q1342" t="s">
        <v>704</v>
      </c>
      <c r="S1342" t="s">
        <v>688</v>
      </c>
      <c r="T1342">
        <v>2</v>
      </c>
      <c r="U1342" s="8">
        <f t="shared" si="129"/>
        <v>2</v>
      </c>
      <c r="AD1342" t="str">
        <f t="shared" si="128"/>
        <v>e</v>
      </c>
      <c r="AE1342" t="str">
        <f t="shared" si="132"/>
        <v>Pass</v>
      </c>
      <c r="AF1342" t="str">
        <f t="shared" si="130"/>
        <v>Pass_Missed</v>
      </c>
      <c r="AG1342" t="str">
        <f t="shared" si="131"/>
        <v>Pass-Forehand</v>
      </c>
      <c r="AN1342" t="str">
        <f t="shared" si="133"/>
        <v>Offensive</v>
      </c>
      <c r="BD1342" s="23"/>
      <c r="BF1342" s="21"/>
    </row>
    <row r="1343" spans="1:58" x14ac:dyDescent="0.2">
      <c r="A1343">
        <v>681</v>
      </c>
      <c r="B1343">
        <v>110</v>
      </c>
      <c r="J1343">
        <v>22</v>
      </c>
      <c r="Q1343" t="s">
        <v>696</v>
      </c>
      <c r="T1343">
        <v>1</v>
      </c>
      <c r="U1343" s="8">
        <f t="shared" si="129"/>
        <v>2</v>
      </c>
      <c r="AD1343" t="str">
        <f t="shared" si="128"/>
        <v>o</v>
      </c>
      <c r="AE1343" t="str">
        <f t="shared" si="132"/>
        <v>Pass</v>
      </c>
      <c r="AF1343" t="str">
        <f t="shared" si="130"/>
        <v>Pass_Missed</v>
      </c>
      <c r="AG1343" t="str">
        <f t="shared" si="131"/>
        <v>Pass-Forehand</v>
      </c>
      <c r="AN1343" t="str">
        <f t="shared" si="133"/>
        <v>Defensive</v>
      </c>
      <c r="BD1343" s="23"/>
      <c r="BF1343" s="21"/>
    </row>
    <row r="1344" spans="1:58" x14ac:dyDescent="0.2">
      <c r="A1344">
        <v>681</v>
      </c>
      <c r="B1344">
        <v>110</v>
      </c>
      <c r="J1344">
        <v>24</v>
      </c>
      <c r="Q1344" t="s">
        <v>765</v>
      </c>
      <c r="R1344" t="s">
        <v>699</v>
      </c>
      <c r="S1344" t="s">
        <v>689</v>
      </c>
      <c r="T1344">
        <v>2</v>
      </c>
      <c r="U1344" s="8">
        <f t="shared" si="129"/>
        <v>2</v>
      </c>
      <c r="AD1344" t="str">
        <f t="shared" si="128"/>
        <v>o</v>
      </c>
      <c r="AE1344" t="str">
        <f t="shared" si="132"/>
        <v>Pass</v>
      </c>
      <c r="AF1344" t="str">
        <f t="shared" si="130"/>
        <v>Pass_Missed</v>
      </c>
      <c r="AG1344" t="str">
        <f t="shared" si="131"/>
        <v>Pass-Forehand</v>
      </c>
      <c r="AN1344" t="str">
        <f t="shared" si="133"/>
        <v>Defensive</v>
      </c>
      <c r="BD1344" s="23"/>
      <c r="BF1344" s="21"/>
    </row>
    <row r="1345" spans="1:58" x14ac:dyDescent="0.2">
      <c r="A1345">
        <v>682</v>
      </c>
      <c r="B1345">
        <v>110</v>
      </c>
      <c r="E1345" s="5" t="s">
        <v>865</v>
      </c>
      <c r="F1345" s="5" t="s">
        <v>880</v>
      </c>
      <c r="I1345" t="s">
        <v>840</v>
      </c>
      <c r="J1345">
        <v>26</v>
      </c>
      <c r="K1345">
        <v>1</v>
      </c>
      <c r="L1345" t="s">
        <v>401</v>
      </c>
      <c r="M1345" t="s">
        <v>10</v>
      </c>
      <c r="N1345" t="s">
        <v>190</v>
      </c>
      <c r="O1345" t="s">
        <v>76</v>
      </c>
      <c r="P1345" t="s">
        <v>688</v>
      </c>
      <c r="Q1345" t="s">
        <v>749</v>
      </c>
      <c r="S1345" t="s">
        <v>688</v>
      </c>
      <c r="T1345">
        <v>1</v>
      </c>
      <c r="U1345" s="8">
        <f t="shared" si="129"/>
        <v>2</v>
      </c>
      <c r="AD1345" t="str">
        <f t="shared" si="128"/>
        <v>e</v>
      </c>
      <c r="AE1345" t="str">
        <f t="shared" si="132"/>
        <v>Turnover</v>
      </c>
      <c r="AF1345" t="str">
        <f t="shared" si="130"/>
        <v>Turnover_Giveaway</v>
      </c>
      <c r="AG1345" t="str">
        <f t="shared" si="131"/>
        <v>Giveaway-PassMissed</v>
      </c>
      <c r="AN1345" t="str">
        <f t="shared" si="133"/>
        <v>Offensive</v>
      </c>
      <c r="BD1345" s="23"/>
      <c r="BF1345" s="21"/>
    </row>
    <row r="1346" spans="1:58" x14ac:dyDescent="0.2">
      <c r="A1346">
        <v>682</v>
      </c>
      <c r="B1346">
        <v>110</v>
      </c>
      <c r="J1346">
        <v>17</v>
      </c>
      <c r="K1346">
        <v>1</v>
      </c>
      <c r="Q1346" t="s">
        <v>704</v>
      </c>
      <c r="S1346" t="s">
        <v>688</v>
      </c>
      <c r="T1346">
        <v>2</v>
      </c>
      <c r="U1346" s="8">
        <f t="shared" si="129"/>
        <v>2</v>
      </c>
      <c r="AD1346" t="str">
        <f t="shared" ref="AD1346:AD1409" si="134">IF(K1346="x","",IF(K1346=1,"e","o"))</f>
        <v>e</v>
      </c>
      <c r="AE1346" t="str">
        <f t="shared" si="132"/>
        <v>Turnover</v>
      </c>
      <c r="AF1346" t="str">
        <f t="shared" si="130"/>
        <v>Turnover_Giveaway</v>
      </c>
      <c r="AG1346" t="str">
        <f t="shared" si="131"/>
        <v>Giveaway-PassMissed</v>
      </c>
      <c r="AN1346" t="str">
        <f t="shared" si="133"/>
        <v>Offensive</v>
      </c>
      <c r="BD1346" s="23"/>
      <c r="BF1346" s="21"/>
    </row>
    <row r="1347" spans="1:58" x14ac:dyDescent="0.2">
      <c r="A1347">
        <v>682</v>
      </c>
      <c r="B1347">
        <v>110</v>
      </c>
      <c r="J1347">
        <v>22</v>
      </c>
      <c r="Q1347" t="s">
        <v>696</v>
      </c>
      <c r="T1347">
        <v>1</v>
      </c>
      <c r="U1347" s="8">
        <f t="shared" ref="U1347:U1410" si="135">IF(M1347="Intermission",U1346+1,U1346)</f>
        <v>2</v>
      </c>
      <c r="AD1347" t="str">
        <f t="shared" si="134"/>
        <v>o</v>
      </c>
      <c r="AE1347" t="str">
        <f t="shared" si="132"/>
        <v>Turnover</v>
      </c>
      <c r="AF1347" t="str">
        <f t="shared" ref="AF1347:AF1410" si="136">IF(N1347&lt;&gt;"",N1347,IF($A1347=$A1346,AF1346,""))</f>
        <v>Turnover_Giveaway</v>
      </c>
      <c r="AG1347" t="str">
        <f t="shared" ref="AG1347:AG1410" si="137">IF(O1347&lt;&gt;"",O1347,IF($A1347=$A1346,AG1346,""))</f>
        <v>Giveaway-PassMissed</v>
      </c>
      <c r="AN1347" t="str">
        <f t="shared" si="133"/>
        <v>Defensive</v>
      </c>
      <c r="BD1347" s="23"/>
      <c r="BF1347" s="21"/>
    </row>
    <row r="1348" spans="1:58" x14ac:dyDescent="0.2">
      <c r="A1348">
        <v>682</v>
      </c>
      <c r="B1348">
        <v>110</v>
      </c>
      <c r="J1348">
        <v>24</v>
      </c>
      <c r="Q1348" t="s">
        <v>765</v>
      </c>
      <c r="R1348" t="s">
        <v>699</v>
      </c>
      <c r="S1348" t="s">
        <v>689</v>
      </c>
      <c r="T1348">
        <v>2</v>
      </c>
      <c r="U1348" s="8">
        <f t="shared" si="135"/>
        <v>2</v>
      </c>
      <c r="AD1348" t="str">
        <f t="shared" si="134"/>
        <v>o</v>
      </c>
      <c r="AE1348" t="str">
        <f t="shared" ref="AE1348:AE1411" si="138">IF(M1348&lt;&gt;"",M1348,IF($A1348=$A1347,AE1347,""))</f>
        <v>Turnover</v>
      </c>
      <c r="AF1348" t="str">
        <f t="shared" si="136"/>
        <v>Turnover_Giveaway</v>
      </c>
      <c r="AG1348" t="str">
        <f t="shared" si="137"/>
        <v>Giveaway-PassMissed</v>
      </c>
      <c r="AN1348" t="str">
        <f t="shared" si="133"/>
        <v>Defensive</v>
      </c>
      <c r="BD1348" s="23"/>
      <c r="BF1348" s="21"/>
    </row>
    <row r="1349" spans="1:58" x14ac:dyDescent="0.2">
      <c r="A1349">
        <v>683</v>
      </c>
      <c r="B1349">
        <v>110</v>
      </c>
      <c r="E1349" s="5" t="s">
        <v>865</v>
      </c>
      <c r="F1349" s="5" t="s">
        <v>881</v>
      </c>
      <c r="I1349" t="s">
        <v>835</v>
      </c>
      <c r="J1349">
        <v>24</v>
      </c>
      <c r="K1349">
        <v>1</v>
      </c>
      <c r="L1349" t="s">
        <v>845</v>
      </c>
      <c r="M1349" t="s">
        <v>257</v>
      </c>
      <c r="N1349" t="s">
        <v>201</v>
      </c>
      <c r="O1349" t="s">
        <v>448</v>
      </c>
      <c r="U1349" s="8">
        <f t="shared" si="135"/>
        <v>2</v>
      </c>
      <c r="AD1349" t="str">
        <f t="shared" si="134"/>
        <v>e</v>
      </c>
      <c r="AE1349" t="str">
        <f t="shared" si="138"/>
        <v>Zone_Entry_Exit</v>
      </c>
      <c r="AF1349" t="str">
        <f t="shared" si="136"/>
        <v>Zone_Exit</v>
      </c>
      <c r="AG1349" t="str">
        <f t="shared" si="137"/>
        <v>ZoneExit-CausedTurnover</v>
      </c>
      <c r="AN1349" t="str">
        <f t="shared" si="133"/>
        <v>Offensive</v>
      </c>
      <c r="BD1349" s="23"/>
      <c r="BF1349" s="21"/>
    </row>
    <row r="1350" spans="1:58" x14ac:dyDescent="0.2">
      <c r="A1350">
        <v>684</v>
      </c>
      <c r="E1350" s="5" t="s">
        <v>865</v>
      </c>
      <c r="F1350" s="5" t="s">
        <v>851</v>
      </c>
      <c r="I1350" t="s">
        <v>840</v>
      </c>
      <c r="J1350">
        <v>17</v>
      </c>
      <c r="K1350">
        <v>1</v>
      </c>
      <c r="L1350" t="s">
        <v>839</v>
      </c>
      <c r="M1350" t="s">
        <v>15</v>
      </c>
      <c r="N1350" t="s">
        <v>681</v>
      </c>
      <c r="P1350" t="s">
        <v>689</v>
      </c>
      <c r="Q1350" t="s">
        <v>712</v>
      </c>
      <c r="S1350" t="s">
        <v>689</v>
      </c>
      <c r="U1350" s="8">
        <f t="shared" si="135"/>
        <v>2</v>
      </c>
      <c r="AD1350" t="str">
        <f t="shared" si="134"/>
        <v>e</v>
      </c>
      <c r="AE1350" t="str">
        <f t="shared" si="138"/>
        <v>Possession</v>
      </c>
      <c r="AF1350" t="str">
        <f t="shared" si="136"/>
        <v>PuckRecovery</v>
      </c>
      <c r="AG1350" t="str">
        <f t="shared" si="137"/>
        <v/>
      </c>
      <c r="AN1350" t="str">
        <f t="shared" si="133"/>
        <v>Offensive</v>
      </c>
      <c r="BD1350" s="23"/>
      <c r="BF1350" s="21"/>
    </row>
    <row r="1351" spans="1:58" x14ac:dyDescent="0.2">
      <c r="A1351">
        <v>685</v>
      </c>
      <c r="E1351" s="5" t="s">
        <v>865</v>
      </c>
      <c r="F1351" s="5" t="s">
        <v>852</v>
      </c>
      <c r="I1351" t="s">
        <v>840</v>
      </c>
      <c r="J1351">
        <v>17</v>
      </c>
      <c r="K1351">
        <v>1</v>
      </c>
      <c r="L1351" t="s">
        <v>839</v>
      </c>
      <c r="M1351" t="s">
        <v>8</v>
      </c>
      <c r="N1351" t="s">
        <v>189</v>
      </c>
      <c r="O1351" t="s">
        <v>70</v>
      </c>
      <c r="P1351" t="s">
        <v>689</v>
      </c>
      <c r="Q1351" t="s">
        <v>749</v>
      </c>
      <c r="S1351" t="s">
        <v>689</v>
      </c>
      <c r="U1351" s="8">
        <f t="shared" si="135"/>
        <v>2</v>
      </c>
      <c r="AD1351" t="str">
        <f t="shared" si="134"/>
        <v>e</v>
      </c>
      <c r="AE1351" t="str">
        <f t="shared" si="138"/>
        <v>Pass</v>
      </c>
      <c r="AF1351" t="str">
        <f t="shared" si="136"/>
        <v>Pass_Completed</v>
      </c>
      <c r="AG1351" t="str">
        <f t="shared" si="137"/>
        <v>Pass-Forehand</v>
      </c>
      <c r="AN1351" t="str">
        <f t="shared" si="133"/>
        <v>Offensive</v>
      </c>
      <c r="BD1351" s="23"/>
      <c r="BF1351" s="21"/>
    </row>
    <row r="1352" spans="1:58" x14ac:dyDescent="0.2">
      <c r="A1352">
        <v>685</v>
      </c>
      <c r="J1352">
        <v>7</v>
      </c>
      <c r="K1352">
        <v>1</v>
      </c>
      <c r="U1352" s="8">
        <f t="shared" si="135"/>
        <v>2</v>
      </c>
      <c r="AD1352" t="str">
        <f t="shared" si="134"/>
        <v>e</v>
      </c>
      <c r="AE1352" t="str">
        <f t="shared" si="138"/>
        <v>Pass</v>
      </c>
      <c r="AF1352" t="str">
        <f t="shared" si="136"/>
        <v>Pass_Completed</v>
      </c>
      <c r="AG1352" t="str">
        <f t="shared" si="137"/>
        <v>Pass-Forehand</v>
      </c>
      <c r="AN1352" t="str">
        <f t="shared" si="133"/>
        <v>Offensive</v>
      </c>
      <c r="BD1352" s="23"/>
      <c r="BF1352" s="21"/>
    </row>
    <row r="1353" spans="1:58" x14ac:dyDescent="0.2">
      <c r="A1353">
        <v>686</v>
      </c>
      <c r="E1353" s="5" t="s">
        <v>865</v>
      </c>
      <c r="F1353" s="5" t="s">
        <v>855</v>
      </c>
      <c r="G1353" s="5" t="s">
        <v>865</v>
      </c>
      <c r="H1353" s="7" t="s">
        <v>882</v>
      </c>
      <c r="I1353" s="5" t="s">
        <v>840</v>
      </c>
      <c r="J1353">
        <v>7</v>
      </c>
      <c r="K1353">
        <v>1</v>
      </c>
      <c r="L1353" s="5" t="s">
        <v>839</v>
      </c>
      <c r="M1353" t="s">
        <v>15</v>
      </c>
      <c r="N1353" t="s">
        <v>667</v>
      </c>
      <c r="U1353" s="8">
        <f t="shared" si="135"/>
        <v>2</v>
      </c>
      <c r="AD1353" t="str">
        <f t="shared" si="134"/>
        <v>e</v>
      </c>
      <c r="AE1353" t="str">
        <f t="shared" si="138"/>
        <v>Possession</v>
      </c>
      <c r="AF1353" t="str">
        <f t="shared" si="136"/>
        <v>Regroup</v>
      </c>
      <c r="AG1353" t="str">
        <f t="shared" si="137"/>
        <v/>
      </c>
      <c r="AN1353" t="str">
        <f t="shared" ref="AN1353:AN1416" si="139">IF(AND(AD1353="e",OR(AE1353="Save",AF1353="Turnover_Takeaway",AF1353="Play_Defensive")),"Defensive",IF(AND(AD1353="o",OR(AE1353="Save",AF1353="Turnover_Takeaway",AF1353="Play_Defensive")),"Offensive",IF(OR(AE1353="Deadice",AE1353="Stoppage",AE1353="Intermission"),"",IF(AD1353="e","Offensive",IF(AD1353="o","Defensive","")))))</f>
        <v>Offensive</v>
      </c>
      <c r="BD1353" s="23"/>
      <c r="BF1353" s="21"/>
    </row>
    <row r="1354" spans="1:58" x14ac:dyDescent="0.2">
      <c r="A1354">
        <v>687</v>
      </c>
      <c r="B1354">
        <v>111</v>
      </c>
      <c r="E1354" s="5" t="s">
        <v>865</v>
      </c>
      <c r="F1354" s="5" t="s">
        <v>882</v>
      </c>
      <c r="I1354" t="s">
        <v>840</v>
      </c>
      <c r="J1354">
        <v>7</v>
      </c>
      <c r="K1354">
        <v>1</v>
      </c>
      <c r="L1354" t="s">
        <v>839</v>
      </c>
      <c r="M1354" t="s">
        <v>8</v>
      </c>
      <c r="N1354" t="s">
        <v>199</v>
      </c>
      <c r="O1354" t="s">
        <v>71</v>
      </c>
      <c r="P1354" t="s">
        <v>688</v>
      </c>
      <c r="Q1354" t="s">
        <v>709</v>
      </c>
      <c r="S1354" t="s">
        <v>688</v>
      </c>
      <c r="U1354" s="8">
        <f t="shared" si="135"/>
        <v>2</v>
      </c>
      <c r="AD1354" t="str">
        <f t="shared" si="134"/>
        <v>e</v>
      </c>
      <c r="AE1354" t="str">
        <f t="shared" si="138"/>
        <v>Pass</v>
      </c>
      <c r="AF1354" t="str">
        <f t="shared" si="136"/>
        <v>Pass_Missed</v>
      </c>
      <c r="AG1354" t="str">
        <f t="shared" si="137"/>
        <v>Pass-Bank</v>
      </c>
      <c r="AN1354" t="str">
        <f t="shared" si="139"/>
        <v>Offensive</v>
      </c>
      <c r="BD1354" s="23"/>
      <c r="BF1354" s="21"/>
    </row>
    <row r="1355" spans="1:58" x14ac:dyDescent="0.2">
      <c r="A1355">
        <v>687</v>
      </c>
      <c r="B1355">
        <v>111</v>
      </c>
      <c r="J1355">
        <v>19</v>
      </c>
      <c r="K1355">
        <v>1</v>
      </c>
      <c r="U1355" s="8">
        <f t="shared" si="135"/>
        <v>2</v>
      </c>
      <c r="AD1355" t="str">
        <f t="shared" si="134"/>
        <v>e</v>
      </c>
      <c r="AE1355" t="str">
        <f t="shared" si="138"/>
        <v>Pass</v>
      </c>
      <c r="AF1355" t="str">
        <f t="shared" si="136"/>
        <v>Pass_Missed</v>
      </c>
      <c r="AG1355" t="str">
        <f t="shared" si="137"/>
        <v>Pass-Bank</v>
      </c>
      <c r="AN1355" t="str">
        <f t="shared" si="139"/>
        <v>Offensive</v>
      </c>
      <c r="BD1355" s="23"/>
      <c r="BF1355" s="21"/>
    </row>
    <row r="1356" spans="1:58" x14ac:dyDescent="0.2">
      <c r="A1356">
        <v>688</v>
      </c>
      <c r="B1356">
        <v>111</v>
      </c>
      <c r="E1356" s="5" t="s">
        <v>865</v>
      </c>
      <c r="F1356" s="5" t="s">
        <v>882</v>
      </c>
      <c r="I1356" t="s">
        <v>840</v>
      </c>
      <c r="J1356">
        <v>7</v>
      </c>
      <c r="K1356">
        <v>1</v>
      </c>
      <c r="L1356" t="s">
        <v>839</v>
      </c>
      <c r="M1356" t="s">
        <v>257</v>
      </c>
      <c r="N1356" t="s">
        <v>191</v>
      </c>
      <c r="O1356" t="s">
        <v>423</v>
      </c>
      <c r="P1356" t="s">
        <v>688</v>
      </c>
      <c r="Q1356" t="s">
        <v>709</v>
      </c>
      <c r="S1356" t="s">
        <v>688</v>
      </c>
      <c r="U1356" s="8">
        <f t="shared" si="135"/>
        <v>2</v>
      </c>
      <c r="AD1356" t="str">
        <f t="shared" si="134"/>
        <v>e</v>
      </c>
      <c r="AE1356" t="str">
        <f t="shared" si="138"/>
        <v>Zone_Entry_Exit</v>
      </c>
      <c r="AF1356" t="str">
        <f t="shared" si="136"/>
        <v>Zone_Entry</v>
      </c>
      <c r="AG1356" t="str">
        <f t="shared" si="137"/>
        <v>ZoneEntry-PassMiss/Misplay</v>
      </c>
      <c r="AN1356" t="str">
        <f t="shared" si="139"/>
        <v>Offensive</v>
      </c>
      <c r="BD1356" s="23"/>
      <c r="BF1356" s="21"/>
    </row>
    <row r="1357" spans="1:58" x14ac:dyDescent="0.2">
      <c r="A1357">
        <v>688</v>
      </c>
      <c r="B1357">
        <v>111</v>
      </c>
      <c r="J1357">
        <v>19</v>
      </c>
      <c r="K1357">
        <v>1</v>
      </c>
      <c r="U1357" s="8">
        <f t="shared" si="135"/>
        <v>2</v>
      </c>
      <c r="AD1357" t="str">
        <f t="shared" si="134"/>
        <v>e</v>
      </c>
      <c r="AE1357" t="str">
        <f t="shared" si="138"/>
        <v>Zone_Entry_Exit</v>
      </c>
      <c r="AF1357" t="str">
        <f t="shared" si="136"/>
        <v>Zone_Entry</v>
      </c>
      <c r="AG1357" t="str">
        <f t="shared" si="137"/>
        <v>ZoneEntry-PassMiss/Misplay</v>
      </c>
      <c r="AN1357" t="str">
        <f t="shared" si="139"/>
        <v>Offensive</v>
      </c>
      <c r="BD1357" s="23"/>
      <c r="BF1357" s="21"/>
    </row>
    <row r="1358" spans="1:58" x14ac:dyDescent="0.2">
      <c r="A1358">
        <v>689</v>
      </c>
      <c r="B1358">
        <v>111</v>
      </c>
      <c r="E1358" s="5" t="s">
        <v>865</v>
      </c>
      <c r="F1358" s="5" t="s">
        <v>882</v>
      </c>
      <c r="I1358" t="s">
        <v>840</v>
      </c>
      <c r="J1358">
        <v>7</v>
      </c>
      <c r="K1358">
        <v>1</v>
      </c>
      <c r="L1358" t="s">
        <v>839</v>
      </c>
      <c r="M1358" t="s">
        <v>10</v>
      </c>
      <c r="N1358" t="s">
        <v>190</v>
      </c>
      <c r="O1358" t="s">
        <v>76</v>
      </c>
      <c r="P1358" t="s">
        <v>688</v>
      </c>
      <c r="Q1358" t="s">
        <v>709</v>
      </c>
      <c r="S1358" t="s">
        <v>688</v>
      </c>
      <c r="U1358" s="8">
        <f t="shared" si="135"/>
        <v>2</v>
      </c>
      <c r="AD1358" t="str">
        <f t="shared" si="134"/>
        <v>e</v>
      </c>
      <c r="AE1358" t="str">
        <f t="shared" si="138"/>
        <v>Turnover</v>
      </c>
      <c r="AF1358" t="str">
        <f t="shared" si="136"/>
        <v>Turnover_Giveaway</v>
      </c>
      <c r="AG1358" t="str">
        <f t="shared" si="137"/>
        <v>Giveaway-PassMissed</v>
      </c>
      <c r="AN1358" t="str">
        <f t="shared" si="139"/>
        <v>Offensive</v>
      </c>
      <c r="BD1358" s="23"/>
      <c r="BF1358" s="21"/>
    </row>
    <row r="1359" spans="1:58" x14ac:dyDescent="0.2">
      <c r="A1359">
        <v>689</v>
      </c>
      <c r="B1359">
        <v>111</v>
      </c>
      <c r="J1359">
        <v>19</v>
      </c>
      <c r="K1359">
        <v>1</v>
      </c>
      <c r="U1359" s="8">
        <f t="shared" si="135"/>
        <v>2</v>
      </c>
      <c r="AD1359" t="str">
        <f t="shared" si="134"/>
        <v>e</v>
      </c>
      <c r="AE1359" t="str">
        <f t="shared" si="138"/>
        <v>Turnover</v>
      </c>
      <c r="AF1359" t="str">
        <f t="shared" si="136"/>
        <v>Turnover_Giveaway</v>
      </c>
      <c r="AG1359" t="str">
        <f t="shared" si="137"/>
        <v>Giveaway-PassMissed</v>
      </c>
      <c r="AN1359" t="str">
        <f t="shared" si="139"/>
        <v>Offensive</v>
      </c>
      <c r="BD1359" s="23"/>
      <c r="BF1359" s="21"/>
    </row>
    <row r="1360" spans="1:58" x14ac:dyDescent="0.2">
      <c r="A1360">
        <v>690</v>
      </c>
      <c r="E1360" s="5" t="s">
        <v>865</v>
      </c>
      <c r="F1360" s="5" t="s">
        <v>883</v>
      </c>
      <c r="G1360" s="5" t="s">
        <v>865</v>
      </c>
      <c r="H1360" s="7" t="s">
        <v>909</v>
      </c>
      <c r="I1360" s="5" t="s">
        <v>835</v>
      </c>
      <c r="J1360">
        <v>9</v>
      </c>
      <c r="K1360">
        <v>1</v>
      </c>
      <c r="L1360" s="5" t="s">
        <v>845</v>
      </c>
      <c r="M1360" t="s">
        <v>15</v>
      </c>
      <c r="N1360" t="s">
        <v>680</v>
      </c>
      <c r="P1360" t="s">
        <v>689</v>
      </c>
      <c r="Q1360" t="s">
        <v>698</v>
      </c>
      <c r="S1360" t="s">
        <v>689</v>
      </c>
      <c r="U1360" s="8">
        <f t="shared" si="135"/>
        <v>2</v>
      </c>
      <c r="AD1360" t="str">
        <f t="shared" si="134"/>
        <v>e</v>
      </c>
      <c r="AE1360" t="str">
        <f t="shared" si="138"/>
        <v>Possession</v>
      </c>
      <c r="AF1360" t="str">
        <f t="shared" si="136"/>
        <v>PuckRetrieval</v>
      </c>
      <c r="AG1360" t="str">
        <f t="shared" si="137"/>
        <v/>
      </c>
      <c r="AN1360" t="str">
        <f t="shared" si="139"/>
        <v>Offensive</v>
      </c>
      <c r="BD1360" s="23"/>
      <c r="BF1360" s="21"/>
    </row>
    <row r="1361" spans="1:58" x14ac:dyDescent="0.2">
      <c r="A1361">
        <v>691</v>
      </c>
      <c r="B1361">
        <v>112</v>
      </c>
      <c r="E1361" s="5" t="s">
        <v>865</v>
      </c>
      <c r="F1361" s="5" t="s">
        <v>909</v>
      </c>
      <c r="I1361" t="s">
        <v>835</v>
      </c>
      <c r="J1361">
        <v>9</v>
      </c>
      <c r="K1361">
        <v>1</v>
      </c>
      <c r="L1361" t="s">
        <v>845</v>
      </c>
      <c r="M1361" t="s">
        <v>8</v>
      </c>
      <c r="N1361" t="s">
        <v>189</v>
      </c>
      <c r="O1361" t="s">
        <v>67</v>
      </c>
      <c r="P1361" t="s">
        <v>689</v>
      </c>
      <c r="Q1361" t="s">
        <v>662</v>
      </c>
      <c r="S1361" t="s">
        <v>689</v>
      </c>
      <c r="U1361" s="8">
        <f t="shared" si="135"/>
        <v>2</v>
      </c>
      <c r="AD1361" t="str">
        <f t="shared" si="134"/>
        <v>e</v>
      </c>
      <c r="AE1361" t="str">
        <f t="shared" si="138"/>
        <v>Pass</v>
      </c>
      <c r="AF1361" t="str">
        <f t="shared" si="136"/>
        <v>Pass_Completed</v>
      </c>
      <c r="AG1361" t="str">
        <f t="shared" si="137"/>
        <v>Pass-Stretch</v>
      </c>
      <c r="AN1361" t="str">
        <f t="shared" si="139"/>
        <v>Offensive</v>
      </c>
      <c r="BD1361" s="23"/>
      <c r="BF1361" s="21"/>
    </row>
    <row r="1362" spans="1:58" x14ac:dyDescent="0.2">
      <c r="A1362">
        <v>691</v>
      </c>
      <c r="B1362">
        <v>112</v>
      </c>
      <c r="J1362">
        <v>24</v>
      </c>
      <c r="K1362">
        <v>1</v>
      </c>
      <c r="T1362">
        <v>1</v>
      </c>
      <c r="U1362" s="8">
        <f t="shared" si="135"/>
        <v>2</v>
      </c>
      <c r="AD1362" t="str">
        <f t="shared" si="134"/>
        <v>e</v>
      </c>
      <c r="AE1362" t="str">
        <f t="shared" si="138"/>
        <v>Pass</v>
      </c>
      <c r="AF1362" t="str">
        <f t="shared" si="136"/>
        <v>Pass_Completed</v>
      </c>
      <c r="AG1362" t="str">
        <f t="shared" si="137"/>
        <v>Pass-Stretch</v>
      </c>
      <c r="AN1362" t="str">
        <f t="shared" si="139"/>
        <v>Offensive</v>
      </c>
      <c r="BD1362" s="23"/>
      <c r="BF1362" s="21"/>
    </row>
    <row r="1363" spans="1:58" x14ac:dyDescent="0.2">
      <c r="A1363">
        <v>691</v>
      </c>
      <c r="B1363">
        <v>112</v>
      </c>
      <c r="J1363">
        <v>17</v>
      </c>
      <c r="T1363">
        <v>1</v>
      </c>
      <c r="U1363" s="8">
        <f t="shared" si="135"/>
        <v>2</v>
      </c>
      <c r="AD1363" t="str">
        <f t="shared" si="134"/>
        <v>o</v>
      </c>
      <c r="AE1363" t="str">
        <f t="shared" si="138"/>
        <v>Pass</v>
      </c>
      <c r="AF1363" t="str">
        <f t="shared" si="136"/>
        <v>Pass_Completed</v>
      </c>
      <c r="AG1363" t="str">
        <f t="shared" si="137"/>
        <v>Pass-Stretch</v>
      </c>
      <c r="AN1363" t="str">
        <f t="shared" si="139"/>
        <v>Defensive</v>
      </c>
      <c r="BD1363" s="23"/>
      <c r="BF1363" s="21"/>
    </row>
    <row r="1364" spans="1:58" x14ac:dyDescent="0.2">
      <c r="A1364">
        <v>692</v>
      </c>
      <c r="B1364">
        <v>112</v>
      </c>
      <c r="E1364" s="5" t="s">
        <v>865</v>
      </c>
      <c r="F1364" s="5" t="s">
        <v>909</v>
      </c>
      <c r="I1364" t="s">
        <v>835</v>
      </c>
      <c r="J1364">
        <v>9</v>
      </c>
      <c r="K1364">
        <v>1</v>
      </c>
      <c r="L1364" t="s">
        <v>845</v>
      </c>
      <c r="M1364" t="s">
        <v>257</v>
      </c>
      <c r="N1364" t="s">
        <v>201</v>
      </c>
      <c r="O1364" t="s">
        <v>91</v>
      </c>
      <c r="P1364" t="s">
        <v>689</v>
      </c>
      <c r="Q1364" t="s">
        <v>662</v>
      </c>
      <c r="S1364" t="s">
        <v>689</v>
      </c>
      <c r="U1364" s="8">
        <f t="shared" si="135"/>
        <v>2</v>
      </c>
      <c r="AD1364" t="str">
        <f t="shared" si="134"/>
        <v>e</v>
      </c>
      <c r="AE1364" t="str">
        <f t="shared" si="138"/>
        <v>Zone_Entry_Exit</v>
      </c>
      <c r="AF1364" t="str">
        <f t="shared" si="136"/>
        <v>Zone_Exit</v>
      </c>
      <c r="AG1364" t="str">
        <f t="shared" si="137"/>
        <v>ZoneExit-Pass</v>
      </c>
      <c r="AN1364" t="str">
        <f t="shared" si="139"/>
        <v>Offensive</v>
      </c>
      <c r="BD1364" s="23"/>
      <c r="BF1364" s="21"/>
    </row>
    <row r="1365" spans="1:58" x14ac:dyDescent="0.2">
      <c r="A1365">
        <v>692</v>
      </c>
      <c r="B1365">
        <v>112</v>
      </c>
      <c r="J1365">
        <v>24</v>
      </c>
      <c r="K1365">
        <v>1</v>
      </c>
      <c r="T1365">
        <v>1</v>
      </c>
      <c r="U1365" s="8">
        <f t="shared" si="135"/>
        <v>2</v>
      </c>
      <c r="AD1365" t="str">
        <f t="shared" si="134"/>
        <v>e</v>
      </c>
      <c r="AE1365" t="str">
        <f t="shared" si="138"/>
        <v>Zone_Entry_Exit</v>
      </c>
      <c r="AF1365" t="str">
        <f t="shared" si="136"/>
        <v>Zone_Exit</v>
      </c>
      <c r="AG1365" t="str">
        <f t="shared" si="137"/>
        <v>ZoneExit-Pass</v>
      </c>
      <c r="AN1365" t="str">
        <f t="shared" si="139"/>
        <v>Offensive</v>
      </c>
      <c r="BD1365" s="23"/>
      <c r="BF1365" s="21"/>
    </row>
    <row r="1366" spans="1:58" x14ac:dyDescent="0.2">
      <c r="A1366">
        <v>692</v>
      </c>
      <c r="B1366">
        <v>112</v>
      </c>
      <c r="J1366">
        <v>17</v>
      </c>
      <c r="T1366">
        <v>1</v>
      </c>
      <c r="U1366" s="8">
        <f t="shared" si="135"/>
        <v>2</v>
      </c>
      <c r="AD1366" t="str">
        <f t="shared" si="134"/>
        <v>o</v>
      </c>
      <c r="AE1366" t="str">
        <f t="shared" si="138"/>
        <v>Zone_Entry_Exit</v>
      </c>
      <c r="AF1366" t="str">
        <f t="shared" si="136"/>
        <v>Zone_Exit</v>
      </c>
      <c r="AG1366" t="str">
        <f t="shared" si="137"/>
        <v>ZoneExit-Pass</v>
      </c>
      <c r="AN1366" t="str">
        <f t="shared" si="139"/>
        <v>Defensive</v>
      </c>
      <c r="BD1366" s="23"/>
      <c r="BF1366" s="21"/>
    </row>
    <row r="1367" spans="1:58" x14ac:dyDescent="0.2">
      <c r="A1367">
        <v>693</v>
      </c>
      <c r="E1367" s="5" t="s">
        <v>865</v>
      </c>
      <c r="F1367" s="5" t="s">
        <v>865</v>
      </c>
      <c r="I1367" t="s">
        <v>835</v>
      </c>
      <c r="J1367">
        <v>24</v>
      </c>
      <c r="K1367">
        <v>1</v>
      </c>
      <c r="L1367" t="s">
        <v>839</v>
      </c>
      <c r="M1367" t="s">
        <v>8</v>
      </c>
      <c r="N1367" t="s">
        <v>189</v>
      </c>
      <c r="O1367" t="s">
        <v>70</v>
      </c>
      <c r="P1367" t="s">
        <v>689</v>
      </c>
      <c r="Q1367" t="s">
        <v>749</v>
      </c>
      <c r="S1367" t="s">
        <v>689</v>
      </c>
      <c r="U1367" s="8">
        <f t="shared" si="135"/>
        <v>2</v>
      </c>
      <c r="AD1367" t="str">
        <f t="shared" si="134"/>
        <v>e</v>
      </c>
      <c r="AE1367" t="str">
        <f t="shared" si="138"/>
        <v>Pass</v>
      </c>
      <c r="AF1367" t="str">
        <f t="shared" si="136"/>
        <v>Pass_Completed</v>
      </c>
      <c r="AG1367" t="str">
        <f t="shared" si="137"/>
        <v>Pass-Forehand</v>
      </c>
      <c r="AN1367" t="str">
        <f t="shared" si="139"/>
        <v>Offensive</v>
      </c>
      <c r="BD1367" s="23"/>
      <c r="BF1367" s="21"/>
    </row>
    <row r="1368" spans="1:58" x14ac:dyDescent="0.2">
      <c r="A1368">
        <v>693</v>
      </c>
      <c r="J1368">
        <v>87</v>
      </c>
      <c r="K1368">
        <v>1</v>
      </c>
      <c r="U1368" s="8">
        <f t="shared" si="135"/>
        <v>2</v>
      </c>
      <c r="AD1368" t="str">
        <f t="shared" si="134"/>
        <v>e</v>
      </c>
      <c r="AE1368" t="str">
        <f t="shared" si="138"/>
        <v>Pass</v>
      </c>
      <c r="AF1368" t="str">
        <f t="shared" si="136"/>
        <v>Pass_Completed</v>
      </c>
      <c r="AG1368" t="str">
        <f t="shared" si="137"/>
        <v>Pass-Forehand</v>
      </c>
      <c r="AN1368" t="str">
        <f t="shared" si="139"/>
        <v>Offensive</v>
      </c>
      <c r="BD1368" s="23"/>
      <c r="BF1368" s="21"/>
    </row>
    <row r="1369" spans="1:58" x14ac:dyDescent="0.2">
      <c r="A1369">
        <v>694</v>
      </c>
      <c r="B1369">
        <v>113</v>
      </c>
      <c r="E1369" s="5" t="s">
        <v>865</v>
      </c>
      <c r="F1369" s="5" t="s">
        <v>898</v>
      </c>
      <c r="I1369" t="s">
        <v>835</v>
      </c>
      <c r="J1369">
        <v>87</v>
      </c>
      <c r="K1369">
        <v>1</v>
      </c>
      <c r="L1369" t="s">
        <v>839</v>
      </c>
      <c r="M1369" t="s">
        <v>8</v>
      </c>
      <c r="N1369" t="s">
        <v>189</v>
      </c>
      <c r="O1369" t="s">
        <v>70</v>
      </c>
      <c r="P1369" t="s">
        <v>689</v>
      </c>
      <c r="U1369" s="8">
        <f t="shared" si="135"/>
        <v>2</v>
      </c>
      <c r="AD1369" t="str">
        <f t="shared" si="134"/>
        <v>e</v>
      </c>
      <c r="AE1369" t="str">
        <f t="shared" si="138"/>
        <v>Pass</v>
      </c>
      <c r="AF1369" t="str">
        <f t="shared" si="136"/>
        <v>Pass_Completed</v>
      </c>
      <c r="AG1369" t="str">
        <f t="shared" si="137"/>
        <v>Pass-Forehand</v>
      </c>
      <c r="AN1369" t="str">
        <f t="shared" si="139"/>
        <v>Offensive</v>
      </c>
      <c r="BD1369" s="23"/>
      <c r="BF1369" s="21"/>
    </row>
    <row r="1370" spans="1:58" x14ac:dyDescent="0.2">
      <c r="A1370">
        <v>694</v>
      </c>
      <c r="B1370">
        <v>113</v>
      </c>
      <c r="J1370">
        <v>24</v>
      </c>
      <c r="K1370">
        <v>1</v>
      </c>
      <c r="U1370" s="8">
        <f t="shared" si="135"/>
        <v>2</v>
      </c>
      <c r="AD1370" t="str">
        <f t="shared" si="134"/>
        <v>e</v>
      </c>
      <c r="AE1370" t="str">
        <f t="shared" si="138"/>
        <v>Pass</v>
      </c>
      <c r="AF1370" t="str">
        <f t="shared" si="136"/>
        <v>Pass_Completed</v>
      </c>
      <c r="AG1370" t="str">
        <f t="shared" si="137"/>
        <v>Pass-Forehand</v>
      </c>
      <c r="AN1370" t="str">
        <f t="shared" si="139"/>
        <v>Offensive</v>
      </c>
      <c r="BD1370" s="23"/>
      <c r="BF1370" s="21"/>
    </row>
    <row r="1371" spans="1:58" x14ac:dyDescent="0.2">
      <c r="A1371">
        <v>694</v>
      </c>
      <c r="B1371">
        <v>113</v>
      </c>
      <c r="J1371">
        <v>8</v>
      </c>
      <c r="U1371" s="8">
        <f t="shared" si="135"/>
        <v>2</v>
      </c>
      <c r="AD1371" t="str">
        <f t="shared" si="134"/>
        <v>o</v>
      </c>
      <c r="AE1371" t="str">
        <f t="shared" si="138"/>
        <v>Pass</v>
      </c>
      <c r="AF1371" t="str">
        <f t="shared" si="136"/>
        <v>Pass_Completed</v>
      </c>
      <c r="AG1371" t="str">
        <f t="shared" si="137"/>
        <v>Pass-Forehand</v>
      </c>
      <c r="AN1371" t="str">
        <f t="shared" si="139"/>
        <v>Defensive</v>
      </c>
      <c r="BD1371" s="23"/>
      <c r="BF1371" s="21"/>
    </row>
    <row r="1372" spans="1:58" x14ac:dyDescent="0.2">
      <c r="A1372">
        <v>695</v>
      </c>
      <c r="B1372">
        <v>113</v>
      </c>
      <c r="E1372" s="5" t="s">
        <v>865</v>
      </c>
      <c r="F1372" s="5" t="s">
        <v>898</v>
      </c>
      <c r="I1372" t="s">
        <v>835</v>
      </c>
      <c r="J1372">
        <v>87</v>
      </c>
      <c r="K1372">
        <v>1</v>
      </c>
      <c r="L1372" t="s">
        <v>839</v>
      </c>
      <c r="M1372" t="s">
        <v>257</v>
      </c>
      <c r="N1372" t="s">
        <v>191</v>
      </c>
      <c r="O1372" t="s">
        <v>88</v>
      </c>
      <c r="P1372" t="s">
        <v>689</v>
      </c>
      <c r="U1372" s="8">
        <f t="shared" si="135"/>
        <v>2</v>
      </c>
      <c r="AD1372" t="str">
        <f t="shared" si="134"/>
        <v>e</v>
      </c>
      <c r="AE1372" t="str">
        <f t="shared" si="138"/>
        <v>Zone_Entry_Exit</v>
      </c>
      <c r="AF1372" t="str">
        <f t="shared" si="136"/>
        <v>Zone_Entry</v>
      </c>
      <c r="AG1372" t="str">
        <f t="shared" si="137"/>
        <v>ZoneEntry-Pass</v>
      </c>
      <c r="AN1372" t="str">
        <f t="shared" si="139"/>
        <v>Offensive</v>
      </c>
      <c r="BD1372" s="23"/>
      <c r="BF1372" s="21"/>
    </row>
    <row r="1373" spans="1:58" x14ac:dyDescent="0.2">
      <c r="A1373">
        <v>695</v>
      </c>
      <c r="B1373">
        <v>113</v>
      </c>
      <c r="J1373">
        <v>24</v>
      </c>
      <c r="K1373">
        <v>1</v>
      </c>
      <c r="U1373" s="8">
        <f t="shared" si="135"/>
        <v>2</v>
      </c>
      <c r="AD1373" t="str">
        <f t="shared" si="134"/>
        <v>e</v>
      </c>
      <c r="AE1373" t="str">
        <f t="shared" si="138"/>
        <v>Zone_Entry_Exit</v>
      </c>
      <c r="AF1373" t="str">
        <f t="shared" si="136"/>
        <v>Zone_Entry</v>
      </c>
      <c r="AG1373" t="str">
        <f t="shared" si="137"/>
        <v>ZoneEntry-Pass</v>
      </c>
      <c r="AN1373" t="str">
        <f t="shared" si="139"/>
        <v>Offensive</v>
      </c>
      <c r="BD1373" s="23"/>
      <c r="BF1373" s="21"/>
    </row>
    <row r="1374" spans="1:58" x14ac:dyDescent="0.2">
      <c r="A1374">
        <v>695</v>
      </c>
      <c r="B1374">
        <v>113</v>
      </c>
      <c r="J1374">
        <v>8</v>
      </c>
      <c r="U1374" s="8">
        <f t="shared" si="135"/>
        <v>2</v>
      </c>
      <c r="AD1374" t="str">
        <f t="shared" si="134"/>
        <v>o</v>
      </c>
      <c r="AE1374" t="str">
        <f t="shared" si="138"/>
        <v>Zone_Entry_Exit</v>
      </c>
      <c r="AF1374" t="str">
        <f t="shared" si="136"/>
        <v>Zone_Entry</v>
      </c>
      <c r="AG1374" t="str">
        <f t="shared" si="137"/>
        <v>ZoneEntry-Pass</v>
      </c>
      <c r="AN1374" t="str">
        <f t="shared" si="139"/>
        <v>Defensive</v>
      </c>
      <c r="BD1374" s="23"/>
      <c r="BF1374" s="21"/>
    </row>
    <row r="1375" spans="1:58" x14ac:dyDescent="0.2">
      <c r="A1375">
        <v>696</v>
      </c>
      <c r="E1375" s="5" t="s">
        <v>865</v>
      </c>
      <c r="F1375" s="5" t="s">
        <v>866</v>
      </c>
      <c r="I1375" t="s">
        <v>835</v>
      </c>
      <c r="J1375">
        <v>24</v>
      </c>
      <c r="K1375">
        <v>1</v>
      </c>
      <c r="L1375" t="s">
        <v>401</v>
      </c>
      <c r="M1375" t="s">
        <v>8</v>
      </c>
      <c r="N1375" t="s">
        <v>189</v>
      </c>
      <c r="O1375" t="s">
        <v>70</v>
      </c>
      <c r="P1375" t="s">
        <v>689</v>
      </c>
      <c r="Q1375" t="s">
        <v>773</v>
      </c>
      <c r="R1375" t="s">
        <v>749</v>
      </c>
      <c r="S1375" t="s">
        <v>689</v>
      </c>
      <c r="U1375" s="8">
        <f t="shared" si="135"/>
        <v>2</v>
      </c>
      <c r="AD1375" t="str">
        <f t="shared" si="134"/>
        <v>e</v>
      </c>
      <c r="AE1375" t="str">
        <f t="shared" si="138"/>
        <v>Pass</v>
      </c>
      <c r="AF1375" t="str">
        <f t="shared" si="136"/>
        <v>Pass_Completed</v>
      </c>
      <c r="AG1375" t="str">
        <f t="shared" si="137"/>
        <v>Pass-Forehand</v>
      </c>
      <c r="AN1375" t="str">
        <f t="shared" si="139"/>
        <v>Offensive</v>
      </c>
      <c r="BD1375" s="23"/>
      <c r="BF1375" s="21"/>
    </row>
    <row r="1376" spans="1:58" x14ac:dyDescent="0.2">
      <c r="A1376">
        <v>696</v>
      </c>
      <c r="J1376">
        <v>87</v>
      </c>
      <c r="K1376">
        <v>1</v>
      </c>
      <c r="U1376" s="8">
        <f t="shared" si="135"/>
        <v>2</v>
      </c>
      <c r="AD1376" t="str">
        <f t="shared" si="134"/>
        <v>e</v>
      </c>
      <c r="AE1376" t="str">
        <f t="shared" si="138"/>
        <v>Pass</v>
      </c>
      <c r="AF1376" t="str">
        <f t="shared" si="136"/>
        <v>Pass_Completed</v>
      </c>
      <c r="AG1376" t="str">
        <f t="shared" si="137"/>
        <v>Pass-Forehand</v>
      </c>
      <c r="AN1376" t="str">
        <f t="shared" si="139"/>
        <v>Offensive</v>
      </c>
      <c r="BD1376" s="23"/>
      <c r="BF1376" s="21"/>
    </row>
    <row r="1377" spans="1:58" x14ac:dyDescent="0.2">
      <c r="A1377">
        <v>697</v>
      </c>
      <c r="E1377" s="5" t="s">
        <v>865</v>
      </c>
      <c r="F1377" s="5" t="s">
        <v>899</v>
      </c>
      <c r="I1377" t="s">
        <v>835</v>
      </c>
      <c r="J1377">
        <v>87</v>
      </c>
      <c r="K1377">
        <v>1</v>
      </c>
      <c r="L1377" t="s">
        <v>401</v>
      </c>
      <c r="M1377" t="s">
        <v>8</v>
      </c>
      <c r="N1377" t="s">
        <v>189</v>
      </c>
      <c r="O1377" t="s">
        <v>70</v>
      </c>
      <c r="P1377" t="s">
        <v>689</v>
      </c>
      <c r="U1377" s="8">
        <f t="shared" si="135"/>
        <v>2</v>
      </c>
      <c r="AD1377" t="str">
        <f t="shared" si="134"/>
        <v>e</v>
      </c>
      <c r="AE1377" t="str">
        <f t="shared" si="138"/>
        <v>Pass</v>
      </c>
      <c r="AF1377" t="str">
        <f t="shared" si="136"/>
        <v>Pass_Completed</v>
      </c>
      <c r="AG1377" t="str">
        <f t="shared" si="137"/>
        <v>Pass-Forehand</v>
      </c>
      <c r="AN1377" t="str">
        <f t="shared" si="139"/>
        <v>Offensive</v>
      </c>
      <c r="BD1377" s="23"/>
      <c r="BF1377" s="21"/>
    </row>
    <row r="1378" spans="1:58" x14ac:dyDescent="0.2">
      <c r="A1378">
        <v>697</v>
      </c>
      <c r="J1378">
        <v>24</v>
      </c>
      <c r="K1378">
        <v>1</v>
      </c>
      <c r="U1378" s="8">
        <f t="shared" si="135"/>
        <v>2</v>
      </c>
      <c r="AD1378" t="str">
        <f t="shared" si="134"/>
        <v>e</v>
      </c>
      <c r="AE1378" t="str">
        <f t="shared" si="138"/>
        <v>Pass</v>
      </c>
      <c r="AF1378" t="str">
        <f t="shared" si="136"/>
        <v>Pass_Completed</v>
      </c>
      <c r="AG1378" t="str">
        <f t="shared" si="137"/>
        <v>Pass-Forehand</v>
      </c>
      <c r="AN1378" t="str">
        <f t="shared" si="139"/>
        <v>Offensive</v>
      </c>
      <c r="BD1378" s="23"/>
      <c r="BF1378" s="21"/>
    </row>
    <row r="1379" spans="1:58" x14ac:dyDescent="0.2">
      <c r="A1379">
        <v>698</v>
      </c>
      <c r="B1379">
        <v>114</v>
      </c>
      <c r="E1379" s="5" t="s">
        <v>865</v>
      </c>
      <c r="F1379" s="5" t="s">
        <v>892</v>
      </c>
      <c r="I1379" t="s">
        <v>835</v>
      </c>
      <c r="J1379">
        <v>24</v>
      </c>
      <c r="K1379">
        <v>1</v>
      </c>
      <c r="L1379" t="s">
        <v>401</v>
      </c>
      <c r="M1379" t="s">
        <v>8</v>
      </c>
      <c r="N1379" t="s">
        <v>216</v>
      </c>
      <c r="O1379" t="s">
        <v>70</v>
      </c>
      <c r="P1379" t="s">
        <v>688</v>
      </c>
      <c r="Q1379" t="s">
        <v>749</v>
      </c>
      <c r="S1379" t="s">
        <v>688</v>
      </c>
      <c r="U1379" s="8">
        <f t="shared" si="135"/>
        <v>2</v>
      </c>
      <c r="AD1379" t="str">
        <f t="shared" si="134"/>
        <v>e</v>
      </c>
      <c r="AE1379" t="str">
        <f t="shared" si="138"/>
        <v>Pass</v>
      </c>
      <c r="AF1379" t="str">
        <f t="shared" si="136"/>
        <v>Pass_Intercepted</v>
      </c>
      <c r="AG1379" t="str">
        <f t="shared" si="137"/>
        <v>Pass-Forehand</v>
      </c>
      <c r="AN1379" t="str">
        <f t="shared" si="139"/>
        <v>Offensive</v>
      </c>
      <c r="BD1379" s="23"/>
      <c r="BF1379" s="21"/>
    </row>
    <row r="1380" spans="1:58" x14ac:dyDescent="0.2">
      <c r="A1380">
        <v>698</v>
      </c>
      <c r="B1380">
        <v>114</v>
      </c>
      <c r="J1380">
        <v>8</v>
      </c>
      <c r="Q1380" t="s">
        <v>700</v>
      </c>
      <c r="S1380" t="s">
        <v>689</v>
      </c>
      <c r="U1380" s="8">
        <f t="shared" si="135"/>
        <v>2</v>
      </c>
      <c r="AD1380" t="str">
        <f t="shared" si="134"/>
        <v>o</v>
      </c>
      <c r="AE1380" t="str">
        <f t="shared" si="138"/>
        <v>Pass</v>
      </c>
      <c r="AF1380" t="str">
        <f t="shared" si="136"/>
        <v>Pass_Intercepted</v>
      </c>
      <c r="AG1380" t="str">
        <f t="shared" si="137"/>
        <v>Pass-Forehand</v>
      </c>
      <c r="AN1380" t="str">
        <f t="shared" si="139"/>
        <v>Defensive</v>
      </c>
      <c r="BD1380" s="23"/>
      <c r="BF1380" s="21"/>
    </row>
    <row r="1381" spans="1:58" x14ac:dyDescent="0.2">
      <c r="A1381">
        <v>699</v>
      </c>
      <c r="B1381">
        <v>114</v>
      </c>
      <c r="E1381" s="5" t="s">
        <v>865</v>
      </c>
      <c r="F1381" s="5" t="s">
        <v>892</v>
      </c>
      <c r="I1381" t="s">
        <v>835</v>
      </c>
      <c r="J1381">
        <v>24</v>
      </c>
      <c r="K1381">
        <v>1</v>
      </c>
      <c r="L1381" t="s">
        <v>401</v>
      </c>
      <c r="M1381" t="s">
        <v>10</v>
      </c>
      <c r="N1381" t="s">
        <v>190</v>
      </c>
      <c r="O1381" t="s">
        <v>75</v>
      </c>
      <c r="P1381" t="s">
        <v>688</v>
      </c>
      <c r="Q1381" t="s">
        <v>749</v>
      </c>
      <c r="S1381" t="s">
        <v>688</v>
      </c>
      <c r="U1381" s="8">
        <f t="shared" si="135"/>
        <v>2</v>
      </c>
      <c r="AD1381" t="str">
        <f t="shared" si="134"/>
        <v>e</v>
      </c>
      <c r="AE1381" t="str">
        <f t="shared" si="138"/>
        <v>Turnover</v>
      </c>
      <c r="AF1381" t="str">
        <f t="shared" si="136"/>
        <v>Turnover_Giveaway</v>
      </c>
      <c r="AG1381" t="str">
        <f t="shared" si="137"/>
        <v>Giveaway-PassIntercepted</v>
      </c>
      <c r="AN1381" t="str">
        <f t="shared" si="139"/>
        <v>Offensive</v>
      </c>
      <c r="BD1381" s="23"/>
      <c r="BF1381" s="21"/>
    </row>
    <row r="1382" spans="1:58" x14ac:dyDescent="0.2">
      <c r="A1382">
        <v>699</v>
      </c>
      <c r="B1382">
        <v>114</v>
      </c>
      <c r="J1382">
        <v>8</v>
      </c>
      <c r="Q1382" t="s">
        <v>700</v>
      </c>
      <c r="S1382" t="s">
        <v>689</v>
      </c>
      <c r="U1382" s="8">
        <f t="shared" si="135"/>
        <v>2</v>
      </c>
      <c r="AD1382" t="str">
        <f t="shared" si="134"/>
        <v>o</v>
      </c>
      <c r="AE1382" t="str">
        <f t="shared" si="138"/>
        <v>Turnover</v>
      </c>
      <c r="AF1382" t="str">
        <f t="shared" si="136"/>
        <v>Turnover_Giveaway</v>
      </c>
      <c r="AG1382" t="str">
        <f t="shared" si="137"/>
        <v>Giveaway-PassIntercepted</v>
      </c>
      <c r="AN1382" t="str">
        <f t="shared" si="139"/>
        <v>Defensive</v>
      </c>
      <c r="BD1382" s="23"/>
      <c r="BF1382" s="21"/>
    </row>
    <row r="1383" spans="1:58" x14ac:dyDescent="0.2">
      <c r="A1383">
        <v>700</v>
      </c>
      <c r="E1383" s="5" t="s">
        <v>865</v>
      </c>
      <c r="F1383" s="5" t="s">
        <v>892</v>
      </c>
      <c r="G1383" s="5" t="s">
        <v>865</v>
      </c>
      <c r="H1383" s="7" t="s">
        <v>902</v>
      </c>
      <c r="I1383" s="5" t="s">
        <v>835</v>
      </c>
      <c r="J1383">
        <v>8</v>
      </c>
      <c r="K1383">
        <v>1</v>
      </c>
      <c r="L1383" s="5" t="s">
        <v>845</v>
      </c>
      <c r="M1383" t="s">
        <v>15</v>
      </c>
      <c r="U1383" s="8">
        <f t="shared" si="135"/>
        <v>2</v>
      </c>
      <c r="AD1383" t="str">
        <f t="shared" si="134"/>
        <v>e</v>
      </c>
      <c r="AE1383" t="str">
        <f t="shared" si="138"/>
        <v>Possession</v>
      </c>
      <c r="AF1383" t="str">
        <f t="shared" si="136"/>
        <v/>
      </c>
      <c r="AG1383" t="str">
        <f t="shared" si="137"/>
        <v/>
      </c>
      <c r="AN1383" t="str">
        <f t="shared" si="139"/>
        <v>Offensive</v>
      </c>
      <c r="BD1383" s="23"/>
      <c r="BF1383" s="21"/>
    </row>
    <row r="1384" spans="1:58" x14ac:dyDescent="0.2">
      <c r="A1384">
        <v>701</v>
      </c>
      <c r="E1384" s="5" t="s">
        <v>865</v>
      </c>
      <c r="F1384" s="5" t="s">
        <v>902</v>
      </c>
      <c r="I1384" t="s">
        <v>835</v>
      </c>
      <c r="J1384">
        <v>8</v>
      </c>
      <c r="K1384">
        <v>1</v>
      </c>
      <c r="L1384" t="s">
        <v>845</v>
      </c>
      <c r="M1384" t="s">
        <v>8</v>
      </c>
      <c r="N1384" t="s">
        <v>189</v>
      </c>
      <c r="O1384" t="s">
        <v>68</v>
      </c>
      <c r="P1384" t="s">
        <v>689</v>
      </c>
      <c r="Q1384" t="s">
        <v>706</v>
      </c>
      <c r="S1384" t="s">
        <v>688</v>
      </c>
      <c r="T1384">
        <v>1</v>
      </c>
      <c r="U1384" s="8">
        <f t="shared" si="135"/>
        <v>2</v>
      </c>
      <c r="AD1384" t="str">
        <f t="shared" si="134"/>
        <v>e</v>
      </c>
      <c r="AE1384" t="str">
        <f t="shared" si="138"/>
        <v>Pass</v>
      </c>
      <c r="AF1384" t="str">
        <f t="shared" si="136"/>
        <v>Pass_Completed</v>
      </c>
      <c r="AG1384" t="str">
        <f t="shared" si="137"/>
        <v>Pass-Rim/Wrap</v>
      </c>
      <c r="AN1384" t="str">
        <f t="shared" si="139"/>
        <v>Offensive</v>
      </c>
      <c r="BD1384" s="23"/>
      <c r="BF1384" s="21"/>
    </row>
    <row r="1385" spans="1:58" x14ac:dyDescent="0.2">
      <c r="A1385">
        <v>701</v>
      </c>
      <c r="J1385">
        <v>19</v>
      </c>
      <c r="K1385">
        <v>1</v>
      </c>
      <c r="U1385" s="8">
        <f t="shared" si="135"/>
        <v>2</v>
      </c>
      <c r="AD1385" t="str">
        <f t="shared" si="134"/>
        <v>e</v>
      </c>
      <c r="AE1385" t="str">
        <f t="shared" si="138"/>
        <v>Pass</v>
      </c>
      <c r="AF1385" t="str">
        <f t="shared" si="136"/>
        <v>Pass_Completed</v>
      </c>
      <c r="AG1385" t="str">
        <f t="shared" si="137"/>
        <v>Pass-Rim/Wrap</v>
      </c>
      <c r="AN1385" t="str">
        <f t="shared" si="139"/>
        <v>Offensive</v>
      </c>
      <c r="BD1385" s="23"/>
      <c r="BF1385" s="21"/>
    </row>
    <row r="1386" spans="1:58" x14ac:dyDescent="0.2">
      <c r="A1386">
        <v>701</v>
      </c>
      <c r="J1386">
        <v>42</v>
      </c>
      <c r="T1386">
        <v>1</v>
      </c>
      <c r="U1386" s="8">
        <f t="shared" si="135"/>
        <v>2</v>
      </c>
      <c r="AD1386" t="str">
        <f t="shared" si="134"/>
        <v>o</v>
      </c>
      <c r="AE1386" t="str">
        <f t="shared" si="138"/>
        <v>Pass</v>
      </c>
      <c r="AF1386" t="str">
        <f t="shared" si="136"/>
        <v>Pass_Completed</v>
      </c>
      <c r="AG1386" t="str">
        <f t="shared" si="137"/>
        <v>Pass-Rim/Wrap</v>
      </c>
      <c r="AN1386" t="str">
        <f t="shared" si="139"/>
        <v>Defensive</v>
      </c>
      <c r="BD1386" s="23"/>
      <c r="BF1386" s="21"/>
    </row>
    <row r="1387" spans="1:58" x14ac:dyDescent="0.2">
      <c r="A1387">
        <v>702</v>
      </c>
      <c r="B1387">
        <v>115</v>
      </c>
      <c r="E1387" s="5" t="s">
        <v>865</v>
      </c>
      <c r="F1387" s="5" t="s">
        <v>869</v>
      </c>
      <c r="I1387" t="s">
        <v>840</v>
      </c>
      <c r="J1387">
        <v>22</v>
      </c>
      <c r="K1387">
        <v>1</v>
      </c>
      <c r="L1387" t="s">
        <v>401</v>
      </c>
      <c r="M1387" t="s">
        <v>10</v>
      </c>
      <c r="N1387" t="s">
        <v>200</v>
      </c>
      <c r="O1387" t="s">
        <v>81</v>
      </c>
      <c r="P1387" t="s">
        <v>689</v>
      </c>
      <c r="Q1387" t="s">
        <v>725</v>
      </c>
      <c r="S1387" t="s">
        <v>689</v>
      </c>
      <c r="T1387">
        <v>1</v>
      </c>
      <c r="U1387" s="8">
        <f t="shared" si="135"/>
        <v>2</v>
      </c>
      <c r="AD1387" t="str">
        <f t="shared" si="134"/>
        <v>e</v>
      </c>
      <c r="AE1387" t="str">
        <f t="shared" si="138"/>
        <v>Turnover</v>
      </c>
      <c r="AF1387" t="str">
        <f t="shared" si="136"/>
        <v>Turnover_Takeaway</v>
      </c>
      <c r="AG1387" t="str">
        <f t="shared" si="137"/>
        <v>Takeaway-BattleWon</v>
      </c>
      <c r="AN1387" t="str">
        <f t="shared" si="139"/>
        <v>Defensive</v>
      </c>
      <c r="BD1387" s="23"/>
      <c r="BF1387" s="21"/>
    </row>
    <row r="1388" spans="1:58" x14ac:dyDescent="0.2">
      <c r="A1388">
        <v>702</v>
      </c>
      <c r="B1388">
        <v>115</v>
      </c>
      <c r="J1388">
        <v>19</v>
      </c>
      <c r="Q1388" t="s">
        <v>707</v>
      </c>
      <c r="S1388" t="s">
        <v>688</v>
      </c>
      <c r="T1388">
        <v>1</v>
      </c>
      <c r="U1388" s="8">
        <f t="shared" si="135"/>
        <v>2</v>
      </c>
      <c r="AD1388" t="str">
        <f t="shared" si="134"/>
        <v>o</v>
      </c>
      <c r="AE1388" t="str">
        <f t="shared" si="138"/>
        <v>Turnover</v>
      </c>
      <c r="AF1388" t="str">
        <f t="shared" si="136"/>
        <v>Turnover_Takeaway</v>
      </c>
      <c r="AG1388" t="str">
        <f t="shared" si="137"/>
        <v>Takeaway-BattleWon</v>
      </c>
      <c r="AN1388" t="str">
        <f t="shared" si="139"/>
        <v>Offensive</v>
      </c>
      <c r="BD1388" s="23"/>
      <c r="BF1388" s="21"/>
    </row>
    <row r="1389" spans="1:58" x14ac:dyDescent="0.2">
      <c r="A1389">
        <v>703</v>
      </c>
      <c r="B1389">
        <v>115</v>
      </c>
      <c r="E1389" s="5" t="s">
        <v>865</v>
      </c>
      <c r="F1389" s="5" t="s">
        <v>869</v>
      </c>
      <c r="J1389">
        <v>22</v>
      </c>
      <c r="K1389">
        <v>1</v>
      </c>
      <c r="L1389" t="s">
        <v>401</v>
      </c>
      <c r="M1389" t="s">
        <v>257</v>
      </c>
      <c r="N1389" t="s">
        <v>210</v>
      </c>
      <c r="O1389" t="s">
        <v>93</v>
      </c>
      <c r="P1389" t="s">
        <v>689</v>
      </c>
      <c r="Q1389" t="s">
        <v>725</v>
      </c>
      <c r="S1389" t="s">
        <v>689</v>
      </c>
      <c r="T1389">
        <v>1</v>
      </c>
      <c r="U1389" s="8">
        <f t="shared" si="135"/>
        <v>2</v>
      </c>
      <c r="AD1389" t="str">
        <f t="shared" si="134"/>
        <v>e</v>
      </c>
      <c r="AE1389" t="str">
        <f t="shared" si="138"/>
        <v>Zone_Entry_Exit</v>
      </c>
      <c r="AF1389" t="str">
        <f t="shared" si="136"/>
        <v>Zone_Keepin</v>
      </c>
      <c r="AG1389" t="str">
        <f t="shared" si="137"/>
        <v>Zone-KeepIn</v>
      </c>
      <c r="AN1389" t="str">
        <f t="shared" si="139"/>
        <v>Offensive</v>
      </c>
      <c r="BD1389" s="23"/>
      <c r="BF1389" s="21"/>
    </row>
    <row r="1390" spans="1:58" x14ac:dyDescent="0.2">
      <c r="A1390">
        <v>703</v>
      </c>
      <c r="B1390">
        <v>115</v>
      </c>
      <c r="J1390">
        <v>19</v>
      </c>
      <c r="Q1390" t="s">
        <v>707</v>
      </c>
      <c r="S1390" t="s">
        <v>688</v>
      </c>
      <c r="T1390">
        <v>1</v>
      </c>
      <c r="U1390" s="8">
        <f t="shared" si="135"/>
        <v>2</v>
      </c>
      <c r="AD1390" t="str">
        <f t="shared" si="134"/>
        <v>o</v>
      </c>
      <c r="AE1390" t="str">
        <f t="shared" si="138"/>
        <v>Zone_Entry_Exit</v>
      </c>
      <c r="AF1390" t="str">
        <f t="shared" si="136"/>
        <v>Zone_Keepin</v>
      </c>
      <c r="AG1390" t="str">
        <f t="shared" si="137"/>
        <v>Zone-KeepIn</v>
      </c>
      <c r="AN1390" t="str">
        <f t="shared" si="139"/>
        <v>Defensive</v>
      </c>
      <c r="BD1390" s="23"/>
      <c r="BF1390" s="21"/>
    </row>
    <row r="1391" spans="1:58" x14ac:dyDescent="0.2">
      <c r="A1391">
        <v>704</v>
      </c>
      <c r="B1391">
        <v>115</v>
      </c>
      <c r="E1391" s="5" t="s">
        <v>865</v>
      </c>
      <c r="F1391" s="5" t="s">
        <v>869</v>
      </c>
      <c r="I1391" t="s">
        <v>835</v>
      </c>
      <c r="J1391">
        <v>19</v>
      </c>
      <c r="K1391">
        <v>1</v>
      </c>
      <c r="L1391" t="s">
        <v>845</v>
      </c>
      <c r="M1391" t="s">
        <v>257</v>
      </c>
      <c r="N1391" t="s">
        <v>752</v>
      </c>
      <c r="O1391" t="s">
        <v>90</v>
      </c>
      <c r="P1391" t="s">
        <v>688</v>
      </c>
      <c r="Q1391" t="s">
        <v>707</v>
      </c>
      <c r="S1391" t="s">
        <v>688</v>
      </c>
      <c r="T1391">
        <v>1</v>
      </c>
      <c r="U1391" s="8">
        <f t="shared" si="135"/>
        <v>2</v>
      </c>
      <c r="AD1391" t="str">
        <f t="shared" si="134"/>
        <v>e</v>
      </c>
      <c r="AE1391" t="str">
        <f t="shared" si="138"/>
        <v>Zone_Entry_Exit</v>
      </c>
      <c r="AF1391" t="str">
        <f t="shared" si="136"/>
        <v>Zone_ExitFailed</v>
      </c>
      <c r="AG1391" t="str">
        <f t="shared" si="137"/>
        <v>ZoneExit-Rush</v>
      </c>
      <c r="AN1391" t="str">
        <f t="shared" si="139"/>
        <v>Offensive</v>
      </c>
      <c r="BD1391" s="23"/>
      <c r="BF1391" s="21"/>
    </row>
    <row r="1392" spans="1:58" x14ac:dyDescent="0.2">
      <c r="A1392">
        <v>704</v>
      </c>
      <c r="B1392">
        <v>115</v>
      </c>
      <c r="J1392">
        <v>22</v>
      </c>
      <c r="Q1392" t="s">
        <v>725</v>
      </c>
      <c r="S1392" t="s">
        <v>689</v>
      </c>
      <c r="T1392">
        <v>1</v>
      </c>
      <c r="U1392" s="8">
        <f t="shared" si="135"/>
        <v>2</v>
      </c>
      <c r="AD1392" t="str">
        <f t="shared" si="134"/>
        <v>o</v>
      </c>
      <c r="AE1392" t="str">
        <f t="shared" si="138"/>
        <v>Zone_Entry_Exit</v>
      </c>
      <c r="AF1392" t="str">
        <f t="shared" si="136"/>
        <v>Zone_ExitFailed</v>
      </c>
      <c r="AG1392" t="str">
        <f t="shared" si="137"/>
        <v>ZoneExit-Rush</v>
      </c>
      <c r="AN1392" t="str">
        <f t="shared" si="139"/>
        <v>Defensive</v>
      </c>
      <c r="BD1392" s="23"/>
      <c r="BF1392" s="21"/>
    </row>
    <row r="1393" spans="1:58" x14ac:dyDescent="0.2">
      <c r="A1393">
        <v>705</v>
      </c>
      <c r="E1393" s="5" t="s">
        <v>865</v>
      </c>
      <c r="F1393" s="5" t="s">
        <v>869</v>
      </c>
      <c r="G1393" s="5" t="s">
        <v>865</v>
      </c>
      <c r="H1393" s="7" t="s">
        <v>446</v>
      </c>
      <c r="I1393" s="5" t="s">
        <v>835</v>
      </c>
      <c r="J1393">
        <v>22</v>
      </c>
      <c r="K1393">
        <v>1</v>
      </c>
      <c r="L1393" s="5" t="s">
        <v>401</v>
      </c>
      <c r="M1393" t="s">
        <v>15</v>
      </c>
      <c r="U1393" s="8">
        <f t="shared" si="135"/>
        <v>2</v>
      </c>
      <c r="AD1393" t="str">
        <f t="shared" si="134"/>
        <v>e</v>
      </c>
      <c r="AE1393" t="str">
        <f t="shared" si="138"/>
        <v>Possession</v>
      </c>
      <c r="AF1393" t="str">
        <f t="shared" si="136"/>
        <v/>
      </c>
      <c r="AG1393" t="str">
        <f t="shared" si="137"/>
        <v/>
      </c>
      <c r="AN1393" t="str">
        <f t="shared" si="139"/>
        <v>Offensive</v>
      </c>
      <c r="BD1393" s="23"/>
      <c r="BF1393" s="21"/>
    </row>
    <row r="1394" spans="1:58" x14ac:dyDescent="0.2">
      <c r="A1394">
        <v>706</v>
      </c>
      <c r="E1394" s="5" t="s">
        <v>865</v>
      </c>
      <c r="F1394" s="5" t="s">
        <v>446</v>
      </c>
      <c r="I1394" t="s">
        <v>835</v>
      </c>
      <c r="J1394">
        <v>22</v>
      </c>
      <c r="K1394">
        <v>1</v>
      </c>
      <c r="L1394" t="s">
        <v>401</v>
      </c>
      <c r="M1394" t="s">
        <v>8</v>
      </c>
      <c r="N1394" t="s">
        <v>189</v>
      </c>
      <c r="O1394" t="s">
        <v>69</v>
      </c>
      <c r="P1394" t="s">
        <v>689</v>
      </c>
      <c r="U1394" s="8">
        <f t="shared" si="135"/>
        <v>2</v>
      </c>
      <c r="AD1394" t="str">
        <f t="shared" si="134"/>
        <v>e</v>
      </c>
      <c r="AE1394" t="str">
        <f t="shared" si="138"/>
        <v>Pass</v>
      </c>
      <c r="AF1394" t="str">
        <f t="shared" si="136"/>
        <v>Pass_Completed</v>
      </c>
      <c r="AG1394" t="str">
        <f t="shared" si="137"/>
        <v>Pass-Backhand</v>
      </c>
      <c r="AN1394" t="str">
        <f t="shared" si="139"/>
        <v>Offensive</v>
      </c>
      <c r="BD1394" s="23"/>
      <c r="BF1394" s="21"/>
    </row>
    <row r="1395" spans="1:58" x14ac:dyDescent="0.2">
      <c r="A1395">
        <v>706</v>
      </c>
      <c r="J1395">
        <v>42</v>
      </c>
      <c r="U1395" s="8">
        <f t="shared" si="135"/>
        <v>2</v>
      </c>
      <c r="AD1395" t="str">
        <f t="shared" si="134"/>
        <v>o</v>
      </c>
      <c r="AE1395" t="str">
        <f t="shared" si="138"/>
        <v>Pass</v>
      </c>
      <c r="AF1395" t="str">
        <f t="shared" si="136"/>
        <v>Pass_Completed</v>
      </c>
      <c r="AG1395" t="str">
        <f t="shared" si="137"/>
        <v>Pass-Backhand</v>
      </c>
      <c r="AN1395" t="str">
        <f t="shared" si="139"/>
        <v>Defensive</v>
      </c>
      <c r="BD1395" s="23"/>
      <c r="BF1395" s="21"/>
    </row>
    <row r="1396" spans="1:58" x14ac:dyDescent="0.2">
      <c r="A1396">
        <v>707</v>
      </c>
      <c r="E1396" s="5" t="s">
        <v>898</v>
      </c>
      <c r="F1396" s="5" t="s">
        <v>837</v>
      </c>
      <c r="G1396" s="5" t="s">
        <v>898</v>
      </c>
      <c r="H1396" s="7" t="s">
        <v>838</v>
      </c>
      <c r="I1396" s="5" t="s">
        <v>835</v>
      </c>
      <c r="J1396">
        <v>42</v>
      </c>
      <c r="K1396">
        <v>1</v>
      </c>
      <c r="L1396" s="5" t="s">
        <v>401</v>
      </c>
      <c r="M1396" t="s">
        <v>15</v>
      </c>
      <c r="T1396">
        <v>1</v>
      </c>
      <c r="U1396" s="8">
        <f t="shared" si="135"/>
        <v>2</v>
      </c>
      <c r="AD1396" t="str">
        <f t="shared" si="134"/>
        <v>e</v>
      </c>
      <c r="AE1396" t="str">
        <f t="shared" si="138"/>
        <v>Possession</v>
      </c>
      <c r="AF1396" t="str">
        <f t="shared" si="136"/>
        <v/>
      </c>
      <c r="AG1396" t="str">
        <f t="shared" si="137"/>
        <v/>
      </c>
      <c r="AN1396" t="str">
        <f t="shared" si="139"/>
        <v>Offensive</v>
      </c>
      <c r="BD1396" s="23"/>
      <c r="BF1396" s="21"/>
    </row>
    <row r="1397" spans="1:58" x14ac:dyDescent="0.2">
      <c r="A1397">
        <v>707</v>
      </c>
      <c r="J1397">
        <v>7</v>
      </c>
      <c r="T1397">
        <v>1</v>
      </c>
      <c r="U1397" s="8">
        <f t="shared" si="135"/>
        <v>2</v>
      </c>
      <c r="AD1397" t="str">
        <f t="shared" si="134"/>
        <v>o</v>
      </c>
      <c r="AE1397" t="str">
        <f t="shared" si="138"/>
        <v>Possession</v>
      </c>
      <c r="AF1397" t="str">
        <f t="shared" si="136"/>
        <v/>
      </c>
      <c r="AG1397" t="str">
        <f t="shared" si="137"/>
        <v/>
      </c>
      <c r="AN1397" t="str">
        <f t="shared" si="139"/>
        <v>Defensive</v>
      </c>
      <c r="BD1397" s="23"/>
      <c r="BF1397" s="21"/>
    </row>
    <row r="1398" spans="1:58" x14ac:dyDescent="0.2">
      <c r="A1398">
        <v>708</v>
      </c>
      <c r="B1398">
        <v>116</v>
      </c>
      <c r="E1398" s="5" t="s">
        <v>898</v>
      </c>
      <c r="F1398" s="5" t="s">
        <v>838</v>
      </c>
      <c r="I1398" t="s">
        <v>835</v>
      </c>
      <c r="J1398">
        <v>42</v>
      </c>
      <c r="K1398">
        <v>1</v>
      </c>
      <c r="L1398" t="s">
        <v>401</v>
      </c>
      <c r="M1398" t="s">
        <v>8</v>
      </c>
      <c r="N1398" t="s">
        <v>209</v>
      </c>
      <c r="O1398" t="s">
        <v>69</v>
      </c>
      <c r="P1398" t="s">
        <v>688</v>
      </c>
      <c r="U1398" s="8">
        <f t="shared" si="135"/>
        <v>2</v>
      </c>
      <c r="AD1398" t="str">
        <f t="shared" si="134"/>
        <v>e</v>
      </c>
      <c r="AE1398" t="str">
        <f t="shared" si="138"/>
        <v>Pass</v>
      </c>
      <c r="AF1398" t="str">
        <f t="shared" si="136"/>
        <v>Pass_Deflected</v>
      </c>
      <c r="AG1398" t="str">
        <f t="shared" si="137"/>
        <v>Pass-Backhand</v>
      </c>
      <c r="AN1398" t="str">
        <f t="shared" si="139"/>
        <v>Offensive</v>
      </c>
      <c r="BD1398" s="23"/>
      <c r="BF1398" s="21"/>
    </row>
    <row r="1399" spans="1:58" x14ac:dyDescent="0.2">
      <c r="A1399">
        <v>708</v>
      </c>
      <c r="B1399">
        <v>116</v>
      </c>
      <c r="J1399">
        <v>24</v>
      </c>
      <c r="K1399">
        <v>1</v>
      </c>
      <c r="T1399">
        <v>1</v>
      </c>
      <c r="U1399" s="8">
        <f t="shared" si="135"/>
        <v>2</v>
      </c>
      <c r="AD1399" t="str">
        <f t="shared" si="134"/>
        <v>e</v>
      </c>
      <c r="AE1399" t="str">
        <f t="shared" si="138"/>
        <v>Pass</v>
      </c>
      <c r="AF1399" t="str">
        <f t="shared" si="136"/>
        <v>Pass_Deflected</v>
      </c>
      <c r="AG1399" t="str">
        <f t="shared" si="137"/>
        <v>Pass-Backhand</v>
      </c>
      <c r="AN1399" t="str">
        <f t="shared" si="139"/>
        <v>Offensive</v>
      </c>
      <c r="BD1399" s="23"/>
      <c r="BF1399" s="21"/>
    </row>
    <row r="1400" spans="1:58" x14ac:dyDescent="0.2">
      <c r="A1400">
        <v>708</v>
      </c>
      <c r="B1400">
        <v>116</v>
      </c>
      <c r="J1400">
        <v>26</v>
      </c>
      <c r="Q1400" t="s">
        <v>833</v>
      </c>
      <c r="R1400" t="s">
        <v>696</v>
      </c>
      <c r="S1400" t="s">
        <v>689</v>
      </c>
      <c r="T1400">
        <v>1</v>
      </c>
      <c r="U1400" s="8">
        <f t="shared" si="135"/>
        <v>2</v>
      </c>
      <c r="AD1400" t="str">
        <f t="shared" si="134"/>
        <v>o</v>
      </c>
      <c r="AE1400" t="str">
        <f t="shared" si="138"/>
        <v>Pass</v>
      </c>
      <c r="AF1400" t="str">
        <f t="shared" si="136"/>
        <v>Pass_Deflected</v>
      </c>
      <c r="AG1400" t="str">
        <f t="shared" si="137"/>
        <v>Pass-Backhand</v>
      </c>
      <c r="AN1400" t="str">
        <f t="shared" si="139"/>
        <v>Defensive</v>
      </c>
      <c r="BD1400" s="23"/>
      <c r="BF1400" s="21"/>
    </row>
    <row r="1401" spans="1:58" x14ac:dyDescent="0.2">
      <c r="A1401">
        <v>709</v>
      </c>
      <c r="B1401">
        <v>116</v>
      </c>
      <c r="E1401" s="5" t="s">
        <v>898</v>
      </c>
      <c r="F1401" s="5" t="s">
        <v>838</v>
      </c>
      <c r="I1401" t="s">
        <v>835</v>
      </c>
      <c r="J1401">
        <v>42</v>
      </c>
      <c r="K1401">
        <v>1</v>
      </c>
      <c r="L1401" t="s">
        <v>401</v>
      </c>
      <c r="M1401" t="s">
        <v>10</v>
      </c>
      <c r="N1401" t="s">
        <v>190</v>
      </c>
      <c r="O1401" t="s">
        <v>77</v>
      </c>
      <c r="P1401" t="s">
        <v>688</v>
      </c>
      <c r="U1401" s="8">
        <f t="shared" si="135"/>
        <v>2</v>
      </c>
      <c r="AD1401" t="str">
        <f t="shared" si="134"/>
        <v>e</v>
      </c>
      <c r="AE1401" t="str">
        <f t="shared" si="138"/>
        <v>Turnover</v>
      </c>
      <c r="AF1401" t="str">
        <f t="shared" si="136"/>
        <v>Turnover_Giveaway</v>
      </c>
      <c r="AG1401" t="str">
        <f t="shared" si="137"/>
        <v>Giveaway-PassBlocked</v>
      </c>
      <c r="AN1401" t="str">
        <f t="shared" si="139"/>
        <v>Offensive</v>
      </c>
      <c r="BD1401" s="23"/>
      <c r="BF1401" s="21"/>
    </row>
    <row r="1402" spans="1:58" x14ac:dyDescent="0.2">
      <c r="A1402">
        <v>709</v>
      </c>
      <c r="B1402">
        <v>116</v>
      </c>
      <c r="J1402">
        <v>24</v>
      </c>
      <c r="K1402">
        <v>1</v>
      </c>
      <c r="T1402">
        <v>1</v>
      </c>
      <c r="U1402" s="8">
        <f t="shared" si="135"/>
        <v>2</v>
      </c>
      <c r="AD1402" t="str">
        <f t="shared" si="134"/>
        <v>e</v>
      </c>
      <c r="AE1402" t="str">
        <f t="shared" si="138"/>
        <v>Turnover</v>
      </c>
      <c r="AF1402" t="str">
        <f t="shared" si="136"/>
        <v>Turnover_Giveaway</v>
      </c>
      <c r="AG1402" t="str">
        <f t="shared" si="137"/>
        <v>Giveaway-PassBlocked</v>
      </c>
      <c r="AN1402" t="str">
        <f t="shared" si="139"/>
        <v>Offensive</v>
      </c>
      <c r="BD1402" s="23"/>
      <c r="BF1402" s="21"/>
    </row>
    <row r="1403" spans="1:58" x14ac:dyDescent="0.2">
      <c r="A1403">
        <v>709</v>
      </c>
      <c r="B1403">
        <v>116</v>
      </c>
      <c r="J1403">
        <v>26</v>
      </c>
      <c r="Q1403" t="s">
        <v>833</v>
      </c>
      <c r="R1403" t="s">
        <v>696</v>
      </c>
      <c r="S1403" t="s">
        <v>689</v>
      </c>
      <c r="T1403">
        <v>1</v>
      </c>
      <c r="U1403" s="8">
        <f t="shared" si="135"/>
        <v>2</v>
      </c>
      <c r="AD1403" t="str">
        <f t="shared" si="134"/>
        <v>o</v>
      </c>
      <c r="AE1403" t="str">
        <f t="shared" si="138"/>
        <v>Turnover</v>
      </c>
      <c r="AF1403" t="str">
        <f t="shared" si="136"/>
        <v>Turnover_Giveaway</v>
      </c>
      <c r="AG1403" t="str">
        <f t="shared" si="137"/>
        <v>Giveaway-PassBlocked</v>
      </c>
      <c r="AN1403" t="str">
        <f t="shared" si="139"/>
        <v>Defensive</v>
      </c>
      <c r="BD1403" s="23"/>
      <c r="BF1403" s="21"/>
    </row>
    <row r="1404" spans="1:58" x14ac:dyDescent="0.2">
      <c r="A1404">
        <v>710</v>
      </c>
      <c r="E1404" s="5" t="s">
        <v>898</v>
      </c>
      <c r="F1404" s="5" t="s">
        <v>895</v>
      </c>
      <c r="G1404" s="5" t="s">
        <v>898</v>
      </c>
      <c r="H1404" s="7" t="s">
        <v>885</v>
      </c>
      <c r="I1404" s="5" t="s">
        <v>840</v>
      </c>
      <c r="J1404">
        <v>17</v>
      </c>
      <c r="K1404">
        <v>1</v>
      </c>
      <c r="L1404" s="5" t="s">
        <v>845</v>
      </c>
      <c r="M1404" t="s">
        <v>15</v>
      </c>
      <c r="N1404" t="s">
        <v>680</v>
      </c>
      <c r="P1404" t="s">
        <v>689</v>
      </c>
      <c r="Q1404" t="s">
        <v>701</v>
      </c>
      <c r="S1404" t="s">
        <v>689</v>
      </c>
      <c r="U1404" s="8">
        <f t="shared" si="135"/>
        <v>2</v>
      </c>
      <c r="AD1404" t="str">
        <f t="shared" si="134"/>
        <v>e</v>
      </c>
      <c r="AE1404" t="str">
        <f t="shared" si="138"/>
        <v>Possession</v>
      </c>
      <c r="AF1404" t="str">
        <f t="shared" si="136"/>
        <v>PuckRetrieval</v>
      </c>
      <c r="AG1404" t="str">
        <f t="shared" si="137"/>
        <v/>
      </c>
      <c r="AN1404" t="str">
        <f t="shared" si="139"/>
        <v>Offensive</v>
      </c>
      <c r="BD1404" s="23"/>
      <c r="BF1404" s="21"/>
    </row>
    <row r="1405" spans="1:58" x14ac:dyDescent="0.2">
      <c r="A1405">
        <v>711</v>
      </c>
      <c r="B1405">
        <v>117</v>
      </c>
      <c r="E1405" s="5" t="s">
        <v>898</v>
      </c>
      <c r="F1405" s="5" t="s">
        <v>885</v>
      </c>
      <c r="I1405" t="s">
        <v>840</v>
      </c>
      <c r="J1405">
        <v>17</v>
      </c>
      <c r="K1405">
        <v>1</v>
      </c>
      <c r="L1405" t="s">
        <v>845</v>
      </c>
      <c r="M1405" t="s">
        <v>8</v>
      </c>
      <c r="N1405" t="s">
        <v>189</v>
      </c>
      <c r="O1405" t="s">
        <v>70</v>
      </c>
      <c r="P1405" t="s">
        <v>689</v>
      </c>
      <c r="Q1405" t="s">
        <v>662</v>
      </c>
      <c r="S1405" t="s">
        <v>689</v>
      </c>
      <c r="U1405" s="8">
        <f t="shared" si="135"/>
        <v>2</v>
      </c>
      <c r="AD1405" t="str">
        <f t="shared" si="134"/>
        <v>e</v>
      </c>
      <c r="AE1405" t="str">
        <f t="shared" si="138"/>
        <v>Pass</v>
      </c>
      <c r="AF1405" t="str">
        <f t="shared" si="136"/>
        <v>Pass_Completed</v>
      </c>
      <c r="AG1405" t="str">
        <f t="shared" si="137"/>
        <v>Pass-Forehand</v>
      </c>
      <c r="AN1405" t="str">
        <f t="shared" si="139"/>
        <v>Offensive</v>
      </c>
      <c r="BD1405" s="23"/>
      <c r="BF1405" s="21"/>
    </row>
    <row r="1406" spans="1:58" x14ac:dyDescent="0.2">
      <c r="A1406">
        <v>711</v>
      </c>
      <c r="B1406">
        <v>117</v>
      </c>
      <c r="J1406">
        <v>8</v>
      </c>
      <c r="K1406">
        <v>1</v>
      </c>
      <c r="U1406" s="8">
        <f t="shared" si="135"/>
        <v>2</v>
      </c>
      <c r="AD1406" t="str">
        <f t="shared" si="134"/>
        <v>e</v>
      </c>
      <c r="AE1406" t="str">
        <f t="shared" si="138"/>
        <v>Pass</v>
      </c>
      <c r="AF1406" t="str">
        <f t="shared" si="136"/>
        <v>Pass_Completed</v>
      </c>
      <c r="AG1406" t="str">
        <f t="shared" si="137"/>
        <v>Pass-Forehand</v>
      </c>
      <c r="AN1406" t="str">
        <f t="shared" si="139"/>
        <v>Offensive</v>
      </c>
      <c r="BD1406" s="23"/>
      <c r="BF1406" s="21"/>
    </row>
    <row r="1407" spans="1:58" x14ac:dyDescent="0.2">
      <c r="A1407">
        <v>712</v>
      </c>
      <c r="B1407">
        <v>117</v>
      </c>
      <c r="E1407" s="5" t="s">
        <v>898</v>
      </c>
      <c r="F1407" s="5" t="s">
        <v>885</v>
      </c>
      <c r="I1407" t="s">
        <v>840</v>
      </c>
      <c r="J1407">
        <v>17</v>
      </c>
      <c r="K1407">
        <v>1</v>
      </c>
      <c r="L1407" t="s">
        <v>845</v>
      </c>
      <c r="M1407" t="s">
        <v>257</v>
      </c>
      <c r="N1407" t="s">
        <v>201</v>
      </c>
      <c r="O1407" t="s">
        <v>91</v>
      </c>
      <c r="P1407" t="s">
        <v>689</v>
      </c>
      <c r="Q1407" t="s">
        <v>662</v>
      </c>
      <c r="S1407" t="s">
        <v>689</v>
      </c>
      <c r="U1407" s="8">
        <f t="shared" si="135"/>
        <v>2</v>
      </c>
      <c r="AD1407" t="str">
        <f t="shared" si="134"/>
        <v>e</v>
      </c>
      <c r="AE1407" t="str">
        <f t="shared" si="138"/>
        <v>Zone_Entry_Exit</v>
      </c>
      <c r="AF1407" t="str">
        <f t="shared" si="136"/>
        <v>Zone_Exit</v>
      </c>
      <c r="AG1407" t="str">
        <f t="shared" si="137"/>
        <v>ZoneExit-Pass</v>
      </c>
      <c r="AN1407" t="str">
        <f t="shared" si="139"/>
        <v>Offensive</v>
      </c>
      <c r="BD1407" s="23"/>
      <c r="BF1407" s="21"/>
    </row>
    <row r="1408" spans="1:58" x14ac:dyDescent="0.2">
      <c r="A1408">
        <v>712</v>
      </c>
      <c r="B1408">
        <v>117</v>
      </c>
      <c r="J1408">
        <v>8</v>
      </c>
      <c r="K1408">
        <v>1</v>
      </c>
      <c r="U1408" s="8">
        <f t="shared" si="135"/>
        <v>2</v>
      </c>
      <c r="AD1408" t="str">
        <f t="shared" si="134"/>
        <v>e</v>
      </c>
      <c r="AE1408" t="str">
        <f t="shared" si="138"/>
        <v>Zone_Entry_Exit</v>
      </c>
      <c r="AF1408" t="str">
        <f t="shared" si="136"/>
        <v>Zone_Exit</v>
      </c>
      <c r="AG1408" t="str">
        <f t="shared" si="137"/>
        <v>ZoneExit-Pass</v>
      </c>
      <c r="AN1408" t="str">
        <f t="shared" si="139"/>
        <v>Offensive</v>
      </c>
      <c r="BD1408" s="23"/>
      <c r="BF1408" s="21"/>
    </row>
    <row r="1409" spans="1:58" x14ac:dyDescent="0.2">
      <c r="A1409">
        <v>713</v>
      </c>
      <c r="E1409" s="5" t="s">
        <v>898</v>
      </c>
      <c r="F1409" s="5" t="s">
        <v>874</v>
      </c>
      <c r="G1409" s="5" t="s">
        <v>898</v>
      </c>
      <c r="H1409" s="7" t="s">
        <v>842</v>
      </c>
      <c r="I1409" s="5" t="s">
        <v>840</v>
      </c>
      <c r="J1409">
        <v>8</v>
      </c>
      <c r="K1409">
        <v>1</v>
      </c>
      <c r="L1409" s="5" t="s">
        <v>839</v>
      </c>
      <c r="M1409" t="s">
        <v>15</v>
      </c>
      <c r="U1409" s="8">
        <f t="shared" si="135"/>
        <v>2</v>
      </c>
      <c r="AD1409" t="str">
        <f t="shared" si="134"/>
        <v>e</v>
      </c>
      <c r="AE1409" t="str">
        <f t="shared" si="138"/>
        <v>Possession</v>
      </c>
      <c r="AF1409" t="str">
        <f t="shared" si="136"/>
        <v/>
      </c>
      <c r="AG1409" t="str">
        <f t="shared" si="137"/>
        <v/>
      </c>
      <c r="AN1409" t="str">
        <f t="shared" si="139"/>
        <v>Offensive</v>
      </c>
      <c r="BD1409" s="23"/>
      <c r="BF1409" s="21"/>
    </row>
    <row r="1410" spans="1:58" x14ac:dyDescent="0.2">
      <c r="A1410">
        <v>714</v>
      </c>
      <c r="E1410" s="5" t="s">
        <v>898</v>
      </c>
      <c r="F1410" s="5" t="s">
        <v>842</v>
      </c>
      <c r="G1410" s="5" t="s">
        <v>898</v>
      </c>
      <c r="H1410" s="7" t="s">
        <v>876</v>
      </c>
      <c r="I1410" t="s">
        <v>840</v>
      </c>
      <c r="J1410">
        <v>8</v>
      </c>
      <c r="K1410">
        <v>1</v>
      </c>
      <c r="L1410" t="s">
        <v>401</v>
      </c>
      <c r="M1410" t="s">
        <v>257</v>
      </c>
      <c r="N1410" t="s">
        <v>191</v>
      </c>
      <c r="O1410" t="s">
        <v>87</v>
      </c>
      <c r="P1410" t="s">
        <v>688</v>
      </c>
      <c r="Q1410" t="s">
        <v>702</v>
      </c>
      <c r="T1410">
        <v>1</v>
      </c>
      <c r="U1410" s="8">
        <f t="shared" si="135"/>
        <v>2</v>
      </c>
      <c r="AD1410" t="str">
        <f t="shared" ref="AD1410:AD1473" si="140">IF(K1410="x","",IF(K1410=1,"e","o"))</f>
        <v>e</v>
      </c>
      <c r="AE1410" t="str">
        <f t="shared" si="138"/>
        <v>Zone_Entry_Exit</v>
      </c>
      <c r="AF1410" t="str">
        <f t="shared" si="136"/>
        <v>Zone_Entry</v>
      </c>
      <c r="AG1410" t="str">
        <f t="shared" si="137"/>
        <v>ZoneEntry-Rush</v>
      </c>
      <c r="AN1410" t="str">
        <f t="shared" si="139"/>
        <v>Offensive</v>
      </c>
      <c r="BD1410" s="23"/>
      <c r="BF1410" s="21"/>
    </row>
    <row r="1411" spans="1:58" x14ac:dyDescent="0.2">
      <c r="A1411">
        <v>714</v>
      </c>
      <c r="J1411">
        <v>9</v>
      </c>
      <c r="Q1411" t="s">
        <v>703</v>
      </c>
      <c r="R1411" t="s">
        <v>696</v>
      </c>
      <c r="T1411">
        <v>1</v>
      </c>
      <c r="U1411" s="8">
        <f t="shared" ref="U1411:U1474" si="141">IF(M1411="Intermission",U1410+1,U1410)</f>
        <v>2</v>
      </c>
      <c r="AD1411" t="str">
        <f t="shared" si="140"/>
        <v>o</v>
      </c>
      <c r="AE1411" t="str">
        <f t="shared" si="138"/>
        <v>Zone_Entry_Exit</v>
      </c>
      <c r="AF1411" t="str">
        <f t="shared" ref="AF1411:AF1474" si="142">IF(N1411&lt;&gt;"",N1411,IF($A1411=$A1410,AF1410,""))</f>
        <v>Zone_Entry</v>
      </c>
      <c r="AG1411" t="str">
        <f t="shared" ref="AG1411:AG1474" si="143">IF(O1411&lt;&gt;"",O1411,IF($A1411=$A1410,AG1410,""))</f>
        <v>ZoneEntry-Rush</v>
      </c>
      <c r="AN1411" t="str">
        <f t="shared" si="139"/>
        <v>Defensive</v>
      </c>
      <c r="BD1411" s="23"/>
      <c r="BF1411" s="21"/>
    </row>
    <row r="1412" spans="1:58" x14ac:dyDescent="0.2">
      <c r="A1412">
        <v>714</v>
      </c>
      <c r="J1412">
        <v>22</v>
      </c>
      <c r="U1412" s="8">
        <f t="shared" si="141"/>
        <v>2</v>
      </c>
      <c r="AD1412" t="str">
        <f t="shared" si="140"/>
        <v>o</v>
      </c>
      <c r="AE1412" t="str">
        <f t="shared" ref="AE1412:AE1475" si="144">IF(M1412&lt;&gt;"",M1412,IF($A1412=$A1411,AE1411,""))</f>
        <v>Zone_Entry_Exit</v>
      </c>
      <c r="AF1412" t="str">
        <f t="shared" si="142"/>
        <v>Zone_Entry</v>
      </c>
      <c r="AG1412" t="str">
        <f t="shared" si="143"/>
        <v>ZoneEntry-Rush</v>
      </c>
      <c r="AN1412" t="str">
        <f t="shared" si="139"/>
        <v>Defensive</v>
      </c>
      <c r="BD1412" s="23"/>
      <c r="BF1412" s="21"/>
    </row>
    <row r="1413" spans="1:58" x14ac:dyDescent="0.2">
      <c r="A1413">
        <v>715</v>
      </c>
      <c r="E1413" s="5" t="s">
        <v>898</v>
      </c>
      <c r="F1413" s="5" t="s">
        <v>876</v>
      </c>
      <c r="I1413" t="s">
        <v>835</v>
      </c>
      <c r="J1413">
        <v>9</v>
      </c>
      <c r="K1413">
        <v>1</v>
      </c>
      <c r="L1413" t="s">
        <v>845</v>
      </c>
      <c r="M1413" t="s">
        <v>10</v>
      </c>
      <c r="N1413" t="s">
        <v>200</v>
      </c>
      <c r="O1413" t="s">
        <v>82</v>
      </c>
      <c r="P1413" t="s">
        <v>689</v>
      </c>
      <c r="Q1413" t="s">
        <v>695</v>
      </c>
      <c r="S1413" t="s">
        <v>689</v>
      </c>
      <c r="T1413">
        <v>1</v>
      </c>
      <c r="U1413" s="8">
        <f t="shared" si="141"/>
        <v>2</v>
      </c>
      <c r="AD1413" t="str">
        <f t="shared" si="140"/>
        <v>e</v>
      </c>
      <c r="AE1413" t="str">
        <f t="shared" si="144"/>
        <v>Turnover</v>
      </c>
      <c r="AF1413" t="str">
        <f t="shared" si="142"/>
        <v>Turnover_Takeaway</v>
      </c>
      <c r="AG1413" t="str">
        <f t="shared" si="143"/>
        <v>Takeaway-PokeCheck</v>
      </c>
      <c r="AN1413" t="str">
        <f t="shared" si="139"/>
        <v>Defensive</v>
      </c>
      <c r="BD1413" s="23"/>
      <c r="BF1413" s="21"/>
    </row>
    <row r="1414" spans="1:58" x14ac:dyDescent="0.2">
      <c r="A1414">
        <v>715</v>
      </c>
      <c r="J1414">
        <v>8</v>
      </c>
      <c r="T1414">
        <v>1</v>
      </c>
      <c r="U1414" s="8">
        <f t="shared" si="141"/>
        <v>2</v>
      </c>
      <c r="AD1414" t="str">
        <f t="shared" si="140"/>
        <v>o</v>
      </c>
      <c r="AE1414" t="str">
        <f t="shared" si="144"/>
        <v>Turnover</v>
      </c>
      <c r="AF1414" t="str">
        <f t="shared" si="142"/>
        <v>Turnover_Takeaway</v>
      </c>
      <c r="AG1414" t="str">
        <f t="shared" si="143"/>
        <v>Takeaway-PokeCheck</v>
      </c>
      <c r="AN1414" t="str">
        <f t="shared" si="139"/>
        <v>Offensive</v>
      </c>
      <c r="BD1414" s="23"/>
      <c r="BF1414" s="21"/>
    </row>
    <row r="1415" spans="1:58" x14ac:dyDescent="0.2">
      <c r="A1415">
        <v>716</v>
      </c>
      <c r="E1415" s="5" t="s">
        <v>898</v>
      </c>
      <c r="F1415" s="5" t="s">
        <v>846</v>
      </c>
      <c r="I1415" t="s">
        <v>835</v>
      </c>
      <c r="J1415">
        <v>9</v>
      </c>
      <c r="K1415">
        <v>1</v>
      </c>
      <c r="L1415" t="s">
        <v>845</v>
      </c>
      <c r="M1415" t="s">
        <v>8</v>
      </c>
      <c r="N1415" t="s">
        <v>189</v>
      </c>
      <c r="O1415" t="s">
        <v>71</v>
      </c>
      <c r="P1415" t="s">
        <v>689</v>
      </c>
      <c r="Q1415" t="s">
        <v>749</v>
      </c>
      <c r="S1415" t="s">
        <v>689</v>
      </c>
      <c r="T1415">
        <v>1</v>
      </c>
      <c r="U1415" s="8">
        <f t="shared" si="141"/>
        <v>2</v>
      </c>
      <c r="AD1415" t="str">
        <f t="shared" si="140"/>
        <v>e</v>
      </c>
      <c r="AE1415" t="str">
        <f t="shared" si="144"/>
        <v>Pass</v>
      </c>
      <c r="AF1415" t="str">
        <f t="shared" si="142"/>
        <v>Pass_Completed</v>
      </c>
      <c r="AG1415" t="str">
        <f t="shared" si="143"/>
        <v>Pass-Bank</v>
      </c>
      <c r="AN1415" t="str">
        <f t="shared" si="139"/>
        <v>Offensive</v>
      </c>
      <c r="BD1415" s="23"/>
      <c r="BF1415" s="21"/>
    </row>
    <row r="1416" spans="1:58" x14ac:dyDescent="0.2">
      <c r="A1416">
        <v>716</v>
      </c>
      <c r="J1416">
        <v>42</v>
      </c>
      <c r="K1416">
        <v>1</v>
      </c>
      <c r="U1416" s="8">
        <f t="shared" si="141"/>
        <v>2</v>
      </c>
      <c r="AD1416" t="str">
        <f t="shared" si="140"/>
        <v>e</v>
      </c>
      <c r="AE1416" t="str">
        <f t="shared" si="144"/>
        <v>Pass</v>
      </c>
      <c r="AF1416" t="str">
        <f t="shared" si="142"/>
        <v>Pass_Completed</v>
      </c>
      <c r="AG1416" t="str">
        <f t="shared" si="143"/>
        <v>Pass-Bank</v>
      </c>
      <c r="AN1416" t="str">
        <f t="shared" si="139"/>
        <v>Offensive</v>
      </c>
      <c r="BD1416" s="23"/>
      <c r="BF1416" s="21"/>
    </row>
    <row r="1417" spans="1:58" x14ac:dyDescent="0.2">
      <c r="A1417">
        <v>716</v>
      </c>
      <c r="J1417">
        <v>8</v>
      </c>
      <c r="T1417">
        <v>1</v>
      </c>
      <c r="U1417" s="8">
        <f t="shared" si="141"/>
        <v>2</v>
      </c>
      <c r="AD1417" t="str">
        <f t="shared" si="140"/>
        <v>o</v>
      </c>
      <c r="AE1417" t="str">
        <f t="shared" si="144"/>
        <v>Pass</v>
      </c>
      <c r="AF1417" t="str">
        <f t="shared" si="142"/>
        <v>Pass_Completed</v>
      </c>
      <c r="AG1417" t="str">
        <f t="shared" si="143"/>
        <v>Pass-Bank</v>
      </c>
      <c r="AN1417" t="str">
        <f t="shared" ref="AN1417:AN1480" si="145">IF(AND(AD1417="e",OR(AE1417="Save",AF1417="Turnover_Takeaway",AF1417="Play_Defensive")),"Defensive",IF(AND(AD1417="o",OR(AE1417="Save",AF1417="Turnover_Takeaway",AF1417="Play_Defensive")),"Offensive",IF(OR(AE1417="Deadice",AE1417="Stoppage",AE1417="Intermission"),"",IF(AD1417="e","Offensive",IF(AD1417="o","Defensive","")))))</f>
        <v>Defensive</v>
      </c>
      <c r="BD1417" s="23"/>
      <c r="BF1417" s="21"/>
    </row>
    <row r="1418" spans="1:58" x14ac:dyDescent="0.2">
      <c r="A1418">
        <v>717</v>
      </c>
      <c r="E1418" s="5" t="s">
        <v>898</v>
      </c>
      <c r="F1418" s="5" t="s">
        <v>844</v>
      </c>
      <c r="G1418" s="5" t="s">
        <v>898</v>
      </c>
      <c r="H1418" s="7" t="s">
        <v>847</v>
      </c>
      <c r="I1418" s="5" t="s">
        <v>835</v>
      </c>
      <c r="J1418">
        <v>42</v>
      </c>
      <c r="K1418">
        <v>1</v>
      </c>
      <c r="L1418" s="5" t="s">
        <v>845</v>
      </c>
      <c r="M1418" t="s">
        <v>15</v>
      </c>
      <c r="Q1418" t="s">
        <v>721</v>
      </c>
      <c r="R1418" t="s">
        <v>661</v>
      </c>
      <c r="S1418" t="s">
        <v>689</v>
      </c>
      <c r="T1418">
        <v>1</v>
      </c>
      <c r="U1418" s="8">
        <f t="shared" si="141"/>
        <v>2</v>
      </c>
      <c r="AD1418" t="str">
        <f t="shared" si="140"/>
        <v>e</v>
      </c>
      <c r="AE1418" t="str">
        <f t="shared" si="144"/>
        <v>Possession</v>
      </c>
      <c r="AF1418" t="str">
        <f t="shared" si="142"/>
        <v/>
      </c>
      <c r="AG1418" t="str">
        <f t="shared" si="143"/>
        <v/>
      </c>
      <c r="AN1418" t="str">
        <f t="shared" si="145"/>
        <v>Offensive</v>
      </c>
      <c r="BD1418" s="23"/>
      <c r="BF1418" s="21"/>
    </row>
    <row r="1419" spans="1:58" x14ac:dyDescent="0.2">
      <c r="A1419">
        <v>717</v>
      </c>
      <c r="J1419">
        <v>18</v>
      </c>
      <c r="Q1419" t="s">
        <v>719</v>
      </c>
      <c r="T1419">
        <v>1</v>
      </c>
      <c r="U1419" s="8">
        <f t="shared" si="141"/>
        <v>2</v>
      </c>
      <c r="AD1419" t="str">
        <f t="shared" si="140"/>
        <v>o</v>
      </c>
      <c r="AE1419" t="str">
        <f t="shared" si="144"/>
        <v>Possession</v>
      </c>
      <c r="AF1419" t="str">
        <f t="shared" si="142"/>
        <v/>
      </c>
      <c r="AG1419" t="str">
        <f t="shared" si="143"/>
        <v/>
      </c>
      <c r="AN1419" t="str">
        <f t="shared" si="145"/>
        <v>Defensive</v>
      </c>
      <c r="BD1419" s="23"/>
      <c r="BF1419" s="21"/>
    </row>
    <row r="1420" spans="1:58" x14ac:dyDescent="0.2">
      <c r="A1420">
        <v>718</v>
      </c>
      <c r="B1420">
        <v>118</v>
      </c>
      <c r="E1420" s="5" t="s">
        <v>898</v>
      </c>
      <c r="F1420" s="5" t="s">
        <v>847</v>
      </c>
      <c r="I1420" t="s">
        <v>835</v>
      </c>
      <c r="J1420">
        <v>42</v>
      </c>
      <c r="K1420">
        <v>1</v>
      </c>
      <c r="L1420" t="s">
        <v>845</v>
      </c>
      <c r="M1420" t="s">
        <v>8</v>
      </c>
      <c r="N1420" t="s">
        <v>189</v>
      </c>
      <c r="O1420" t="s">
        <v>70</v>
      </c>
      <c r="P1420" t="s">
        <v>689</v>
      </c>
      <c r="Q1420" t="s">
        <v>662</v>
      </c>
      <c r="S1420" t="s">
        <v>689</v>
      </c>
      <c r="T1420">
        <v>1</v>
      </c>
      <c r="U1420" s="8">
        <f t="shared" si="141"/>
        <v>2</v>
      </c>
      <c r="AD1420" t="str">
        <f t="shared" si="140"/>
        <v>e</v>
      </c>
      <c r="AE1420" t="str">
        <f t="shared" si="144"/>
        <v>Pass</v>
      </c>
      <c r="AF1420" t="str">
        <f t="shared" si="142"/>
        <v>Pass_Completed</v>
      </c>
      <c r="AG1420" t="str">
        <f t="shared" si="143"/>
        <v>Pass-Forehand</v>
      </c>
      <c r="AN1420" t="str">
        <f t="shared" si="145"/>
        <v>Offensive</v>
      </c>
      <c r="BD1420" s="23"/>
      <c r="BF1420" s="21"/>
    </row>
    <row r="1421" spans="1:58" x14ac:dyDescent="0.2">
      <c r="A1421">
        <v>718</v>
      </c>
      <c r="B1421">
        <v>118</v>
      </c>
      <c r="J1421">
        <v>24</v>
      </c>
      <c r="K1421">
        <v>1</v>
      </c>
      <c r="U1421" s="8">
        <f t="shared" si="141"/>
        <v>2</v>
      </c>
      <c r="AD1421" t="str">
        <f t="shared" si="140"/>
        <v>e</v>
      </c>
      <c r="AE1421" t="str">
        <f t="shared" si="144"/>
        <v>Pass</v>
      </c>
      <c r="AF1421" t="str">
        <f t="shared" si="142"/>
        <v>Pass_Completed</v>
      </c>
      <c r="AG1421" t="str">
        <f t="shared" si="143"/>
        <v>Pass-Forehand</v>
      </c>
      <c r="AN1421" t="str">
        <f t="shared" si="145"/>
        <v>Offensive</v>
      </c>
      <c r="BD1421" s="23"/>
      <c r="BF1421" s="21"/>
    </row>
    <row r="1422" spans="1:58" x14ac:dyDescent="0.2">
      <c r="A1422">
        <v>718</v>
      </c>
      <c r="B1422">
        <v>118</v>
      </c>
      <c r="J1422">
        <v>26</v>
      </c>
      <c r="T1422">
        <v>1</v>
      </c>
      <c r="U1422" s="8">
        <f t="shared" si="141"/>
        <v>2</v>
      </c>
      <c r="AD1422" t="str">
        <f t="shared" si="140"/>
        <v>o</v>
      </c>
      <c r="AE1422" t="str">
        <f t="shared" si="144"/>
        <v>Pass</v>
      </c>
      <c r="AF1422" t="str">
        <f t="shared" si="142"/>
        <v>Pass_Completed</v>
      </c>
      <c r="AG1422" t="str">
        <f t="shared" si="143"/>
        <v>Pass-Forehand</v>
      </c>
      <c r="AN1422" t="str">
        <f t="shared" si="145"/>
        <v>Defensive</v>
      </c>
      <c r="BD1422" s="23"/>
      <c r="BF1422" s="21"/>
    </row>
    <row r="1423" spans="1:58" x14ac:dyDescent="0.2">
      <c r="A1423">
        <v>719</v>
      </c>
      <c r="B1423">
        <v>118</v>
      </c>
      <c r="E1423" s="5" t="s">
        <v>898</v>
      </c>
      <c r="F1423" s="5" t="s">
        <v>847</v>
      </c>
      <c r="I1423" t="s">
        <v>835</v>
      </c>
      <c r="J1423">
        <v>42</v>
      </c>
      <c r="K1423">
        <v>1</v>
      </c>
      <c r="L1423" t="s">
        <v>845</v>
      </c>
      <c r="M1423" t="s">
        <v>257</v>
      </c>
      <c r="N1423" t="s">
        <v>201</v>
      </c>
      <c r="O1423" t="s">
        <v>91</v>
      </c>
      <c r="P1423" t="s">
        <v>689</v>
      </c>
      <c r="Q1423" t="s">
        <v>662</v>
      </c>
      <c r="S1423" t="s">
        <v>689</v>
      </c>
      <c r="T1423">
        <v>1</v>
      </c>
      <c r="U1423" s="8">
        <f t="shared" si="141"/>
        <v>2</v>
      </c>
      <c r="AD1423" t="str">
        <f t="shared" si="140"/>
        <v>e</v>
      </c>
      <c r="AE1423" t="str">
        <f t="shared" si="144"/>
        <v>Zone_Entry_Exit</v>
      </c>
      <c r="AF1423" t="str">
        <f t="shared" si="142"/>
        <v>Zone_Exit</v>
      </c>
      <c r="AG1423" t="str">
        <f t="shared" si="143"/>
        <v>ZoneExit-Pass</v>
      </c>
      <c r="AN1423" t="str">
        <f t="shared" si="145"/>
        <v>Offensive</v>
      </c>
      <c r="BD1423" s="23"/>
      <c r="BF1423" s="21"/>
    </row>
    <row r="1424" spans="1:58" x14ac:dyDescent="0.2">
      <c r="A1424">
        <v>719</v>
      </c>
      <c r="B1424">
        <v>118</v>
      </c>
      <c r="J1424">
        <v>24</v>
      </c>
      <c r="K1424">
        <v>1</v>
      </c>
      <c r="U1424" s="8">
        <f t="shared" si="141"/>
        <v>2</v>
      </c>
      <c r="AD1424" t="str">
        <f t="shared" si="140"/>
        <v>e</v>
      </c>
      <c r="AE1424" t="str">
        <f t="shared" si="144"/>
        <v>Zone_Entry_Exit</v>
      </c>
      <c r="AF1424" t="str">
        <f t="shared" si="142"/>
        <v>Zone_Exit</v>
      </c>
      <c r="AG1424" t="str">
        <f t="shared" si="143"/>
        <v>ZoneExit-Pass</v>
      </c>
      <c r="AN1424" t="str">
        <f t="shared" si="145"/>
        <v>Offensive</v>
      </c>
      <c r="BD1424" s="23"/>
      <c r="BF1424" s="21"/>
    </row>
    <row r="1425" spans="1:58" x14ac:dyDescent="0.2">
      <c r="A1425">
        <v>719</v>
      </c>
      <c r="B1425">
        <v>118</v>
      </c>
      <c r="J1425">
        <v>26</v>
      </c>
      <c r="T1425">
        <v>1</v>
      </c>
      <c r="U1425" s="8">
        <f t="shared" si="141"/>
        <v>2</v>
      </c>
      <c r="AD1425" t="str">
        <f t="shared" si="140"/>
        <v>o</v>
      </c>
      <c r="AE1425" t="str">
        <f t="shared" si="144"/>
        <v>Zone_Entry_Exit</v>
      </c>
      <c r="AF1425" t="str">
        <f t="shared" si="142"/>
        <v>Zone_Exit</v>
      </c>
      <c r="AG1425" t="str">
        <f t="shared" si="143"/>
        <v>ZoneExit-Pass</v>
      </c>
      <c r="AN1425" t="str">
        <f t="shared" si="145"/>
        <v>Defensive</v>
      </c>
      <c r="BD1425" s="23"/>
      <c r="BF1425" s="21"/>
    </row>
    <row r="1426" spans="1:58" x14ac:dyDescent="0.2">
      <c r="A1426">
        <v>720</v>
      </c>
      <c r="E1426" s="5" t="s">
        <v>898</v>
      </c>
      <c r="F1426" s="5" t="s">
        <v>888</v>
      </c>
      <c r="G1426" s="5" t="s">
        <v>898</v>
      </c>
      <c r="H1426" s="7" t="s">
        <v>889</v>
      </c>
      <c r="I1426" t="s">
        <v>835</v>
      </c>
      <c r="J1426">
        <v>24</v>
      </c>
      <c r="K1426">
        <v>1</v>
      </c>
      <c r="L1426" t="s">
        <v>839</v>
      </c>
      <c r="M1426" t="s">
        <v>15</v>
      </c>
      <c r="U1426" s="8">
        <f t="shared" si="141"/>
        <v>2</v>
      </c>
      <c r="AD1426" t="str">
        <f t="shared" si="140"/>
        <v>e</v>
      </c>
      <c r="AE1426" t="str">
        <f t="shared" si="144"/>
        <v>Possession</v>
      </c>
      <c r="AF1426" t="str">
        <f t="shared" si="142"/>
        <v/>
      </c>
      <c r="AG1426" t="str">
        <f t="shared" si="143"/>
        <v/>
      </c>
      <c r="AN1426" t="str">
        <f t="shared" si="145"/>
        <v>Offensive</v>
      </c>
      <c r="BD1426" s="23"/>
      <c r="BF1426" s="21"/>
    </row>
    <row r="1427" spans="1:58" x14ac:dyDescent="0.2">
      <c r="A1427">
        <v>721</v>
      </c>
      <c r="B1427">
        <v>119</v>
      </c>
      <c r="E1427" s="5" t="s">
        <v>898</v>
      </c>
      <c r="F1427" s="5" t="s">
        <v>848</v>
      </c>
      <c r="I1427" t="s">
        <v>835</v>
      </c>
      <c r="J1427">
        <v>24</v>
      </c>
      <c r="K1427">
        <v>1</v>
      </c>
      <c r="L1427" t="s">
        <v>839</v>
      </c>
      <c r="M1427" t="s">
        <v>8</v>
      </c>
      <c r="N1427" t="s">
        <v>189</v>
      </c>
      <c r="O1427" t="s">
        <v>70</v>
      </c>
      <c r="P1427" t="s">
        <v>689</v>
      </c>
      <c r="U1427" s="8">
        <f t="shared" si="141"/>
        <v>2</v>
      </c>
      <c r="AD1427" t="str">
        <f t="shared" si="140"/>
        <v>e</v>
      </c>
      <c r="AE1427" t="str">
        <f t="shared" si="144"/>
        <v>Pass</v>
      </c>
      <c r="AF1427" t="str">
        <f t="shared" si="142"/>
        <v>Pass_Completed</v>
      </c>
      <c r="AG1427" t="str">
        <f t="shared" si="143"/>
        <v>Pass-Forehand</v>
      </c>
      <c r="AN1427" t="str">
        <f t="shared" si="145"/>
        <v>Offensive</v>
      </c>
      <c r="BD1427" s="23"/>
      <c r="BF1427" s="21"/>
    </row>
    <row r="1428" spans="1:58" x14ac:dyDescent="0.2">
      <c r="A1428">
        <v>721</v>
      </c>
      <c r="B1428">
        <v>119</v>
      </c>
      <c r="J1428">
        <v>87</v>
      </c>
      <c r="U1428" s="8">
        <f t="shared" si="141"/>
        <v>2</v>
      </c>
      <c r="AD1428" t="str">
        <f t="shared" si="140"/>
        <v>o</v>
      </c>
      <c r="AE1428" t="str">
        <f t="shared" si="144"/>
        <v>Pass</v>
      </c>
      <c r="AF1428" t="str">
        <f t="shared" si="142"/>
        <v>Pass_Completed</v>
      </c>
      <c r="AG1428" t="str">
        <f t="shared" si="143"/>
        <v>Pass-Forehand</v>
      </c>
      <c r="AN1428" t="str">
        <f t="shared" si="145"/>
        <v>Defensive</v>
      </c>
      <c r="BD1428" s="23"/>
      <c r="BF1428" s="21"/>
    </row>
    <row r="1429" spans="1:58" x14ac:dyDescent="0.2">
      <c r="A1429">
        <v>722</v>
      </c>
      <c r="B1429">
        <v>119</v>
      </c>
      <c r="E1429" s="5" t="s">
        <v>898</v>
      </c>
      <c r="F1429" s="5" t="s">
        <v>848</v>
      </c>
      <c r="I1429" t="s">
        <v>835</v>
      </c>
      <c r="J1429">
        <v>24</v>
      </c>
      <c r="K1429">
        <v>1</v>
      </c>
      <c r="L1429" t="s">
        <v>401</v>
      </c>
      <c r="M1429" t="s">
        <v>257</v>
      </c>
      <c r="N1429" t="s">
        <v>191</v>
      </c>
      <c r="O1429" t="s">
        <v>88</v>
      </c>
      <c r="P1429" t="s">
        <v>689</v>
      </c>
      <c r="U1429" s="8">
        <f t="shared" si="141"/>
        <v>2</v>
      </c>
      <c r="AD1429" t="str">
        <f t="shared" si="140"/>
        <v>e</v>
      </c>
      <c r="AE1429" t="str">
        <f t="shared" si="144"/>
        <v>Zone_Entry_Exit</v>
      </c>
      <c r="AF1429" t="str">
        <f t="shared" si="142"/>
        <v>Zone_Entry</v>
      </c>
      <c r="AG1429" t="str">
        <f t="shared" si="143"/>
        <v>ZoneEntry-Pass</v>
      </c>
      <c r="AN1429" t="str">
        <f t="shared" si="145"/>
        <v>Offensive</v>
      </c>
      <c r="BD1429" s="23"/>
      <c r="BF1429" s="21"/>
    </row>
    <row r="1430" spans="1:58" x14ac:dyDescent="0.2">
      <c r="A1430">
        <v>722</v>
      </c>
      <c r="B1430">
        <v>119</v>
      </c>
      <c r="J1430">
        <v>87</v>
      </c>
      <c r="U1430" s="8">
        <f t="shared" si="141"/>
        <v>2</v>
      </c>
      <c r="AD1430" t="str">
        <f t="shared" si="140"/>
        <v>o</v>
      </c>
      <c r="AE1430" t="str">
        <f t="shared" si="144"/>
        <v>Zone_Entry_Exit</v>
      </c>
      <c r="AF1430" t="str">
        <f t="shared" si="142"/>
        <v>Zone_Entry</v>
      </c>
      <c r="AG1430" t="str">
        <f t="shared" si="143"/>
        <v>ZoneEntry-Pass</v>
      </c>
      <c r="AN1430" t="str">
        <f t="shared" si="145"/>
        <v>Defensive</v>
      </c>
      <c r="BD1430" s="23"/>
      <c r="BF1430" s="21"/>
    </row>
    <row r="1431" spans="1:58" ht="13" customHeight="1" x14ac:dyDescent="0.2">
      <c r="A1431">
        <v>723</v>
      </c>
      <c r="E1431" s="5" t="s">
        <v>898</v>
      </c>
      <c r="F1431" s="5" t="s">
        <v>848</v>
      </c>
      <c r="G1431" s="5" t="s">
        <v>898</v>
      </c>
      <c r="H1431" s="7" t="s">
        <v>878</v>
      </c>
      <c r="I1431" s="5" t="s">
        <v>835</v>
      </c>
      <c r="J1431">
        <v>87</v>
      </c>
      <c r="K1431">
        <v>1</v>
      </c>
      <c r="L1431" s="5" t="s">
        <v>401</v>
      </c>
      <c r="M1431" t="s">
        <v>15</v>
      </c>
      <c r="Q1431" t="s">
        <v>721</v>
      </c>
      <c r="R1431" t="s">
        <v>661</v>
      </c>
      <c r="S1431" t="s">
        <v>689</v>
      </c>
      <c r="T1431">
        <v>1</v>
      </c>
      <c r="U1431" s="8">
        <f t="shared" si="141"/>
        <v>2</v>
      </c>
      <c r="AD1431" t="str">
        <f t="shared" si="140"/>
        <v>e</v>
      </c>
      <c r="AE1431" t="str">
        <f t="shared" si="144"/>
        <v>Possession</v>
      </c>
      <c r="AF1431" t="str">
        <f t="shared" si="142"/>
        <v/>
      </c>
      <c r="AG1431" t="str">
        <f t="shared" si="143"/>
        <v/>
      </c>
      <c r="AN1431" t="str">
        <f t="shared" si="145"/>
        <v>Offensive</v>
      </c>
      <c r="BD1431" s="23"/>
      <c r="BF1431" s="21"/>
    </row>
    <row r="1432" spans="1:58" x14ac:dyDescent="0.2">
      <c r="A1432">
        <v>723</v>
      </c>
      <c r="J1432">
        <v>7</v>
      </c>
      <c r="Q1432" t="s">
        <v>719</v>
      </c>
      <c r="T1432">
        <v>1</v>
      </c>
      <c r="U1432" s="8">
        <f t="shared" si="141"/>
        <v>2</v>
      </c>
      <c r="AD1432" t="str">
        <f t="shared" si="140"/>
        <v>o</v>
      </c>
      <c r="AE1432" t="str">
        <f t="shared" si="144"/>
        <v>Possession</v>
      </c>
      <c r="AF1432" t="str">
        <f t="shared" si="142"/>
        <v/>
      </c>
      <c r="AG1432" t="str">
        <f t="shared" si="143"/>
        <v/>
      </c>
      <c r="AN1432" t="str">
        <f t="shared" si="145"/>
        <v>Defensive</v>
      </c>
      <c r="BD1432" s="23"/>
      <c r="BF1432" s="21"/>
    </row>
    <row r="1433" spans="1:58" x14ac:dyDescent="0.2">
      <c r="A1433">
        <v>724</v>
      </c>
      <c r="E1433" s="5" t="s">
        <v>898</v>
      </c>
      <c r="F1433" s="5" t="s">
        <v>878</v>
      </c>
      <c r="I1433" t="s">
        <v>835</v>
      </c>
      <c r="J1433">
        <v>87</v>
      </c>
      <c r="K1433">
        <v>1</v>
      </c>
      <c r="L1433" t="s">
        <v>401</v>
      </c>
      <c r="M1433" t="s">
        <v>8</v>
      </c>
      <c r="N1433" t="s">
        <v>189</v>
      </c>
      <c r="O1433" t="s">
        <v>70</v>
      </c>
      <c r="P1433" t="s">
        <v>689</v>
      </c>
      <c r="T1433">
        <v>1</v>
      </c>
      <c r="U1433" s="8">
        <f t="shared" si="141"/>
        <v>2</v>
      </c>
      <c r="AD1433" t="str">
        <f t="shared" si="140"/>
        <v>e</v>
      </c>
      <c r="AE1433" t="str">
        <f t="shared" si="144"/>
        <v>Pass</v>
      </c>
      <c r="AF1433" t="str">
        <f t="shared" si="142"/>
        <v>Pass_Completed</v>
      </c>
      <c r="AG1433" t="str">
        <f t="shared" si="143"/>
        <v>Pass-Forehand</v>
      </c>
      <c r="AN1433" t="str">
        <f t="shared" si="145"/>
        <v>Offensive</v>
      </c>
      <c r="BD1433" s="23"/>
      <c r="BF1433" s="21"/>
    </row>
    <row r="1434" spans="1:58" x14ac:dyDescent="0.2">
      <c r="A1434">
        <v>724</v>
      </c>
      <c r="J1434">
        <v>42</v>
      </c>
      <c r="K1434">
        <v>1</v>
      </c>
      <c r="U1434" s="8">
        <f t="shared" si="141"/>
        <v>2</v>
      </c>
      <c r="AD1434" t="str">
        <f t="shared" si="140"/>
        <v>e</v>
      </c>
      <c r="AE1434" t="str">
        <f t="shared" si="144"/>
        <v>Pass</v>
      </c>
      <c r="AF1434" t="str">
        <f t="shared" si="142"/>
        <v>Pass_Completed</v>
      </c>
      <c r="AG1434" t="str">
        <f t="shared" si="143"/>
        <v>Pass-Forehand</v>
      </c>
      <c r="AN1434" t="str">
        <f t="shared" si="145"/>
        <v>Offensive</v>
      </c>
      <c r="BD1434" s="23"/>
      <c r="BF1434" s="21"/>
    </row>
    <row r="1435" spans="1:58" x14ac:dyDescent="0.2">
      <c r="A1435">
        <v>724</v>
      </c>
      <c r="J1435">
        <v>7</v>
      </c>
      <c r="T1435">
        <v>1</v>
      </c>
      <c r="U1435" s="8">
        <f t="shared" si="141"/>
        <v>2</v>
      </c>
      <c r="AD1435" t="str">
        <f t="shared" si="140"/>
        <v>o</v>
      </c>
      <c r="AE1435" t="str">
        <f t="shared" si="144"/>
        <v>Pass</v>
      </c>
      <c r="AF1435" t="str">
        <f t="shared" si="142"/>
        <v>Pass_Completed</v>
      </c>
      <c r="AG1435" t="str">
        <f t="shared" si="143"/>
        <v>Pass-Forehand</v>
      </c>
      <c r="AN1435" t="str">
        <f t="shared" si="145"/>
        <v>Defensive</v>
      </c>
      <c r="BD1435" s="23"/>
      <c r="BF1435" s="21"/>
    </row>
    <row r="1436" spans="1:58" x14ac:dyDescent="0.2">
      <c r="A1436">
        <v>725</v>
      </c>
      <c r="E1436" s="5" t="s">
        <v>898</v>
      </c>
      <c r="F1436" s="5" t="s">
        <v>897</v>
      </c>
      <c r="G1436" s="5" t="s">
        <v>898</v>
      </c>
      <c r="H1436" s="7" t="s">
        <v>879</v>
      </c>
      <c r="I1436" s="5" t="s">
        <v>835</v>
      </c>
      <c r="J1436">
        <v>42</v>
      </c>
      <c r="K1436">
        <v>1</v>
      </c>
      <c r="L1436" t="s">
        <v>401</v>
      </c>
      <c r="M1436" t="s">
        <v>15</v>
      </c>
      <c r="U1436" s="8">
        <f t="shared" si="141"/>
        <v>2</v>
      </c>
      <c r="AD1436" t="str">
        <f t="shared" si="140"/>
        <v>e</v>
      </c>
      <c r="AE1436" t="str">
        <f t="shared" si="144"/>
        <v>Possession</v>
      </c>
      <c r="AF1436" t="str">
        <f t="shared" si="142"/>
        <v/>
      </c>
      <c r="AG1436" t="str">
        <f t="shared" si="143"/>
        <v/>
      </c>
      <c r="AN1436" t="str">
        <f t="shared" si="145"/>
        <v>Offensive</v>
      </c>
      <c r="BD1436" s="23"/>
      <c r="BF1436" s="21"/>
    </row>
    <row r="1437" spans="1:58" x14ac:dyDescent="0.2">
      <c r="A1437">
        <v>725</v>
      </c>
      <c r="J1437">
        <v>17</v>
      </c>
      <c r="U1437" s="8">
        <f t="shared" si="141"/>
        <v>2</v>
      </c>
      <c r="AD1437" t="str">
        <f t="shared" si="140"/>
        <v>o</v>
      </c>
      <c r="AE1437" t="str">
        <f t="shared" si="144"/>
        <v>Possession</v>
      </c>
      <c r="AF1437" t="str">
        <f t="shared" si="142"/>
        <v/>
      </c>
      <c r="AG1437" t="str">
        <f t="shared" si="143"/>
        <v/>
      </c>
      <c r="AN1437" t="str">
        <f t="shared" si="145"/>
        <v>Defensive</v>
      </c>
      <c r="BD1437" s="23"/>
      <c r="BF1437" s="21"/>
    </row>
    <row r="1438" spans="1:58" x14ac:dyDescent="0.2">
      <c r="A1438">
        <v>726</v>
      </c>
      <c r="E1438" s="5" t="s">
        <v>898</v>
      </c>
      <c r="F1438" s="5" t="s">
        <v>879</v>
      </c>
      <c r="I1438" t="s">
        <v>835</v>
      </c>
      <c r="J1438">
        <v>42</v>
      </c>
      <c r="K1438">
        <v>1</v>
      </c>
      <c r="L1438" t="s">
        <v>401</v>
      </c>
      <c r="M1438" t="s">
        <v>7</v>
      </c>
      <c r="N1438" t="s">
        <v>208</v>
      </c>
      <c r="O1438" t="s">
        <v>53</v>
      </c>
      <c r="P1438" t="s">
        <v>688</v>
      </c>
      <c r="T1438">
        <v>1</v>
      </c>
      <c r="U1438" s="8">
        <f t="shared" si="141"/>
        <v>2</v>
      </c>
      <c r="AD1438" t="str">
        <f t="shared" si="140"/>
        <v>e</v>
      </c>
      <c r="AE1438" t="str">
        <f t="shared" si="144"/>
        <v>Shot</v>
      </c>
      <c r="AF1438" t="str">
        <f t="shared" si="142"/>
        <v>Shot_Blocked</v>
      </c>
      <c r="AG1438" t="str">
        <f t="shared" si="143"/>
        <v>Shot-Wrist</v>
      </c>
      <c r="AN1438" t="str">
        <f t="shared" si="145"/>
        <v>Offensive</v>
      </c>
      <c r="BD1438" s="23"/>
      <c r="BF1438" s="21"/>
    </row>
    <row r="1439" spans="1:58" x14ac:dyDescent="0.2">
      <c r="A1439">
        <v>726</v>
      </c>
      <c r="J1439">
        <v>17</v>
      </c>
      <c r="Q1439" t="s">
        <v>665</v>
      </c>
      <c r="S1439" t="s">
        <v>689</v>
      </c>
      <c r="T1439">
        <v>1</v>
      </c>
      <c r="U1439" s="8">
        <f t="shared" si="141"/>
        <v>2</v>
      </c>
      <c r="AD1439" t="str">
        <f t="shared" si="140"/>
        <v>o</v>
      </c>
      <c r="AE1439" t="str">
        <f t="shared" si="144"/>
        <v>Shot</v>
      </c>
      <c r="AF1439" t="str">
        <f t="shared" si="142"/>
        <v>Shot_Blocked</v>
      </c>
      <c r="AG1439" t="str">
        <f t="shared" si="143"/>
        <v>Shot-Wrist</v>
      </c>
      <c r="AN1439" t="str">
        <f t="shared" si="145"/>
        <v>Defensive</v>
      </c>
      <c r="BD1439" s="23"/>
      <c r="BF1439" s="21"/>
    </row>
    <row r="1440" spans="1:58" x14ac:dyDescent="0.2">
      <c r="A1440">
        <v>727</v>
      </c>
      <c r="E1440" s="5" t="s">
        <v>898</v>
      </c>
      <c r="F1440" s="5" t="s">
        <v>850</v>
      </c>
      <c r="I1440" t="s">
        <v>835</v>
      </c>
      <c r="J1440">
        <v>24</v>
      </c>
      <c r="K1440">
        <v>1</v>
      </c>
      <c r="L1440" t="s">
        <v>401</v>
      </c>
      <c r="M1440" t="s">
        <v>15</v>
      </c>
      <c r="N1440" t="s">
        <v>681</v>
      </c>
      <c r="P1440" t="s">
        <v>689</v>
      </c>
      <c r="Q1440" t="s">
        <v>705</v>
      </c>
      <c r="S1440" t="s">
        <v>689</v>
      </c>
      <c r="T1440">
        <v>1</v>
      </c>
      <c r="U1440" s="8">
        <f t="shared" si="141"/>
        <v>2</v>
      </c>
      <c r="AD1440" t="str">
        <f t="shared" si="140"/>
        <v>e</v>
      </c>
      <c r="AE1440" t="str">
        <f t="shared" si="144"/>
        <v>Possession</v>
      </c>
      <c r="AF1440" t="str">
        <f t="shared" si="142"/>
        <v>PuckRecovery</v>
      </c>
      <c r="AG1440" t="str">
        <f t="shared" si="143"/>
        <v/>
      </c>
      <c r="AN1440" t="str">
        <f t="shared" si="145"/>
        <v>Offensive</v>
      </c>
      <c r="BD1440" s="23"/>
      <c r="BF1440" s="21"/>
    </row>
    <row r="1441" spans="1:58" x14ac:dyDescent="0.2">
      <c r="A1441">
        <v>727</v>
      </c>
      <c r="J1441">
        <v>26</v>
      </c>
      <c r="Q1441" t="s">
        <v>729</v>
      </c>
      <c r="S1441" t="s">
        <v>688</v>
      </c>
      <c r="T1441">
        <v>1</v>
      </c>
      <c r="U1441" s="8">
        <f t="shared" si="141"/>
        <v>2</v>
      </c>
      <c r="AD1441" t="str">
        <f t="shared" si="140"/>
        <v>o</v>
      </c>
      <c r="AE1441" t="str">
        <f t="shared" si="144"/>
        <v>Possession</v>
      </c>
      <c r="AF1441" t="str">
        <f t="shared" si="142"/>
        <v>PuckRecovery</v>
      </c>
      <c r="AG1441" t="str">
        <f t="shared" si="143"/>
        <v/>
      </c>
      <c r="AN1441" t="str">
        <f t="shared" si="145"/>
        <v>Defensive</v>
      </c>
      <c r="BD1441" s="23"/>
      <c r="BF1441" s="21"/>
    </row>
    <row r="1442" spans="1:58" x14ac:dyDescent="0.2">
      <c r="A1442">
        <v>728</v>
      </c>
      <c r="E1442" s="5" t="s">
        <v>898</v>
      </c>
      <c r="F1442" s="5" t="s">
        <v>850</v>
      </c>
      <c r="I1442" t="s">
        <v>835</v>
      </c>
      <c r="J1442">
        <v>24</v>
      </c>
      <c r="K1442">
        <v>1</v>
      </c>
      <c r="L1442" t="s">
        <v>401</v>
      </c>
      <c r="M1442" t="s">
        <v>8</v>
      </c>
      <c r="N1442" t="s">
        <v>189</v>
      </c>
      <c r="O1442" t="s">
        <v>70</v>
      </c>
      <c r="P1442" t="s">
        <v>689</v>
      </c>
      <c r="Q1442" t="s">
        <v>749</v>
      </c>
      <c r="S1442" t="s">
        <v>689</v>
      </c>
      <c r="T1442">
        <v>1</v>
      </c>
      <c r="U1442" s="8">
        <f t="shared" si="141"/>
        <v>2</v>
      </c>
      <c r="AD1442" t="str">
        <f t="shared" si="140"/>
        <v>e</v>
      </c>
      <c r="AE1442" t="str">
        <f t="shared" si="144"/>
        <v>Pass</v>
      </c>
      <c r="AF1442" t="str">
        <f t="shared" si="142"/>
        <v>Pass_Completed</v>
      </c>
      <c r="AG1442" t="str">
        <f t="shared" si="143"/>
        <v>Pass-Forehand</v>
      </c>
      <c r="AN1442" t="str">
        <f t="shared" si="145"/>
        <v>Offensive</v>
      </c>
      <c r="BD1442" s="23"/>
      <c r="BF1442" s="21"/>
    </row>
    <row r="1443" spans="1:58" x14ac:dyDescent="0.2">
      <c r="A1443">
        <v>728</v>
      </c>
      <c r="J1443">
        <v>42</v>
      </c>
      <c r="K1443">
        <v>1</v>
      </c>
      <c r="U1443" s="8">
        <f t="shared" si="141"/>
        <v>2</v>
      </c>
      <c r="AD1443" t="str">
        <f t="shared" si="140"/>
        <v>e</v>
      </c>
      <c r="AE1443" t="str">
        <f t="shared" si="144"/>
        <v>Pass</v>
      </c>
      <c r="AF1443" t="str">
        <f t="shared" si="142"/>
        <v>Pass_Completed</v>
      </c>
      <c r="AG1443" t="str">
        <f t="shared" si="143"/>
        <v>Pass-Forehand</v>
      </c>
      <c r="AN1443" t="str">
        <f t="shared" si="145"/>
        <v>Offensive</v>
      </c>
      <c r="BD1443" s="23"/>
      <c r="BF1443" s="21"/>
    </row>
    <row r="1444" spans="1:58" x14ac:dyDescent="0.2">
      <c r="A1444">
        <v>728</v>
      </c>
      <c r="J1444">
        <v>26</v>
      </c>
      <c r="Q1444" t="s">
        <v>696</v>
      </c>
      <c r="T1444">
        <v>1</v>
      </c>
      <c r="U1444" s="8">
        <f t="shared" si="141"/>
        <v>2</v>
      </c>
      <c r="AD1444" t="str">
        <f t="shared" si="140"/>
        <v>o</v>
      </c>
      <c r="AE1444" t="str">
        <f t="shared" si="144"/>
        <v>Pass</v>
      </c>
      <c r="AF1444" t="str">
        <f t="shared" si="142"/>
        <v>Pass_Completed</v>
      </c>
      <c r="AG1444" t="str">
        <f t="shared" si="143"/>
        <v>Pass-Forehand</v>
      </c>
      <c r="AN1444" t="str">
        <f t="shared" si="145"/>
        <v>Defensive</v>
      </c>
      <c r="BD1444" s="23"/>
      <c r="BF1444" s="21"/>
    </row>
    <row r="1445" spans="1:58" x14ac:dyDescent="0.2">
      <c r="A1445">
        <v>729</v>
      </c>
      <c r="E1445" s="5" t="s">
        <v>898</v>
      </c>
      <c r="F1445" s="5" t="s">
        <v>851</v>
      </c>
      <c r="G1445" s="5" t="s">
        <v>898</v>
      </c>
      <c r="H1445" s="7" t="s">
        <v>853</v>
      </c>
      <c r="I1445" s="5" t="s">
        <v>835</v>
      </c>
      <c r="J1445">
        <v>42</v>
      </c>
      <c r="K1445">
        <v>1</v>
      </c>
      <c r="L1445" s="5" t="s">
        <v>401</v>
      </c>
      <c r="M1445" t="s">
        <v>15</v>
      </c>
      <c r="Q1445" t="s">
        <v>721</v>
      </c>
      <c r="S1445" t="s">
        <v>689</v>
      </c>
      <c r="T1445">
        <v>1</v>
      </c>
      <c r="U1445" s="8">
        <f t="shared" si="141"/>
        <v>2</v>
      </c>
      <c r="AD1445" t="str">
        <f t="shared" si="140"/>
        <v>e</v>
      </c>
      <c r="AE1445" t="str">
        <f t="shared" si="144"/>
        <v>Possession</v>
      </c>
      <c r="AF1445" t="str">
        <f t="shared" si="142"/>
        <v/>
      </c>
      <c r="AG1445" t="str">
        <f t="shared" si="143"/>
        <v/>
      </c>
      <c r="AN1445" t="str">
        <f t="shared" si="145"/>
        <v>Offensive</v>
      </c>
      <c r="BD1445" s="23"/>
      <c r="BF1445" s="21"/>
    </row>
    <row r="1446" spans="1:58" x14ac:dyDescent="0.2">
      <c r="A1446">
        <v>729</v>
      </c>
      <c r="J1446">
        <v>19</v>
      </c>
      <c r="Q1446" t="s">
        <v>719</v>
      </c>
      <c r="S1446" t="s">
        <v>688</v>
      </c>
      <c r="T1446">
        <v>1</v>
      </c>
      <c r="U1446" s="8">
        <f t="shared" si="141"/>
        <v>2</v>
      </c>
      <c r="AD1446" t="str">
        <f t="shared" si="140"/>
        <v>o</v>
      </c>
      <c r="AE1446" t="str">
        <f t="shared" si="144"/>
        <v>Possession</v>
      </c>
      <c r="AF1446" t="str">
        <f t="shared" si="142"/>
        <v/>
      </c>
      <c r="AG1446" t="str">
        <f t="shared" si="143"/>
        <v/>
      </c>
      <c r="AN1446" t="str">
        <f t="shared" si="145"/>
        <v>Defensive</v>
      </c>
      <c r="BD1446" s="23"/>
      <c r="BF1446" s="21"/>
    </row>
    <row r="1447" spans="1:58" x14ac:dyDescent="0.2">
      <c r="A1447">
        <v>730</v>
      </c>
      <c r="B1447">
        <v>120</v>
      </c>
      <c r="E1447" s="5" t="s">
        <v>898</v>
      </c>
      <c r="F1447" s="5" t="s">
        <v>853</v>
      </c>
      <c r="I1447" t="s">
        <v>835</v>
      </c>
      <c r="J1447">
        <v>42</v>
      </c>
      <c r="K1447">
        <v>1</v>
      </c>
      <c r="L1447" t="s">
        <v>401</v>
      </c>
      <c r="M1447" t="s">
        <v>7</v>
      </c>
      <c r="N1447" t="s">
        <v>222</v>
      </c>
      <c r="O1447" t="s">
        <v>53</v>
      </c>
      <c r="P1447" t="s">
        <v>689</v>
      </c>
      <c r="T1447">
        <v>1</v>
      </c>
      <c r="U1447" s="8">
        <f t="shared" si="141"/>
        <v>2</v>
      </c>
      <c r="AD1447" t="str">
        <f t="shared" si="140"/>
        <v>e</v>
      </c>
      <c r="AE1447" t="str">
        <f t="shared" si="144"/>
        <v>Shot</v>
      </c>
      <c r="AF1447" t="str">
        <f t="shared" si="142"/>
        <v>Shot_OnNetSaved</v>
      </c>
      <c r="AG1447" t="str">
        <f t="shared" si="143"/>
        <v>Shot-Wrist</v>
      </c>
      <c r="AN1447" t="str">
        <f t="shared" si="145"/>
        <v>Offensive</v>
      </c>
      <c r="BD1447" s="23"/>
      <c r="BF1447" s="21"/>
    </row>
    <row r="1448" spans="1:58" x14ac:dyDescent="0.2">
      <c r="A1448">
        <v>730</v>
      </c>
      <c r="B1448">
        <v>120</v>
      </c>
      <c r="J1448">
        <v>38</v>
      </c>
      <c r="U1448" s="8">
        <f t="shared" si="141"/>
        <v>2</v>
      </c>
      <c r="AD1448" t="str">
        <f t="shared" si="140"/>
        <v>o</v>
      </c>
      <c r="AE1448" t="str">
        <f t="shared" si="144"/>
        <v>Shot</v>
      </c>
      <c r="AF1448" t="str">
        <f t="shared" si="142"/>
        <v>Shot_OnNetSaved</v>
      </c>
      <c r="AG1448" t="str">
        <f t="shared" si="143"/>
        <v>Shot-Wrist</v>
      </c>
      <c r="AN1448" t="str">
        <f t="shared" si="145"/>
        <v>Defensive</v>
      </c>
      <c r="BD1448" s="23"/>
      <c r="BF1448" s="21"/>
    </row>
    <row r="1449" spans="1:58" x14ac:dyDescent="0.2">
      <c r="A1449">
        <v>730</v>
      </c>
      <c r="B1449">
        <v>120</v>
      </c>
      <c r="J1449">
        <v>26</v>
      </c>
      <c r="Q1449" t="s">
        <v>699</v>
      </c>
      <c r="T1449">
        <v>1</v>
      </c>
      <c r="U1449" s="8">
        <f t="shared" si="141"/>
        <v>2</v>
      </c>
      <c r="AD1449" t="str">
        <f t="shared" si="140"/>
        <v>o</v>
      </c>
      <c r="AE1449" t="str">
        <f t="shared" si="144"/>
        <v>Shot</v>
      </c>
      <c r="AF1449" t="str">
        <f t="shared" si="142"/>
        <v>Shot_OnNetSaved</v>
      </c>
      <c r="AG1449" t="str">
        <f t="shared" si="143"/>
        <v>Shot-Wrist</v>
      </c>
      <c r="AN1449" t="str">
        <f t="shared" si="145"/>
        <v>Defensive</v>
      </c>
      <c r="BD1449" s="23"/>
      <c r="BF1449" s="21"/>
    </row>
    <row r="1450" spans="1:58" x14ac:dyDescent="0.2">
      <c r="A1450">
        <v>731</v>
      </c>
      <c r="B1450">
        <v>120</v>
      </c>
      <c r="E1450" s="5" t="s">
        <v>898</v>
      </c>
      <c r="F1450" s="5" t="s">
        <v>853</v>
      </c>
      <c r="I1450" t="s">
        <v>840</v>
      </c>
      <c r="J1450">
        <v>38</v>
      </c>
      <c r="K1450">
        <v>1</v>
      </c>
      <c r="L1450" t="s">
        <v>845</v>
      </c>
      <c r="M1450" t="s">
        <v>17</v>
      </c>
      <c r="N1450" t="s">
        <v>196</v>
      </c>
      <c r="O1450" t="s">
        <v>103</v>
      </c>
      <c r="U1450" s="8">
        <f t="shared" si="141"/>
        <v>2</v>
      </c>
      <c r="AD1450" t="str">
        <f t="shared" si="140"/>
        <v>e</v>
      </c>
      <c r="AE1450" t="str">
        <f t="shared" si="144"/>
        <v>Save</v>
      </c>
      <c r="AF1450" t="str">
        <f t="shared" si="142"/>
        <v>Save_Rebound</v>
      </c>
      <c r="AG1450" t="str">
        <f t="shared" si="143"/>
        <v>Save-Chest</v>
      </c>
      <c r="AN1450" t="str">
        <f t="shared" si="145"/>
        <v>Defensive</v>
      </c>
      <c r="BD1450" s="23"/>
      <c r="BF1450" s="21"/>
    </row>
    <row r="1451" spans="1:58" x14ac:dyDescent="0.2">
      <c r="A1451">
        <v>731</v>
      </c>
      <c r="B1451">
        <v>120</v>
      </c>
      <c r="J1451">
        <v>26</v>
      </c>
      <c r="K1451">
        <v>1</v>
      </c>
      <c r="Q1451" t="s">
        <v>699</v>
      </c>
      <c r="T1451">
        <v>1</v>
      </c>
      <c r="U1451" s="8">
        <f t="shared" si="141"/>
        <v>2</v>
      </c>
      <c r="AD1451" t="str">
        <f t="shared" si="140"/>
        <v>e</v>
      </c>
      <c r="AE1451" t="str">
        <f t="shared" si="144"/>
        <v>Save</v>
      </c>
      <c r="AF1451" t="str">
        <f t="shared" si="142"/>
        <v>Save_Rebound</v>
      </c>
      <c r="AG1451" t="str">
        <f t="shared" si="143"/>
        <v>Save-Chest</v>
      </c>
      <c r="AN1451" t="str">
        <f t="shared" si="145"/>
        <v>Defensive</v>
      </c>
      <c r="BD1451" s="23"/>
      <c r="BF1451" s="21"/>
    </row>
    <row r="1452" spans="1:58" x14ac:dyDescent="0.2">
      <c r="A1452">
        <v>731</v>
      </c>
      <c r="B1452">
        <v>120</v>
      </c>
      <c r="J1452">
        <v>42</v>
      </c>
      <c r="T1452">
        <v>1</v>
      </c>
      <c r="U1452" s="8">
        <f t="shared" si="141"/>
        <v>2</v>
      </c>
      <c r="AD1452" t="str">
        <f t="shared" si="140"/>
        <v>o</v>
      </c>
      <c r="AE1452" t="str">
        <f t="shared" si="144"/>
        <v>Save</v>
      </c>
      <c r="AF1452" t="str">
        <f t="shared" si="142"/>
        <v>Save_Rebound</v>
      </c>
      <c r="AG1452" t="str">
        <f t="shared" si="143"/>
        <v>Save-Chest</v>
      </c>
      <c r="AN1452" t="str">
        <f t="shared" si="145"/>
        <v>Offensive</v>
      </c>
      <c r="BD1452" s="23"/>
      <c r="BF1452" s="21"/>
    </row>
    <row r="1453" spans="1:58" x14ac:dyDescent="0.2">
      <c r="A1453">
        <v>732</v>
      </c>
      <c r="B1453">
        <v>120</v>
      </c>
      <c r="E1453" s="5" t="s">
        <v>898</v>
      </c>
      <c r="F1453" s="5" t="s">
        <v>853</v>
      </c>
      <c r="I1453" t="s">
        <v>840</v>
      </c>
      <c r="J1453">
        <v>38</v>
      </c>
      <c r="K1453">
        <v>1</v>
      </c>
      <c r="L1453" t="s">
        <v>845</v>
      </c>
      <c r="M1453" t="s">
        <v>250</v>
      </c>
      <c r="N1453" t="s">
        <v>251</v>
      </c>
      <c r="U1453" s="8">
        <f t="shared" si="141"/>
        <v>2</v>
      </c>
      <c r="AD1453" t="str">
        <f t="shared" si="140"/>
        <v>e</v>
      </c>
      <c r="AE1453" t="str">
        <f t="shared" si="144"/>
        <v>Rebound</v>
      </c>
      <c r="AF1453" t="str">
        <f t="shared" si="142"/>
        <v>Rebound_TeamRecovered</v>
      </c>
      <c r="AG1453" t="str">
        <f t="shared" si="143"/>
        <v/>
      </c>
      <c r="AN1453" t="str">
        <f t="shared" si="145"/>
        <v>Offensive</v>
      </c>
      <c r="BD1453" s="23"/>
      <c r="BF1453" s="21"/>
    </row>
    <row r="1454" spans="1:58" x14ac:dyDescent="0.2">
      <c r="A1454">
        <v>733</v>
      </c>
      <c r="E1454" s="5" t="s">
        <v>898</v>
      </c>
      <c r="F1454" s="5" t="s">
        <v>883</v>
      </c>
      <c r="G1454" s="5" t="s">
        <v>898</v>
      </c>
      <c r="H1454" s="7" t="s">
        <v>860</v>
      </c>
      <c r="I1454" t="s">
        <v>840</v>
      </c>
      <c r="J1454">
        <v>8</v>
      </c>
      <c r="K1454">
        <v>1</v>
      </c>
      <c r="L1454" t="s">
        <v>845</v>
      </c>
      <c r="M1454" t="s">
        <v>15</v>
      </c>
      <c r="N1454" t="s">
        <v>680</v>
      </c>
      <c r="U1454" s="8">
        <f t="shared" si="141"/>
        <v>2</v>
      </c>
      <c r="AD1454" t="str">
        <f t="shared" si="140"/>
        <v>e</v>
      </c>
      <c r="AE1454" t="str">
        <f t="shared" si="144"/>
        <v>Possession</v>
      </c>
      <c r="AF1454" t="str">
        <f t="shared" si="142"/>
        <v>PuckRetrieval</v>
      </c>
      <c r="AG1454" t="str">
        <f t="shared" si="143"/>
        <v/>
      </c>
      <c r="AN1454" t="str">
        <f t="shared" si="145"/>
        <v>Offensive</v>
      </c>
      <c r="BD1454" s="23"/>
      <c r="BF1454" s="21"/>
    </row>
    <row r="1455" spans="1:58" x14ac:dyDescent="0.2">
      <c r="A1455">
        <v>734</v>
      </c>
      <c r="B1455">
        <v>121</v>
      </c>
      <c r="E1455" s="5" t="s">
        <v>898</v>
      </c>
      <c r="F1455" s="5" t="s">
        <v>860</v>
      </c>
      <c r="I1455" t="s">
        <v>840</v>
      </c>
      <c r="J1455">
        <v>8</v>
      </c>
      <c r="K1455">
        <v>1</v>
      </c>
      <c r="L1455" t="s">
        <v>845</v>
      </c>
      <c r="M1455" t="s">
        <v>8</v>
      </c>
      <c r="N1455" t="s">
        <v>199</v>
      </c>
      <c r="O1455" t="s">
        <v>67</v>
      </c>
      <c r="P1455" t="s">
        <v>688</v>
      </c>
      <c r="Q1455" t="s">
        <v>706</v>
      </c>
      <c r="S1455" t="s">
        <v>688</v>
      </c>
      <c r="T1455">
        <v>1</v>
      </c>
      <c r="U1455" s="8">
        <f t="shared" si="141"/>
        <v>2</v>
      </c>
      <c r="AD1455" t="str">
        <f t="shared" si="140"/>
        <v>e</v>
      </c>
      <c r="AE1455" t="str">
        <f t="shared" si="144"/>
        <v>Pass</v>
      </c>
      <c r="AF1455" t="str">
        <f t="shared" si="142"/>
        <v>Pass_Missed</v>
      </c>
      <c r="AG1455" t="str">
        <f t="shared" si="143"/>
        <v>Pass-Stretch</v>
      </c>
      <c r="AN1455" t="str">
        <f t="shared" si="145"/>
        <v>Offensive</v>
      </c>
      <c r="BD1455" s="23"/>
      <c r="BF1455" s="21"/>
    </row>
    <row r="1456" spans="1:58" x14ac:dyDescent="0.2">
      <c r="A1456">
        <v>734</v>
      </c>
      <c r="B1456">
        <v>121</v>
      </c>
      <c r="J1456">
        <v>19</v>
      </c>
      <c r="K1456">
        <v>1</v>
      </c>
      <c r="L1456" t="s">
        <v>845</v>
      </c>
      <c r="U1456" s="8">
        <f t="shared" si="141"/>
        <v>2</v>
      </c>
      <c r="AD1456" t="str">
        <f t="shared" si="140"/>
        <v>e</v>
      </c>
      <c r="AE1456" t="str">
        <f t="shared" si="144"/>
        <v>Pass</v>
      </c>
      <c r="AF1456" t="str">
        <f t="shared" si="142"/>
        <v>Pass_Missed</v>
      </c>
      <c r="AG1456" t="str">
        <f t="shared" si="143"/>
        <v>Pass-Stretch</v>
      </c>
      <c r="AN1456" t="str">
        <f t="shared" si="145"/>
        <v>Offensive</v>
      </c>
      <c r="BD1456" s="23"/>
      <c r="BF1456" s="21"/>
    </row>
    <row r="1457" spans="1:58" x14ac:dyDescent="0.2">
      <c r="A1457">
        <v>734</v>
      </c>
      <c r="B1457">
        <v>121</v>
      </c>
      <c r="J1457">
        <v>42</v>
      </c>
      <c r="T1457">
        <v>1</v>
      </c>
      <c r="U1457" s="8">
        <f t="shared" si="141"/>
        <v>2</v>
      </c>
      <c r="AD1457" t="str">
        <f t="shared" si="140"/>
        <v>o</v>
      </c>
      <c r="AE1457" t="str">
        <f t="shared" si="144"/>
        <v>Pass</v>
      </c>
      <c r="AF1457" t="str">
        <f t="shared" si="142"/>
        <v>Pass_Missed</v>
      </c>
      <c r="AG1457" t="str">
        <f t="shared" si="143"/>
        <v>Pass-Stretch</v>
      </c>
      <c r="AN1457" t="str">
        <f t="shared" si="145"/>
        <v>Defensive</v>
      </c>
      <c r="BD1457" s="23"/>
      <c r="BF1457" s="21"/>
    </row>
    <row r="1458" spans="1:58" x14ac:dyDescent="0.2">
      <c r="A1458">
        <v>735</v>
      </c>
      <c r="B1458">
        <v>121</v>
      </c>
      <c r="E1458" s="5" t="s">
        <v>898</v>
      </c>
      <c r="F1458" s="5" t="s">
        <v>860</v>
      </c>
      <c r="I1458" t="s">
        <v>840</v>
      </c>
      <c r="J1458">
        <v>8</v>
      </c>
      <c r="K1458">
        <v>1</v>
      </c>
      <c r="L1458" t="s">
        <v>845</v>
      </c>
      <c r="M1458" t="s">
        <v>257</v>
      </c>
      <c r="N1458" t="s">
        <v>201</v>
      </c>
      <c r="O1458" t="s">
        <v>409</v>
      </c>
      <c r="P1458" t="s">
        <v>688</v>
      </c>
      <c r="Q1458" t="s">
        <v>706</v>
      </c>
      <c r="S1458" t="s">
        <v>688</v>
      </c>
      <c r="T1458">
        <v>1</v>
      </c>
      <c r="U1458" s="8">
        <f t="shared" si="141"/>
        <v>2</v>
      </c>
      <c r="AD1458" t="str">
        <f t="shared" si="140"/>
        <v>e</v>
      </c>
      <c r="AE1458" t="str">
        <f t="shared" si="144"/>
        <v>Zone_Entry_Exit</v>
      </c>
      <c r="AF1458" t="str">
        <f t="shared" si="142"/>
        <v>Zone_Exit</v>
      </c>
      <c r="AG1458" t="str">
        <f t="shared" si="143"/>
        <v>ZoneExit-PassMiss/Misplay</v>
      </c>
      <c r="AN1458" t="str">
        <f t="shared" si="145"/>
        <v>Offensive</v>
      </c>
      <c r="BD1458" s="23"/>
      <c r="BF1458" s="21"/>
    </row>
    <row r="1459" spans="1:58" x14ac:dyDescent="0.2">
      <c r="A1459">
        <v>735</v>
      </c>
      <c r="B1459">
        <v>121</v>
      </c>
      <c r="J1459">
        <v>19</v>
      </c>
      <c r="K1459">
        <v>1</v>
      </c>
      <c r="L1459" t="s">
        <v>845</v>
      </c>
      <c r="U1459" s="8">
        <f t="shared" si="141"/>
        <v>2</v>
      </c>
      <c r="AD1459" t="str">
        <f t="shared" si="140"/>
        <v>e</v>
      </c>
      <c r="AE1459" t="str">
        <f t="shared" si="144"/>
        <v>Zone_Entry_Exit</v>
      </c>
      <c r="AF1459" t="str">
        <f t="shared" si="142"/>
        <v>Zone_Exit</v>
      </c>
      <c r="AG1459" t="str">
        <f t="shared" si="143"/>
        <v>ZoneExit-PassMiss/Misplay</v>
      </c>
      <c r="AN1459" t="str">
        <f t="shared" si="145"/>
        <v>Offensive</v>
      </c>
      <c r="BD1459" s="23"/>
      <c r="BF1459" s="21"/>
    </row>
    <row r="1460" spans="1:58" x14ac:dyDescent="0.2">
      <c r="A1460">
        <v>735</v>
      </c>
      <c r="B1460">
        <v>121</v>
      </c>
      <c r="J1460">
        <v>42</v>
      </c>
      <c r="T1460">
        <v>1</v>
      </c>
      <c r="U1460" s="8">
        <f t="shared" si="141"/>
        <v>2</v>
      </c>
      <c r="AD1460" t="str">
        <f t="shared" si="140"/>
        <v>o</v>
      </c>
      <c r="AE1460" t="str">
        <f t="shared" si="144"/>
        <v>Zone_Entry_Exit</v>
      </c>
      <c r="AF1460" t="str">
        <f t="shared" si="142"/>
        <v>Zone_Exit</v>
      </c>
      <c r="AG1460" t="str">
        <f t="shared" si="143"/>
        <v>ZoneExit-PassMiss/Misplay</v>
      </c>
      <c r="AN1460" t="str">
        <f t="shared" si="145"/>
        <v>Defensive</v>
      </c>
      <c r="BD1460" s="23"/>
      <c r="BF1460" s="21"/>
    </row>
    <row r="1461" spans="1:58" x14ac:dyDescent="0.2">
      <c r="A1461">
        <v>736</v>
      </c>
      <c r="B1461">
        <v>121</v>
      </c>
      <c r="E1461" s="5" t="s">
        <v>898</v>
      </c>
      <c r="F1461" s="5" t="s">
        <v>860</v>
      </c>
      <c r="I1461" t="s">
        <v>840</v>
      </c>
      <c r="J1461">
        <v>8</v>
      </c>
      <c r="K1461">
        <v>1</v>
      </c>
      <c r="L1461" t="s">
        <v>845</v>
      </c>
      <c r="M1461" t="s">
        <v>257</v>
      </c>
      <c r="N1461" t="s">
        <v>191</v>
      </c>
      <c r="O1461" t="s">
        <v>423</v>
      </c>
      <c r="P1461" t="s">
        <v>688</v>
      </c>
      <c r="Q1461" t="s">
        <v>706</v>
      </c>
      <c r="S1461" t="s">
        <v>688</v>
      </c>
      <c r="T1461">
        <v>1</v>
      </c>
      <c r="U1461" s="8">
        <f t="shared" si="141"/>
        <v>2</v>
      </c>
      <c r="AD1461" t="str">
        <f t="shared" si="140"/>
        <v>e</v>
      </c>
      <c r="AE1461" t="str">
        <f t="shared" si="144"/>
        <v>Zone_Entry_Exit</v>
      </c>
      <c r="AF1461" t="str">
        <f t="shared" si="142"/>
        <v>Zone_Entry</v>
      </c>
      <c r="AG1461" t="str">
        <f t="shared" si="143"/>
        <v>ZoneEntry-PassMiss/Misplay</v>
      </c>
      <c r="AN1461" t="str">
        <f t="shared" si="145"/>
        <v>Offensive</v>
      </c>
      <c r="BD1461" s="23"/>
      <c r="BF1461" s="21"/>
    </row>
    <row r="1462" spans="1:58" x14ac:dyDescent="0.2">
      <c r="A1462">
        <v>736</v>
      </c>
      <c r="B1462">
        <v>121</v>
      </c>
      <c r="J1462">
        <v>19</v>
      </c>
      <c r="K1462">
        <v>1</v>
      </c>
      <c r="L1462" t="s">
        <v>845</v>
      </c>
      <c r="U1462" s="8">
        <f t="shared" si="141"/>
        <v>2</v>
      </c>
      <c r="AD1462" t="str">
        <f t="shared" si="140"/>
        <v>e</v>
      </c>
      <c r="AE1462" t="str">
        <f t="shared" si="144"/>
        <v>Zone_Entry_Exit</v>
      </c>
      <c r="AF1462" t="str">
        <f t="shared" si="142"/>
        <v>Zone_Entry</v>
      </c>
      <c r="AG1462" t="str">
        <f t="shared" si="143"/>
        <v>ZoneEntry-PassMiss/Misplay</v>
      </c>
      <c r="AN1462" t="str">
        <f t="shared" si="145"/>
        <v>Offensive</v>
      </c>
      <c r="BD1462" s="23"/>
      <c r="BF1462" s="21"/>
    </row>
    <row r="1463" spans="1:58" x14ac:dyDescent="0.2">
      <c r="A1463">
        <v>736</v>
      </c>
      <c r="B1463">
        <v>121</v>
      </c>
      <c r="J1463">
        <v>42</v>
      </c>
      <c r="T1463">
        <v>1</v>
      </c>
      <c r="U1463" s="8">
        <f t="shared" si="141"/>
        <v>2</v>
      </c>
      <c r="AD1463" t="str">
        <f t="shared" si="140"/>
        <v>o</v>
      </c>
      <c r="AE1463" t="str">
        <f t="shared" si="144"/>
        <v>Zone_Entry_Exit</v>
      </c>
      <c r="AF1463" t="str">
        <f t="shared" si="142"/>
        <v>Zone_Entry</v>
      </c>
      <c r="AG1463" t="str">
        <f t="shared" si="143"/>
        <v>ZoneEntry-PassMiss/Misplay</v>
      </c>
      <c r="AN1463" t="str">
        <f t="shared" si="145"/>
        <v>Defensive</v>
      </c>
      <c r="BD1463" s="23"/>
      <c r="BF1463" s="21"/>
    </row>
    <row r="1464" spans="1:58" x14ac:dyDescent="0.2">
      <c r="A1464">
        <v>737</v>
      </c>
      <c r="E1464" s="5" t="s">
        <v>898</v>
      </c>
      <c r="F1464" s="5" t="s">
        <v>836</v>
      </c>
      <c r="I1464" t="s">
        <v>840</v>
      </c>
      <c r="J1464">
        <v>19</v>
      </c>
      <c r="K1464">
        <v>1</v>
      </c>
      <c r="L1464" t="s">
        <v>401</v>
      </c>
      <c r="M1464" t="s">
        <v>15</v>
      </c>
      <c r="N1464" t="s">
        <v>681</v>
      </c>
      <c r="P1464" t="s">
        <v>688</v>
      </c>
      <c r="Q1464" t="s">
        <v>786</v>
      </c>
      <c r="S1464" t="s">
        <v>688</v>
      </c>
      <c r="T1464">
        <v>1</v>
      </c>
      <c r="U1464" s="8">
        <f t="shared" si="141"/>
        <v>2</v>
      </c>
      <c r="AD1464" t="str">
        <f t="shared" si="140"/>
        <v>e</v>
      </c>
      <c r="AE1464" t="str">
        <f t="shared" si="144"/>
        <v>Possession</v>
      </c>
      <c r="AF1464" t="str">
        <f t="shared" si="142"/>
        <v>PuckRecovery</v>
      </c>
      <c r="AG1464" t="str">
        <f t="shared" si="143"/>
        <v/>
      </c>
      <c r="AN1464" t="str">
        <f t="shared" si="145"/>
        <v>Offensive</v>
      </c>
      <c r="BD1464" s="23"/>
      <c r="BF1464" s="21"/>
    </row>
    <row r="1465" spans="1:58" x14ac:dyDescent="0.2">
      <c r="A1465">
        <v>737</v>
      </c>
      <c r="J1465">
        <v>91</v>
      </c>
      <c r="T1465">
        <v>1</v>
      </c>
      <c r="U1465" s="8">
        <f t="shared" si="141"/>
        <v>2</v>
      </c>
      <c r="AD1465" t="str">
        <f t="shared" si="140"/>
        <v>o</v>
      </c>
      <c r="AE1465" t="str">
        <f t="shared" si="144"/>
        <v>Possession</v>
      </c>
      <c r="AF1465" t="str">
        <f t="shared" si="142"/>
        <v>PuckRecovery</v>
      </c>
      <c r="AG1465" t="str">
        <f t="shared" si="143"/>
        <v/>
      </c>
      <c r="AN1465" t="str">
        <f t="shared" si="145"/>
        <v>Defensive</v>
      </c>
      <c r="BD1465" s="23"/>
      <c r="BF1465" s="21"/>
    </row>
    <row r="1466" spans="1:58" x14ac:dyDescent="0.2">
      <c r="A1466">
        <v>738</v>
      </c>
      <c r="E1466" s="5" t="s">
        <v>898</v>
      </c>
      <c r="F1466" s="5" t="s">
        <v>836</v>
      </c>
      <c r="I1466" t="s">
        <v>840</v>
      </c>
      <c r="J1466">
        <v>19</v>
      </c>
      <c r="K1466">
        <v>1</v>
      </c>
      <c r="L1466" t="s">
        <v>401</v>
      </c>
      <c r="M1466" t="s">
        <v>10</v>
      </c>
      <c r="N1466" t="s">
        <v>190</v>
      </c>
      <c r="O1466" t="s">
        <v>424</v>
      </c>
      <c r="P1466" t="s">
        <v>688</v>
      </c>
      <c r="Q1466" t="s">
        <v>664</v>
      </c>
      <c r="S1466" t="s">
        <v>688</v>
      </c>
      <c r="T1466">
        <v>1</v>
      </c>
      <c r="U1466" s="8">
        <f t="shared" si="141"/>
        <v>2</v>
      </c>
      <c r="AD1466" t="str">
        <f t="shared" si="140"/>
        <v>e</v>
      </c>
      <c r="AE1466" t="str">
        <f t="shared" si="144"/>
        <v>Turnover</v>
      </c>
      <c r="AF1466" t="str">
        <f t="shared" si="142"/>
        <v>Turnover_Giveaway</v>
      </c>
      <c r="AG1466" t="str">
        <f t="shared" si="143"/>
        <v>Giveaway-DumpInZone</v>
      </c>
      <c r="AN1466" t="str">
        <f t="shared" si="145"/>
        <v>Offensive</v>
      </c>
      <c r="BD1466" s="23"/>
      <c r="BF1466" s="21"/>
    </row>
    <row r="1467" spans="1:58" x14ac:dyDescent="0.2">
      <c r="A1467">
        <v>738</v>
      </c>
      <c r="J1467">
        <v>91</v>
      </c>
      <c r="T1467">
        <v>1</v>
      </c>
      <c r="U1467" s="8">
        <f t="shared" si="141"/>
        <v>2</v>
      </c>
      <c r="AD1467" t="str">
        <f t="shared" si="140"/>
        <v>o</v>
      </c>
      <c r="AE1467" t="str">
        <f t="shared" si="144"/>
        <v>Turnover</v>
      </c>
      <c r="AF1467" t="str">
        <f t="shared" si="142"/>
        <v>Turnover_Giveaway</v>
      </c>
      <c r="AG1467" t="str">
        <f t="shared" si="143"/>
        <v>Giveaway-DumpInZone</v>
      </c>
      <c r="AN1467" t="str">
        <f t="shared" si="145"/>
        <v>Defensive</v>
      </c>
      <c r="BD1467" s="23"/>
      <c r="BF1467" s="21"/>
    </row>
    <row r="1468" spans="1:58" x14ac:dyDescent="0.2">
      <c r="A1468">
        <v>739</v>
      </c>
      <c r="E1468" s="5" t="s">
        <v>898</v>
      </c>
      <c r="F1468" s="5" t="s">
        <v>898</v>
      </c>
      <c r="G1468" s="5" t="s">
        <v>898</v>
      </c>
      <c r="H1468" s="7" t="s">
        <v>899</v>
      </c>
      <c r="I1468" t="s">
        <v>835</v>
      </c>
      <c r="J1468">
        <v>52</v>
      </c>
      <c r="K1468">
        <v>1</v>
      </c>
      <c r="L1468" t="s">
        <v>845</v>
      </c>
      <c r="M1468" t="s">
        <v>15</v>
      </c>
      <c r="N1468" t="s">
        <v>680</v>
      </c>
      <c r="P1468" t="s">
        <v>688</v>
      </c>
      <c r="Q1468" t="s">
        <v>698</v>
      </c>
      <c r="S1468" t="s">
        <v>688</v>
      </c>
      <c r="U1468" s="8">
        <f t="shared" si="141"/>
        <v>2</v>
      </c>
      <c r="AD1468" t="str">
        <f t="shared" si="140"/>
        <v>e</v>
      </c>
      <c r="AE1468" t="str">
        <f t="shared" si="144"/>
        <v>Possession</v>
      </c>
      <c r="AF1468" t="str">
        <f t="shared" si="142"/>
        <v>PuckRetrieval</v>
      </c>
      <c r="AG1468" t="str">
        <f t="shared" si="143"/>
        <v/>
      </c>
      <c r="AN1468" t="str">
        <f t="shared" si="145"/>
        <v>Offensive</v>
      </c>
      <c r="BD1468" s="23"/>
      <c r="BF1468" s="21"/>
    </row>
    <row r="1469" spans="1:58" x14ac:dyDescent="0.2">
      <c r="A1469">
        <v>740</v>
      </c>
      <c r="B1469">
        <v>122</v>
      </c>
      <c r="E1469" s="5" t="s">
        <v>898</v>
      </c>
      <c r="F1469" s="5" t="s">
        <v>899</v>
      </c>
      <c r="I1469" t="s">
        <v>835</v>
      </c>
      <c r="J1469">
        <v>52</v>
      </c>
      <c r="K1469">
        <v>1</v>
      </c>
      <c r="L1469" t="s">
        <v>845</v>
      </c>
      <c r="M1469" t="s">
        <v>8</v>
      </c>
      <c r="N1469" t="s">
        <v>199</v>
      </c>
      <c r="O1469" t="s">
        <v>67</v>
      </c>
      <c r="P1469" t="s">
        <v>688</v>
      </c>
      <c r="Q1469" t="s">
        <v>706</v>
      </c>
      <c r="S1469" t="s">
        <v>688</v>
      </c>
      <c r="U1469" s="8">
        <f t="shared" si="141"/>
        <v>2</v>
      </c>
      <c r="AD1469" t="str">
        <f t="shared" si="140"/>
        <v>e</v>
      </c>
      <c r="AE1469" t="str">
        <f t="shared" si="144"/>
        <v>Pass</v>
      </c>
      <c r="AF1469" t="str">
        <f t="shared" si="142"/>
        <v>Pass_Missed</v>
      </c>
      <c r="AG1469" t="str">
        <f t="shared" si="143"/>
        <v>Pass-Stretch</v>
      </c>
      <c r="AN1469" t="str">
        <f t="shared" si="145"/>
        <v>Offensive</v>
      </c>
      <c r="BD1469" s="23"/>
      <c r="BF1469" s="21"/>
    </row>
    <row r="1470" spans="1:58" x14ac:dyDescent="0.2">
      <c r="A1470">
        <v>740</v>
      </c>
      <c r="B1470">
        <v>122</v>
      </c>
      <c r="J1470">
        <v>24</v>
      </c>
      <c r="K1470">
        <v>1</v>
      </c>
      <c r="U1470" s="8">
        <f t="shared" si="141"/>
        <v>2</v>
      </c>
      <c r="AD1470" t="str">
        <f t="shared" si="140"/>
        <v>e</v>
      </c>
      <c r="AE1470" t="str">
        <f t="shared" si="144"/>
        <v>Pass</v>
      </c>
      <c r="AF1470" t="str">
        <f t="shared" si="142"/>
        <v>Pass_Missed</v>
      </c>
      <c r="AG1470" t="str">
        <f t="shared" si="143"/>
        <v>Pass-Stretch</v>
      </c>
      <c r="AN1470" t="str">
        <f t="shared" si="145"/>
        <v>Offensive</v>
      </c>
      <c r="BD1470" s="23"/>
      <c r="BF1470" s="21"/>
    </row>
    <row r="1471" spans="1:58" x14ac:dyDescent="0.2">
      <c r="A1471">
        <v>740</v>
      </c>
      <c r="B1471">
        <v>122</v>
      </c>
      <c r="J1471">
        <v>46</v>
      </c>
      <c r="U1471" s="8">
        <f t="shared" si="141"/>
        <v>2</v>
      </c>
      <c r="AD1471" t="str">
        <f t="shared" si="140"/>
        <v>o</v>
      </c>
      <c r="AE1471" t="str">
        <f t="shared" si="144"/>
        <v>Pass</v>
      </c>
      <c r="AF1471" t="str">
        <f t="shared" si="142"/>
        <v>Pass_Missed</v>
      </c>
      <c r="AG1471" t="str">
        <f t="shared" si="143"/>
        <v>Pass-Stretch</v>
      </c>
      <c r="AN1471" t="str">
        <f t="shared" si="145"/>
        <v>Defensive</v>
      </c>
      <c r="BD1471" s="23"/>
      <c r="BF1471" s="21"/>
    </row>
    <row r="1472" spans="1:58" x14ac:dyDescent="0.2">
      <c r="A1472">
        <v>741</v>
      </c>
      <c r="B1472">
        <v>122</v>
      </c>
      <c r="E1472" s="5" t="s">
        <v>898</v>
      </c>
      <c r="F1472" s="5" t="s">
        <v>902</v>
      </c>
      <c r="I1472" t="s">
        <v>835</v>
      </c>
      <c r="J1472">
        <v>52</v>
      </c>
      <c r="K1472">
        <v>1</v>
      </c>
      <c r="L1472" t="s">
        <v>845</v>
      </c>
      <c r="M1472" t="s">
        <v>13</v>
      </c>
      <c r="N1472" t="s">
        <v>204</v>
      </c>
      <c r="O1472" t="s">
        <v>108</v>
      </c>
      <c r="U1472" s="8">
        <f t="shared" si="141"/>
        <v>2</v>
      </c>
      <c r="AD1472" t="str">
        <f t="shared" si="140"/>
        <v>e</v>
      </c>
      <c r="AE1472" t="str">
        <f t="shared" si="144"/>
        <v>Stoppage</v>
      </c>
      <c r="AF1472" t="str">
        <f t="shared" si="142"/>
        <v>Stoppage_Play</v>
      </c>
      <c r="AG1472" t="str">
        <f t="shared" si="143"/>
        <v>Stoppage-Icing</v>
      </c>
      <c r="AN1472" t="str">
        <f t="shared" si="145"/>
        <v/>
      </c>
      <c r="BD1472" s="23"/>
      <c r="BF1472" s="21"/>
    </row>
    <row r="1473" spans="1:58" x14ac:dyDescent="0.2">
      <c r="A1473">
        <v>742</v>
      </c>
      <c r="B1473">
        <v>122</v>
      </c>
      <c r="E1473" s="5" t="s">
        <v>898</v>
      </c>
      <c r="F1473" s="5" t="s">
        <v>902</v>
      </c>
      <c r="G1473" s="5" t="s">
        <v>866</v>
      </c>
      <c r="H1473" s="7" t="s">
        <v>843</v>
      </c>
      <c r="I1473" t="s">
        <v>835</v>
      </c>
      <c r="J1473">
        <v>52</v>
      </c>
      <c r="K1473">
        <v>1</v>
      </c>
      <c r="L1473" t="s">
        <v>845</v>
      </c>
      <c r="M1473" t="s">
        <v>262</v>
      </c>
      <c r="U1473" s="8">
        <f t="shared" si="141"/>
        <v>2</v>
      </c>
      <c r="AD1473" t="str">
        <f t="shared" si="140"/>
        <v>e</v>
      </c>
      <c r="AE1473" t="str">
        <f t="shared" si="144"/>
        <v>DeadIce</v>
      </c>
      <c r="AF1473" t="str">
        <f t="shared" si="142"/>
        <v/>
      </c>
      <c r="AG1473" t="str">
        <f t="shared" si="143"/>
        <v/>
      </c>
      <c r="AN1473" t="str">
        <f t="shared" si="145"/>
        <v/>
      </c>
      <c r="BD1473" s="23"/>
      <c r="BF1473" s="21"/>
    </row>
    <row r="1474" spans="1:58" x14ac:dyDescent="0.2">
      <c r="A1474">
        <v>743</v>
      </c>
      <c r="E1474" s="5" t="s">
        <v>866</v>
      </c>
      <c r="F1474" s="5" t="s">
        <v>843</v>
      </c>
      <c r="I1474" t="s">
        <v>840</v>
      </c>
      <c r="J1474">
        <v>46</v>
      </c>
      <c r="K1474">
        <v>1</v>
      </c>
      <c r="L1474" t="s">
        <v>845</v>
      </c>
      <c r="M1474" t="s">
        <v>6</v>
      </c>
      <c r="N1474" t="s">
        <v>255</v>
      </c>
      <c r="U1474" s="8">
        <f t="shared" si="141"/>
        <v>2</v>
      </c>
      <c r="AD1474" t="str">
        <f t="shared" ref="AD1474:AD1537" si="146">IF(K1474="x","",IF(K1474=1,"e","o"))</f>
        <v>e</v>
      </c>
      <c r="AE1474" t="str">
        <f t="shared" si="144"/>
        <v>Faceoff</v>
      </c>
      <c r="AF1474" t="str">
        <f t="shared" si="142"/>
        <v>Faceoff_AfterStoppage</v>
      </c>
      <c r="AG1474" t="str">
        <f t="shared" si="143"/>
        <v/>
      </c>
      <c r="AN1474" t="str">
        <f t="shared" si="145"/>
        <v>Offensive</v>
      </c>
      <c r="BD1474" s="23"/>
      <c r="BF1474" s="21"/>
    </row>
    <row r="1475" spans="1:58" x14ac:dyDescent="0.2">
      <c r="A1475">
        <v>743</v>
      </c>
      <c r="J1475">
        <v>92</v>
      </c>
      <c r="K1475">
        <v>1</v>
      </c>
      <c r="U1475" s="8">
        <f t="shared" ref="U1475:U1538" si="147">IF(M1475="Intermission",U1474+1,U1474)</f>
        <v>2</v>
      </c>
      <c r="AD1475" t="str">
        <f t="shared" si="146"/>
        <v>e</v>
      </c>
      <c r="AE1475" t="str">
        <f t="shared" si="144"/>
        <v>Faceoff</v>
      </c>
      <c r="AF1475" t="str">
        <f t="shared" ref="AF1475:AF1538" si="148">IF(N1475&lt;&gt;"",N1475,IF($A1475=$A1474,AF1474,""))</f>
        <v>Faceoff_AfterStoppage</v>
      </c>
      <c r="AG1475" t="str">
        <f t="shared" ref="AG1475:AG1538" si="149">IF(O1475&lt;&gt;"",O1475,IF($A1475=$A1474,AG1474,""))</f>
        <v/>
      </c>
      <c r="AN1475" t="str">
        <f t="shared" si="145"/>
        <v>Offensive</v>
      </c>
      <c r="BD1475" s="23"/>
      <c r="BF1475" s="21"/>
    </row>
    <row r="1476" spans="1:58" x14ac:dyDescent="0.2">
      <c r="A1476">
        <v>743</v>
      </c>
      <c r="J1476">
        <v>49</v>
      </c>
      <c r="U1476" s="8">
        <f t="shared" si="147"/>
        <v>2</v>
      </c>
      <c r="AD1476" t="str">
        <f t="shared" si="146"/>
        <v>o</v>
      </c>
      <c r="AE1476" t="str">
        <f t="shared" ref="AE1476:AE1539" si="150">IF(M1476&lt;&gt;"",M1476,IF($A1476=$A1475,AE1475,""))</f>
        <v>Faceoff</v>
      </c>
      <c r="AF1476" t="str">
        <f t="shared" si="148"/>
        <v>Faceoff_AfterStoppage</v>
      </c>
      <c r="AG1476" t="str">
        <f t="shared" si="149"/>
        <v/>
      </c>
      <c r="AN1476" t="str">
        <f t="shared" si="145"/>
        <v>Defensive</v>
      </c>
      <c r="BD1476" s="23"/>
      <c r="BF1476" s="21"/>
    </row>
    <row r="1477" spans="1:58" x14ac:dyDescent="0.2">
      <c r="A1477">
        <v>744</v>
      </c>
      <c r="E1477" s="5" t="s">
        <v>866</v>
      </c>
      <c r="F1477" s="5" t="s">
        <v>843</v>
      </c>
      <c r="G1477" s="5" t="s">
        <v>866</v>
      </c>
      <c r="H1477" s="7" t="s">
        <v>847</v>
      </c>
      <c r="I1477" s="5" t="s">
        <v>840</v>
      </c>
      <c r="J1477">
        <v>92</v>
      </c>
      <c r="K1477">
        <v>1</v>
      </c>
      <c r="L1477" s="5" t="s">
        <v>401</v>
      </c>
      <c r="M1477" t="s">
        <v>15</v>
      </c>
      <c r="Q1477" t="s">
        <v>661</v>
      </c>
      <c r="T1477">
        <v>1</v>
      </c>
      <c r="U1477" s="8">
        <f t="shared" si="147"/>
        <v>2</v>
      </c>
      <c r="AD1477" t="str">
        <f t="shared" si="146"/>
        <v>e</v>
      </c>
      <c r="AE1477" t="str">
        <f t="shared" si="150"/>
        <v>Possession</v>
      </c>
      <c r="AF1477" t="str">
        <f t="shared" si="148"/>
        <v/>
      </c>
      <c r="AG1477" t="str">
        <f t="shared" si="149"/>
        <v/>
      </c>
      <c r="AN1477" t="str">
        <f t="shared" si="145"/>
        <v>Offensive</v>
      </c>
      <c r="BD1477" s="23"/>
      <c r="BF1477" s="21"/>
    </row>
    <row r="1478" spans="1:58" x14ac:dyDescent="0.2">
      <c r="A1478">
        <v>744</v>
      </c>
      <c r="J1478">
        <v>61</v>
      </c>
      <c r="Q1478" t="s">
        <v>696</v>
      </c>
      <c r="T1478">
        <v>1</v>
      </c>
      <c r="U1478" s="8">
        <f t="shared" si="147"/>
        <v>2</v>
      </c>
      <c r="AD1478" t="str">
        <f t="shared" si="146"/>
        <v>o</v>
      </c>
      <c r="AE1478" t="str">
        <f t="shared" si="150"/>
        <v>Possession</v>
      </c>
      <c r="AF1478" t="str">
        <f t="shared" si="148"/>
        <v/>
      </c>
      <c r="AG1478" t="str">
        <f t="shared" si="149"/>
        <v/>
      </c>
      <c r="AN1478" t="str">
        <f t="shared" si="145"/>
        <v>Defensive</v>
      </c>
      <c r="BD1478" s="23"/>
      <c r="BF1478" s="21"/>
    </row>
    <row r="1479" spans="1:58" x14ac:dyDescent="0.2">
      <c r="A1479">
        <v>744</v>
      </c>
      <c r="J1479">
        <v>49</v>
      </c>
      <c r="Q1479" t="s">
        <v>696</v>
      </c>
      <c r="T1479">
        <v>1</v>
      </c>
      <c r="U1479" s="8">
        <f t="shared" si="147"/>
        <v>2</v>
      </c>
      <c r="AD1479" t="str">
        <f t="shared" si="146"/>
        <v>o</v>
      </c>
      <c r="AE1479" t="str">
        <f t="shared" si="150"/>
        <v>Possession</v>
      </c>
      <c r="AF1479" t="str">
        <f t="shared" si="148"/>
        <v/>
      </c>
      <c r="AG1479" t="str">
        <f t="shared" si="149"/>
        <v/>
      </c>
      <c r="AN1479" t="str">
        <f t="shared" si="145"/>
        <v>Defensive</v>
      </c>
      <c r="BD1479" s="23"/>
      <c r="BF1479" s="21"/>
    </row>
    <row r="1480" spans="1:58" x14ac:dyDescent="0.2">
      <c r="A1480">
        <v>745</v>
      </c>
      <c r="B1480">
        <v>123</v>
      </c>
      <c r="E1480" s="5" t="s">
        <v>866</v>
      </c>
      <c r="F1480" s="5" t="s">
        <v>847</v>
      </c>
      <c r="I1480" t="s">
        <v>840</v>
      </c>
      <c r="J1480">
        <v>92</v>
      </c>
      <c r="K1480">
        <v>1</v>
      </c>
      <c r="L1480" t="s">
        <v>401</v>
      </c>
      <c r="M1480" t="s">
        <v>8</v>
      </c>
      <c r="N1480" t="s">
        <v>189</v>
      </c>
      <c r="O1480" t="s">
        <v>70</v>
      </c>
      <c r="P1480" t="s">
        <v>689</v>
      </c>
      <c r="T1480">
        <v>1</v>
      </c>
      <c r="U1480" s="8">
        <f t="shared" si="147"/>
        <v>2</v>
      </c>
      <c r="AD1480" t="str">
        <f t="shared" si="146"/>
        <v>e</v>
      </c>
      <c r="AE1480" t="str">
        <f t="shared" si="150"/>
        <v>Pass</v>
      </c>
      <c r="AF1480" t="str">
        <f t="shared" si="148"/>
        <v>Pass_Completed</v>
      </c>
      <c r="AG1480" t="str">
        <f t="shared" si="149"/>
        <v>Pass-Forehand</v>
      </c>
      <c r="AN1480" t="str">
        <f t="shared" si="145"/>
        <v>Offensive</v>
      </c>
      <c r="BD1480" s="23"/>
      <c r="BF1480" s="21"/>
    </row>
    <row r="1481" spans="1:58" x14ac:dyDescent="0.2">
      <c r="A1481">
        <v>745</v>
      </c>
      <c r="B1481">
        <v>123</v>
      </c>
      <c r="J1481">
        <v>46</v>
      </c>
      <c r="K1481">
        <v>1</v>
      </c>
      <c r="U1481" s="8">
        <f t="shared" si="147"/>
        <v>2</v>
      </c>
      <c r="AD1481" t="str">
        <f t="shared" si="146"/>
        <v>e</v>
      </c>
      <c r="AE1481" t="str">
        <f t="shared" si="150"/>
        <v>Pass</v>
      </c>
      <c r="AF1481" t="str">
        <f t="shared" si="148"/>
        <v>Pass_Completed</v>
      </c>
      <c r="AG1481" t="str">
        <f t="shared" si="149"/>
        <v>Pass-Forehand</v>
      </c>
      <c r="AN1481" t="str">
        <f t="shared" ref="AN1481:AN1544" si="151">IF(AND(AD1481="e",OR(AE1481="Save",AF1481="Turnover_Takeaway",AF1481="Play_Defensive")),"Defensive",IF(AND(AD1481="o",OR(AE1481="Save",AF1481="Turnover_Takeaway",AF1481="Play_Defensive")),"Offensive",IF(OR(AE1481="Deadice",AE1481="Stoppage",AE1481="Intermission"),"",IF(AD1481="e","Offensive",IF(AD1481="o","Defensive","")))))</f>
        <v>Offensive</v>
      </c>
      <c r="BD1481" s="23"/>
      <c r="BF1481" s="21"/>
    </row>
    <row r="1482" spans="1:58" x14ac:dyDescent="0.2">
      <c r="A1482">
        <v>745</v>
      </c>
      <c r="B1482">
        <v>123</v>
      </c>
      <c r="J1482">
        <v>49</v>
      </c>
      <c r="T1482">
        <v>1</v>
      </c>
      <c r="U1482" s="8">
        <f t="shared" si="147"/>
        <v>2</v>
      </c>
      <c r="AD1482" t="str">
        <f t="shared" si="146"/>
        <v>o</v>
      </c>
      <c r="AE1482" t="str">
        <f t="shared" si="150"/>
        <v>Pass</v>
      </c>
      <c r="AF1482" t="str">
        <f t="shared" si="148"/>
        <v>Pass_Completed</v>
      </c>
      <c r="AG1482" t="str">
        <f t="shared" si="149"/>
        <v>Pass-Forehand</v>
      </c>
      <c r="AN1482" t="str">
        <f t="shared" si="151"/>
        <v>Defensive</v>
      </c>
      <c r="BD1482" s="23"/>
      <c r="BF1482" s="21"/>
    </row>
    <row r="1483" spans="1:58" x14ac:dyDescent="0.2">
      <c r="A1483">
        <v>746</v>
      </c>
      <c r="B1483">
        <v>123</v>
      </c>
      <c r="E1483" s="5" t="s">
        <v>866</v>
      </c>
      <c r="F1483" s="5" t="s">
        <v>888</v>
      </c>
      <c r="I1483" t="s">
        <v>840</v>
      </c>
      <c r="J1483">
        <v>46</v>
      </c>
      <c r="K1483">
        <v>1</v>
      </c>
      <c r="L1483" t="s">
        <v>401</v>
      </c>
      <c r="M1483" t="s">
        <v>7</v>
      </c>
      <c r="N1483" t="s">
        <v>222</v>
      </c>
      <c r="O1483" t="s">
        <v>53</v>
      </c>
      <c r="P1483" t="s">
        <v>689</v>
      </c>
      <c r="T1483">
        <v>1</v>
      </c>
      <c r="U1483" s="8">
        <f t="shared" si="147"/>
        <v>2</v>
      </c>
      <c r="AD1483" t="str">
        <f t="shared" si="146"/>
        <v>e</v>
      </c>
      <c r="AE1483" t="str">
        <f t="shared" si="150"/>
        <v>Shot</v>
      </c>
      <c r="AF1483" t="str">
        <f t="shared" si="148"/>
        <v>Shot_OnNetSaved</v>
      </c>
      <c r="AG1483" t="str">
        <f t="shared" si="149"/>
        <v>Shot-Wrist</v>
      </c>
      <c r="AN1483" t="str">
        <f t="shared" si="151"/>
        <v>Offensive</v>
      </c>
      <c r="BD1483" s="23"/>
      <c r="BF1483" s="21"/>
    </row>
    <row r="1484" spans="1:58" x14ac:dyDescent="0.2">
      <c r="A1484">
        <v>746</v>
      </c>
      <c r="B1484">
        <v>123</v>
      </c>
      <c r="J1484">
        <v>39</v>
      </c>
      <c r="U1484" s="8">
        <f t="shared" si="147"/>
        <v>2</v>
      </c>
      <c r="AD1484" t="str">
        <f t="shared" si="146"/>
        <v>o</v>
      </c>
      <c r="AE1484" t="str">
        <f t="shared" si="150"/>
        <v>Shot</v>
      </c>
      <c r="AF1484" t="str">
        <f t="shared" si="148"/>
        <v>Shot_OnNetSaved</v>
      </c>
      <c r="AG1484" t="str">
        <f t="shared" si="149"/>
        <v>Shot-Wrist</v>
      </c>
      <c r="AN1484" t="str">
        <f t="shared" si="151"/>
        <v>Defensive</v>
      </c>
      <c r="BD1484" s="23"/>
      <c r="BF1484" s="21"/>
    </row>
    <row r="1485" spans="1:58" x14ac:dyDescent="0.2">
      <c r="A1485">
        <v>746</v>
      </c>
      <c r="B1485">
        <v>123</v>
      </c>
      <c r="J1485">
        <v>52</v>
      </c>
      <c r="Q1485" t="s">
        <v>696</v>
      </c>
      <c r="T1485">
        <v>1</v>
      </c>
      <c r="U1485" s="8">
        <f t="shared" si="147"/>
        <v>2</v>
      </c>
      <c r="AD1485" t="str">
        <f t="shared" si="146"/>
        <v>o</v>
      </c>
      <c r="AE1485" t="str">
        <f t="shared" si="150"/>
        <v>Shot</v>
      </c>
      <c r="AF1485" t="str">
        <f t="shared" si="148"/>
        <v>Shot_OnNetSaved</v>
      </c>
      <c r="AG1485" t="str">
        <f t="shared" si="149"/>
        <v>Shot-Wrist</v>
      </c>
      <c r="AN1485" t="str">
        <f t="shared" si="151"/>
        <v>Defensive</v>
      </c>
      <c r="BD1485" s="23"/>
      <c r="BF1485" s="21"/>
    </row>
    <row r="1486" spans="1:58" x14ac:dyDescent="0.2">
      <c r="A1486">
        <v>747</v>
      </c>
      <c r="B1486">
        <v>123</v>
      </c>
      <c r="I1486" t="s">
        <v>835</v>
      </c>
      <c r="J1486">
        <v>39</v>
      </c>
      <c r="K1486">
        <v>1</v>
      </c>
      <c r="L1486" t="s">
        <v>845</v>
      </c>
      <c r="M1486" t="s">
        <v>17</v>
      </c>
      <c r="N1486" t="s">
        <v>196</v>
      </c>
      <c r="O1486" t="s">
        <v>102</v>
      </c>
      <c r="U1486" s="8">
        <f t="shared" si="147"/>
        <v>2</v>
      </c>
      <c r="AD1486" t="str">
        <f t="shared" si="146"/>
        <v>e</v>
      </c>
      <c r="AE1486" t="str">
        <f t="shared" si="150"/>
        <v>Save</v>
      </c>
      <c r="AF1486" t="str">
        <f t="shared" si="148"/>
        <v>Save_Rebound</v>
      </c>
      <c r="AG1486" t="str">
        <f t="shared" si="149"/>
        <v>Save-Butterfly</v>
      </c>
      <c r="AN1486" t="str">
        <f t="shared" si="151"/>
        <v>Defensive</v>
      </c>
      <c r="BD1486" s="23"/>
      <c r="BF1486" s="21"/>
    </row>
    <row r="1487" spans="1:58" x14ac:dyDescent="0.2">
      <c r="A1487">
        <v>747</v>
      </c>
      <c r="B1487">
        <v>123</v>
      </c>
      <c r="J1487">
        <v>52</v>
      </c>
      <c r="K1487">
        <v>1</v>
      </c>
      <c r="T1487">
        <v>1</v>
      </c>
      <c r="U1487" s="8">
        <f t="shared" si="147"/>
        <v>2</v>
      </c>
      <c r="AD1487" t="str">
        <f t="shared" si="146"/>
        <v>e</v>
      </c>
      <c r="AE1487" t="str">
        <f t="shared" si="150"/>
        <v>Save</v>
      </c>
      <c r="AF1487" t="str">
        <f t="shared" si="148"/>
        <v>Save_Rebound</v>
      </c>
      <c r="AG1487" t="str">
        <f t="shared" si="149"/>
        <v>Save-Butterfly</v>
      </c>
      <c r="AN1487" t="str">
        <f t="shared" si="151"/>
        <v>Defensive</v>
      </c>
      <c r="BD1487" s="23"/>
      <c r="BF1487" s="21"/>
    </row>
    <row r="1488" spans="1:58" x14ac:dyDescent="0.2">
      <c r="A1488">
        <v>747</v>
      </c>
      <c r="B1488">
        <v>123</v>
      </c>
      <c r="J1488">
        <v>46</v>
      </c>
      <c r="T1488">
        <v>1</v>
      </c>
      <c r="U1488" s="8">
        <f t="shared" si="147"/>
        <v>2</v>
      </c>
      <c r="AD1488" t="str">
        <f t="shared" si="146"/>
        <v>o</v>
      </c>
      <c r="AE1488" t="str">
        <f t="shared" si="150"/>
        <v>Save</v>
      </c>
      <c r="AF1488" t="str">
        <f t="shared" si="148"/>
        <v>Save_Rebound</v>
      </c>
      <c r="AG1488" t="str">
        <f t="shared" si="149"/>
        <v>Save-Butterfly</v>
      </c>
      <c r="AN1488" t="str">
        <f t="shared" si="151"/>
        <v>Offensive</v>
      </c>
      <c r="BD1488" s="23"/>
      <c r="BF1488" s="21"/>
    </row>
    <row r="1489" spans="1:58" x14ac:dyDescent="0.2">
      <c r="A1489">
        <v>748</v>
      </c>
      <c r="B1489">
        <v>123</v>
      </c>
      <c r="I1489" t="s">
        <v>835</v>
      </c>
      <c r="J1489">
        <v>39</v>
      </c>
      <c r="K1489">
        <v>1</v>
      </c>
      <c r="L1489" t="s">
        <v>845</v>
      </c>
      <c r="M1489" t="s">
        <v>250</v>
      </c>
      <c r="N1489" t="s">
        <v>252</v>
      </c>
      <c r="U1489" s="8">
        <f t="shared" si="147"/>
        <v>2</v>
      </c>
      <c r="AD1489" t="str">
        <f t="shared" si="146"/>
        <v>e</v>
      </c>
      <c r="AE1489" t="str">
        <f t="shared" si="150"/>
        <v>Rebound</v>
      </c>
      <c r="AF1489" t="str">
        <f t="shared" si="148"/>
        <v>Rebound_OppTeamRecovered</v>
      </c>
      <c r="AG1489" t="str">
        <f t="shared" si="149"/>
        <v/>
      </c>
      <c r="AN1489" t="str">
        <f t="shared" si="151"/>
        <v>Offensive</v>
      </c>
      <c r="BD1489" s="23"/>
      <c r="BF1489" s="21"/>
    </row>
    <row r="1490" spans="1:58" x14ac:dyDescent="0.2">
      <c r="A1490">
        <v>749</v>
      </c>
      <c r="E1490" s="5" t="s">
        <v>866</v>
      </c>
      <c r="F1490" s="5" t="s">
        <v>878</v>
      </c>
      <c r="I1490" t="s">
        <v>840</v>
      </c>
      <c r="J1490">
        <v>92</v>
      </c>
      <c r="K1490">
        <v>1</v>
      </c>
      <c r="L1490" t="s">
        <v>401</v>
      </c>
      <c r="M1490" t="s">
        <v>15</v>
      </c>
      <c r="N1490" t="s">
        <v>681</v>
      </c>
      <c r="P1490" t="s">
        <v>688</v>
      </c>
      <c r="Q1490" t="s">
        <v>747</v>
      </c>
      <c r="S1490" t="s">
        <v>688</v>
      </c>
      <c r="U1490" s="8">
        <f t="shared" si="147"/>
        <v>2</v>
      </c>
      <c r="AD1490" t="str">
        <f t="shared" si="146"/>
        <v>e</v>
      </c>
      <c r="AE1490" t="str">
        <f t="shared" si="150"/>
        <v>Possession</v>
      </c>
      <c r="AF1490" t="str">
        <f t="shared" si="148"/>
        <v>PuckRecovery</v>
      </c>
      <c r="AG1490" t="str">
        <f t="shared" si="149"/>
        <v/>
      </c>
      <c r="AN1490" t="str">
        <f t="shared" si="151"/>
        <v>Offensive</v>
      </c>
      <c r="BD1490" s="23"/>
      <c r="BF1490" s="21"/>
    </row>
    <row r="1491" spans="1:58" x14ac:dyDescent="0.2">
      <c r="A1491">
        <v>749</v>
      </c>
      <c r="J1491">
        <v>46</v>
      </c>
      <c r="K1491">
        <v>1</v>
      </c>
      <c r="U1491" s="8">
        <f t="shared" si="147"/>
        <v>2</v>
      </c>
      <c r="AD1491" t="str">
        <f t="shared" si="146"/>
        <v>e</v>
      </c>
      <c r="AE1491" t="str">
        <f t="shared" si="150"/>
        <v>Possession</v>
      </c>
      <c r="AF1491" t="str">
        <f t="shared" si="148"/>
        <v>PuckRecovery</v>
      </c>
      <c r="AG1491" t="str">
        <f t="shared" si="149"/>
        <v/>
      </c>
      <c r="AN1491" t="str">
        <f t="shared" si="151"/>
        <v>Offensive</v>
      </c>
      <c r="BD1491" s="23"/>
      <c r="BF1491" s="21"/>
    </row>
    <row r="1492" spans="1:58" x14ac:dyDescent="0.2">
      <c r="A1492">
        <v>749</v>
      </c>
      <c r="J1492">
        <v>91</v>
      </c>
      <c r="U1492" s="8">
        <f t="shared" si="147"/>
        <v>2</v>
      </c>
      <c r="AD1492" t="str">
        <f t="shared" si="146"/>
        <v>o</v>
      </c>
      <c r="AE1492" t="str">
        <f t="shared" si="150"/>
        <v>Possession</v>
      </c>
      <c r="AF1492" t="str">
        <f t="shared" si="148"/>
        <v>PuckRecovery</v>
      </c>
      <c r="AG1492" t="str">
        <f t="shared" si="149"/>
        <v/>
      </c>
      <c r="AN1492" t="str">
        <f t="shared" si="151"/>
        <v>Defensive</v>
      </c>
      <c r="BD1492" s="23"/>
      <c r="BF1492" s="21"/>
    </row>
    <row r="1493" spans="1:58" x14ac:dyDescent="0.2">
      <c r="A1493">
        <v>749</v>
      </c>
      <c r="J1493">
        <v>52</v>
      </c>
      <c r="U1493" s="8">
        <f t="shared" si="147"/>
        <v>2</v>
      </c>
      <c r="AD1493" t="str">
        <f t="shared" si="146"/>
        <v>o</v>
      </c>
      <c r="AE1493" t="str">
        <f t="shared" si="150"/>
        <v>Possession</v>
      </c>
      <c r="AF1493" t="str">
        <f t="shared" si="148"/>
        <v>PuckRecovery</v>
      </c>
      <c r="AG1493" t="str">
        <f t="shared" si="149"/>
        <v/>
      </c>
      <c r="AN1493" t="str">
        <f t="shared" si="151"/>
        <v>Defensive</v>
      </c>
      <c r="BD1493" s="23"/>
      <c r="BF1493" s="21"/>
    </row>
    <row r="1494" spans="1:58" x14ac:dyDescent="0.2">
      <c r="A1494">
        <v>749</v>
      </c>
      <c r="J1494">
        <v>49</v>
      </c>
      <c r="U1494" s="8">
        <f t="shared" si="147"/>
        <v>2</v>
      </c>
      <c r="AD1494" t="str">
        <f t="shared" si="146"/>
        <v>o</v>
      </c>
      <c r="AE1494" t="str">
        <f t="shared" si="150"/>
        <v>Possession</v>
      </c>
      <c r="AF1494" t="str">
        <f t="shared" si="148"/>
        <v>PuckRecovery</v>
      </c>
      <c r="AG1494" t="str">
        <f t="shared" si="149"/>
        <v/>
      </c>
      <c r="AN1494" t="str">
        <f t="shared" si="151"/>
        <v>Defensive</v>
      </c>
      <c r="BD1494" s="23"/>
      <c r="BF1494" s="21"/>
    </row>
    <row r="1495" spans="1:58" x14ac:dyDescent="0.2">
      <c r="A1495">
        <v>750</v>
      </c>
      <c r="B1495">
        <v>124</v>
      </c>
      <c r="E1495" s="5" t="s">
        <v>866</v>
      </c>
      <c r="F1495" s="5" t="s">
        <v>849</v>
      </c>
      <c r="I1495" t="s">
        <v>840</v>
      </c>
      <c r="J1495">
        <v>92</v>
      </c>
      <c r="K1495">
        <v>1</v>
      </c>
      <c r="L1495" t="s">
        <v>401</v>
      </c>
      <c r="M1495" t="s">
        <v>7</v>
      </c>
      <c r="N1495" t="s">
        <v>198</v>
      </c>
      <c r="O1495" t="s">
        <v>58</v>
      </c>
      <c r="P1495" t="s">
        <v>688</v>
      </c>
      <c r="U1495" s="8">
        <f t="shared" si="147"/>
        <v>2</v>
      </c>
      <c r="AD1495" t="str">
        <f t="shared" si="146"/>
        <v>e</v>
      </c>
      <c r="AE1495" t="str">
        <f t="shared" si="150"/>
        <v>Shot</v>
      </c>
      <c r="AF1495" t="str">
        <f t="shared" si="148"/>
        <v>Shot_Missed</v>
      </c>
      <c r="AG1495" t="str">
        <f t="shared" si="149"/>
        <v>Shot-WrapAround</v>
      </c>
      <c r="AN1495" t="str">
        <f t="shared" si="151"/>
        <v>Offensive</v>
      </c>
      <c r="BD1495" s="23"/>
      <c r="BF1495" s="21"/>
    </row>
    <row r="1496" spans="1:58" x14ac:dyDescent="0.2">
      <c r="A1496">
        <v>751</v>
      </c>
      <c r="B1496">
        <v>124</v>
      </c>
      <c r="E1496" s="5" t="s">
        <v>866</v>
      </c>
      <c r="F1496" s="5" t="s">
        <v>849</v>
      </c>
      <c r="I1496" t="s">
        <v>840</v>
      </c>
      <c r="J1496">
        <v>92</v>
      </c>
      <c r="K1496">
        <v>1</v>
      </c>
      <c r="L1496" t="s">
        <v>401</v>
      </c>
      <c r="M1496" t="s">
        <v>10</v>
      </c>
      <c r="N1496" t="s">
        <v>190</v>
      </c>
      <c r="O1496" t="s">
        <v>79</v>
      </c>
      <c r="P1496" t="s">
        <v>688</v>
      </c>
      <c r="U1496" s="8">
        <f t="shared" si="147"/>
        <v>2</v>
      </c>
      <c r="AD1496" t="str">
        <f t="shared" si="146"/>
        <v>e</v>
      </c>
      <c r="AE1496" t="str">
        <f t="shared" si="150"/>
        <v>Turnover</v>
      </c>
      <c r="AF1496" t="str">
        <f t="shared" si="148"/>
        <v>Turnover_Giveaway</v>
      </c>
      <c r="AG1496" t="str">
        <f t="shared" si="149"/>
        <v>Giveaway-ShotMissed</v>
      </c>
      <c r="AN1496" t="str">
        <f t="shared" si="151"/>
        <v>Offensive</v>
      </c>
      <c r="BD1496" s="23"/>
      <c r="BF1496" s="21"/>
    </row>
    <row r="1497" spans="1:58" x14ac:dyDescent="0.2">
      <c r="A1497">
        <v>752</v>
      </c>
      <c r="E1497" s="5" t="s">
        <v>866</v>
      </c>
      <c r="F1497" s="5" t="s">
        <v>881</v>
      </c>
      <c r="I1497" t="s">
        <v>835</v>
      </c>
      <c r="J1497">
        <v>61</v>
      </c>
      <c r="K1497">
        <v>1</v>
      </c>
      <c r="L1497" t="s">
        <v>845</v>
      </c>
      <c r="M1497" t="s">
        <v>15</v>
      </c>
      <c r="N1497" t="s">
        <v>680</v>
      </c>
      <c r="P1497" t="s">
        <v>689</v>
      </c>
      <c r="Q1497" t="s">
        <v>666</v>
      </c>
      <c r="S1497" t="s">
        <v>689</v>
      </c>
      <c r="U1497" s="8">
        <f t="shared" si="147"/>
        <v>2</v>
      </c>
      <c r="AD1497" t="str">
        <f t="shared" si="146"/>
        <v>e</v>
      </c>
      <c r="AE1497" t="str">
        <f t="shared" si="150"/>
        <v>Possession</v>
      </c>
      <c r="AF1497" t="str">
        <f t="shared" si="148"/>
        <v>PuckRetrieval</v>
      </c>
      <c r="AG1497" t="str">
        <f t="shared" si="149"/>
        <v/>
      </c>
      <c r="AN1497" t="str">
        <f t="shared" si="151"/>
        <v>Offensive</v>
      </c>
      <c r="BD1497" s="23"/>
      <c r="BF1497" s="21"/>
    </row>
    <row r="1498" spans="1:58" x14ac:dyDescent="0.2">
      <c r="A1498">
        <v>753</v>
      </c>
      <c r="B1498">
        <v>125</v>
      </c>
      <c r="E1498" s="5" t="s">
        <v>866</v>
      </c>
      <c r="F1498" s="5" t="s">
        <v>850</v>
      </c>
      <c r="I1498" t="s">
        <v>835</v>
      </c>
      <c r="J1498">
        <v>61</v>
      </c>
      <c r="K1498">
        <v>1</v>
      </c>
      <c r="L1498" t="s">
        <v>845</v>
      </c>
      <c r="M1498" t="s">
        <v>8</v>
      </c>
      <c r="N1498" t="s">
        <v>189</v>
      </c>
      <c r="O1498" t="s">
        <v>70</v>
      </c>
      <c r="P1498" t="s">
        <v>689</v>
      </c>
      <c r="Q1498" t="s">
        <v>749</v>
      </c>
      <c r="R1498" t="s">
        <v>662</v>
      </c>
      <c r="S1498" t="s">
        <v>689</v>
      </c>
      <c r="U1498" s="8">
        <f t="shared" si="147"/>
        <v>2</v>
      </c>
      <c r="AD1498" t="str">
        <f t="shared" si="146"/>
        <v>e</v>
      </c>
      <c r="AE1498" t="str">
        <f t="shared" si="150"/>
        <v>Pass</v>
      </c>
      <c r="AF1498" t="str">
        <f t="shared" si="148"/>
        <v>Pass_Completed</v>
      </c>
      <c r="AG1498" t="str">
        <f t="shared" si="149"/>
        <v>Pass-Forehand</v>
      </c>
      <c r="AN1498" t="str">
        <f t="shared" si="151"/>
        <v>Offensive</v>
      </c>
      <c r="BD1498" s="23"/>
      <c r="BF1498" s="21"/>
    </row>
    <row r="1499" spans="1:58" x14ac:dyDescent="0.2">
      <c r="A1499">
        <v>753</v>
      </c>
      <c r="B1499">
        <v>125</v>
      </c>
      <c r="J1499">
        <v>49</v>
      </c>
      <c r="K1499">
        <v>1</v>
      </c>
      <c r="U1499" s="8">
        <f t="shared" si="147"/>
        <v>2</v>
      </c>
      <c r="AD1499" t="str">
        <f t="shared" si="146"/>
        <v>e</v>
      </c>
      <c r="AE1499" t="str">
        <f t="shared" si="150"/>
        <v>Pass</v>
      </c>
      <c r="AF1499" t="str">
        <f t="shared" si="148"/>
        <v>Pass_Completed</v>
      </c>
      <c r="AG1499" t="str">
        <f t="shared" si="149"/>
        <v>Pass-Forehand</v>
      </c>
      <c r="AN1499" t="str">
        <f t="shared" si="151"/>
        <v>Offensive</v>
      </c>
      <c r="BD1499" s="23"/>
      <c r="BF1499" s="21"/>
    </row>
    <row r="1500" spans="1:58" x14ac:dyDescent="0.2">
      <c r="A1500">
        <v>754</v>
      </c>
      <c r="B1500">
        <v>125</v>
      </c>
      <c r="E1500" s="5" t="s">
        <v>866</v>
      </c>
      <c r="F1500" s="5" t="s">
        <v>850</v>
      </c>
      <c r="I1500" t="s">
        <v>835</v>
      </c>
      <c r="J1500">
        <v>61</v>
      </c>
      <c r="K1500">
        <v>1</v>
      </c>
      <c r="L1500" t="s">
        <v>845</v>
      </c>
      <c r="M1500" t="s">
        <v>257</v>
      </c>
      <c r="N1500" t="s">
        <v>201</v>
      </c>
      <c r="O1500" t="s">
        <v>91</v>
      </c>
      <c r="P1500" t="s">
        <v>689</v>
      </c>
      <c r="Q1500" t="s">
        <v>749</v>
      </c>
      <c r="R1500" t="s">
        <v>662</v>
      </c>
      <c r="S1500" t="s">
        <v>689</v>
      </c>
      <c r="U1500" s="8">
        <f t="shared" si="147"/>
        <v>2</v>
      </c>
      <c r="AD1500" t="str">
        <f t="shared" si="146"/>
        <v>e</v>
      </c>
      <c r="AE1500" t="str">
        <f t="shared" si="150"/>
        <v>Zone_Entry_Exit</v>
      </c>
      <c r="AF1500" t="str">
        <f t="shared" si="148"/>
        <v>Zone_Exit</v>
      </c>
      <c r="AG1500" t="str">
        <f t="shared" si="149"/>
        <v>ZoneExit-Pass</v>
      </c>
      <c r="AN1500" t="str">
        <f t="shared" si="151"/>
        <v>Offensive</v>
      </c>
      <c r="BD1500" s="23"/>
      <c r="BF1500" s="21"/>
    </row>
    <row r="1501" spans="1:58" x14ac:dyDescent="0.2">
      <c r="A1501">
        <v>754</v>
      </c>
      <c r="B1501">
        <v>125</v>
      </c>
      <c r="J1501">
        <v>49</v>
      </c>
      <c r="K1501">
        <v>1</v>
      </c>
      <c r="U1501" s="8">
        <f t="shared" si="147"/>
        <v>2</v>
      </c>
      <c r="AD1501" t="str">
        <f t="shared" si="146"/>
        <v>e</v>
      </c>
      <c r="AE1501" t="str">
        <f t="shared" si="150"/>
        <v>Zone_Entry_Exit</v>
      </c>
      <c r="AF1501" t="str">
        <f t="shared" si="148"/>
        <v>Zone_Exit</v>
      </c>
      <c r="AG1501" t="str">
        <f t="shared" si="149"/>
        <v>ZoneExit-Pass</v>
      </c>
      <c r="AN1501" t="str">
        <f t="shared" si="151"/>
        <v>Offensive</v>
      </c>
      <c r="BD1501" s="23"/>
      <c r="BF1501" s="21"/>
    </row>
    <row r="1502" spans="1:58" x14ac:dyDescent="0.2">
      <c r="A1502">
        <v>755</v>
      </c>
      <c r="E1502" s="5" t="s">
        <v>866</v>
      </c>
      <c r="F1502" s="5" t="s">
        <v>850</v>
      </c>
      <c r="G1502" s="5" t="s">
        <v>866</v>
      </c>
      <c r="H1502" s="7" t="s">
        <v>852</v>
      </c>
      <c r="I1502" s="5" t="s">
        <v>835</v>
      </c>
      <c r="J1502">
        <v>49</v>
      </c>
      <c r="K1502">
        <v>1</v>
      </c>
      <c r="L1502" s="5" t="s">
        <v>839</v>
      </c>
      <c r="M1502" t="s">
        <v>15</v>
      </c>
      <c r="U1502" s="8">
        <f t="shared" si="147"/>
        <v>2</v>
      </c>
      <c r="AD1502" t="str">
        <f t="shared" si="146"/>
        <v>e</v>
      </c>
      <c r="AE1502" t="str">
        <f t="shared" si="150"/>
        <v>Possession</v>
      </c>
      <c r="AF1502" t="str">
        <f t="shared" si="148"/>
        <v/>
      </c>
      <c r="AG1502" t="str">
        <f t="shared" si="149"/>
        <v/>
      </c>
      <c r="AN1502" t="str">
        <f t="shared" si="151"/>
        <v>Offensive</v>
      </c>
      <c r="BD1502" s="23"/>
      <c r="BF1502" s="21"/>
    </row>
    <row r="1503" spans="1:58" x14ac:dyDescent="0.2">
      <c r="A1503">
        <v>756</v>
      </c>
      <c r="E1503" s="5" t="s">
        <v>866</v>
      </c>
      <c r="F1503" s="5" t="s">
        <v>852</v>
      </c>
      <c r="G1503" s="5" t="s">
        <v>866</v>
      </c>
      <c r="H1503" s="7" t="s">
        <v>853</v>
      </c>
      <c r="I1503" t="s">
        <v>835</v>
      </c>
      <c r="J1503">
        <v>49</v>
      </c>
      <c r="K1503">
        <v>1</v>
      </c>
      <c r="L1503" t="s">
        <v>401</v>
      </c>
      <c r="M1503" t="s">
        <v>257</v>
      </c>
      <c r="N1503" t="s">
        <v>191</v>
      </c>
      <c r="O1503" t="s">
        <v>87</v>
      </c>
      <c r="P1503" t="s">
        <v>689</v>
      </c>
      <c r="Q1503" t="s">
        <v>702</v>
      </c>
      <c r="S1503" t="s">
        <v>689</v>
      </c>
      <c r="T1503">
        <v>1</v>
      </c>
      <c r="U1503" s="8">
        <f t="shared" si="147"/>
        <v>2</v>
      </c>
      <c r="AD1503" t="str">
        <f t="shared" si="146"/>
        <v>e</v>
      </c>
      <c r="AE1503" t="str">
        <f t="shared" si="150"/>
        <v>Zone_Entry_Exit</v>
      </c>
      <c r="AF1503" t="str">
        <f t="shared" si="148"/>
        <v>Zone_Entry</v>
      </c>
      <c r="AG1503" t="str">
        <f t="shared" si="149"/>
        <v>ZoneEntry-Rush</v>
      </c>
      <c r="AN1503" t="str">
        <f t="shared" si="151"/>
        <v>Offensive</v>
      </c>
      <c r="BD1503" s="23"/>
      <c r="BF1503" s="21"/>
    </row>
    <row r="1504" spans="1:58" x14ac:dyDescent="0.2">
      <c r="A1504">
        <v>756</v>
      </c>
      <c r="J1504">
        <v>74</v>
      </c>
      <c r="Q1504" t="s">
        <v>731</v>
      </c>
      <c r="S1504" t="s">
        <v>688</v>
      </c>
      <c r="T1504">
        <v>1</v>
      </c>
      <c r="U1504" s="8">
        <f t="shared" si="147"/>
        <v>2</v>
      </c>
      <c r="AD1504" t="str">
        <f t="shared" si="146"/>
        <v>o</v>
      </c>
      <c r="AE1504" t="str">
        <f t="shared" si="150"/>
        <v>Zone_Entry_Exit</v>
      </c>
      <c r="AF1504" t="str">
        <f t="shared" si="148"/>
        <v>Zone_Entry</v>
      </c>
      <c r="AG1504" t="str">
        <f t="shared" si="149"/>
        <v>ZoneEntry-Rush</v>
      </c>
      <c r="AN1504" t="str">
        <f t="shared" si="151"/>
        <v>Defensive</v>
      </c>
      <c r="BD1504" s="23"/>
      <c r="BF1504" s="21"/>
    </row>
    <row r="1505" spans="1:58" x14ac:dyDescent="0.2">
      <c r="A1505">
        <v>756</v>
      </c>
      <c r="J1505">
        <v>83</v>
      </c>
      <c r="U1505" s="8">
        <f t="shared" si="147"/>
        <v>2</v>
      </c>
      <c r="AD1505" t="str">
        <f t="shared" si="146"/>
        <v>o</v>
      </c>
      <c r="AE1505" t="str">
        <f t="shared" si="150"/>
        <v>Zone_Entry_Exit</v>
      </c>
      <c r="AF1505" t="str">
        <f t="shared" si="148"/>
        <v>Zone_Entry</v>
      </c>
      <c r="AG1505" t="str">
        <f t="shared" si="149"/>
        <v>ZoneEntry-Rush</v>
      </c>
      <c r="AN1505" t="str">
        <f t="shared" si="151"/>
        <v>Defensive</v>
      </c>
      <c r="BD1505" s="23"/>
      <c r="BF1505" s="21"/>
    </row>
    <row r="1506" spans="1:58" x14ac:dyDescent="0.2">
      <c r="A1506">
        <v>757</v>
      </c>
      <c r="B1506">
        <v>126</v>
      </c>
      <c r="E1506" s="5" t="s">
        <v>866</v>
      </c>
      <c r="F1506" s="5" t="s">
        <v>853</v>
      </c>
      <c r="I1506" t="s">
        <v>835</v>
      </c>
      <c r="J1506">
        <v>49</v>
      </c>
      <c r="K1506">
        <v>1</v>
      </c>
      <c r="L1506" t="s">
        <v>401</v>
      </c>
      <c r="M1506" t="s">
        <v>7</v>
      </c>
      <c r="N1506" t="s">
        <v>222</v>
      </c>
      <c r="O1506" t="s">
        <v>55</v>
      </c>
      <c r="P1506" t="s">
        <v>689</v>
      </c>
      <c r="T1506">
        <v>1</v>
      </c>
      <c r="U1506" s="8">
        <f t="shared" si="147"/>
        <v>2</v>
      </c>
      <c r="AD1506" t="str">
        <f t="shared" si="146"/>
        <v>e</v>
      </c>
      <c r="AE1506" t="str">
        <f t="shared" si="150"/>
        <v>Shot</v>
      </c>
      <c r="AF1506" t="str">
        <f t="shared" si="148"/>
        <v>Shot_OnNetSaved</v>
      </c>
      <c r="AG1506" t="str">
        <f t="shared" si="149"/>
        <v>Shot-Backhand</v>
      </c>
      <c r="AN1506" t="str">
        <f t="shared" si="151"/>
        <v>Offensive</v>
      </c>
      <c r="BD1506" s="23"/>
      <c r="BF1506" s="21"/>
    </row>
    <row r="1507" spans="1:58" x14ac:dyDescent="0.2">
      <c r="A1507">
        <v>757</v>
      </c>
      <c r="B1507">
        <v>126</v>
      </c>
      <c r="J1507">
        <v>38</v>
      </c>
      <c r="U1507" s="8">
        <f t="shared" si="147"/>
        <v>2</v>
      </c>
      <c r="AD1507" t="str">
        <f t="shared" si="146"/>
        <v>o</v>
      </c>
      <c r="AE1507" t="str">
        <f t="shared" si="150"/>
        <v>Shot</v>
      </c>
      <c r="AF1507" t="str">
        <f t="shared" si="148"/>
        <v>Shot_OnNetSaved</v>
      </c>
      <c r="AG1507" t="str">
        <f t="shared" si="149"/>
        <v>Shot-Backhand</v>
      </c>
      <c r="AN1507" t="str">
        <f t="shared" si="151"/>
        <v>Defensive</v>
      </c>
      <c r="BD1507" s="23"/>
      <c r="BF1507" s="21"/>
    </row>
    <row r="1508" spans="1:58" x14ac:dyDescent="0.2">
      <c r="A1508">
        <v>757</v>
      </c>
      <c r="B1508">
        <v>126</v>
      </c>
      <c r="J1508">
        <v>83</v>
      </c>
      <c r="Q1508" t="s">
        <v>696</v>
      </c>
      <c r="T1508">
        <v>1</v>
      </c>
      <c r="U1508" s="8">
        <f t="shared" si="147"/>
        <v>2</v>
      </c>
      <c r="AD1508" t="str">
        <f t="shared" si="146"/>
        <v>o</v>
      </c>
      <c r="AE1508" t="str">
        <f t="shared" si="150"/>
        <v>Shot</v>
      </c>
      <c r="AF1508" t="str">
        <f t="shared" si="148"/>
        <v>Shot_OnNetSaved</v>
      </c>
      <c r="AG1508" t="str">
        <f t="shared" si="149"/>
        <v>Shot-Backhand</v>
      </c>
      <c r="AN1508" t="str">
        <f t="shared" si="151"/>
        <v>Defensive</v>
      </c>
      <c r="BD1508" s="23"/>
      <c r="BF1508" s="21"/>
    </row>
    <row r="1509" spans="1:58" x14ac:dyDescent="0.2">
      <c r="A1509">
        <v>758</v>
      </c>
      <c r="B1509">
        <v>126</v>
      </c>
      <c r="E1509" s="5" t="s">
        <v>866</v>
      </c>
      <c r="F1509" s="5" t="s">
        <v>853</v>
      </c>
      <c r="I1509" t="s">
        <v>840</v>
      </c>
      <c r="J1509">
        <v>38</v>
      </c>
      <c r="K1509">
        <v>1</v>
      </c>
      <c r="L1509" t="s">
        <v>845</v>
      </c>
      <c r="M1509" t="s">
        <v>17</v>
      </c>
      <c r="N1509" t="s">
        <v>196</v>
      </c>
      <c r="O1509" t="s">
        <v>99</v>
      </c>
      <c r="U1509" s="8">
        <f t="shared" si="147"/>
        <v>2</v>
      </c>
      <c r="AD1509" t="str">
        <f t="shared" si="146"/>
        <v>e</v>
      </c>
      <c r="AE1509" t="str">
        <f t="shared" si="150"/>
        <v>Save</v>
      </c>
      <c r="AF1509" t="str">
        <f t="shared" si="148"/>
        <v>Save_Rebound</v>
      </c>
      <c r="AG1509" t="str">
        <f t="shared" si="149"/>
        <v>Save-RightPad</v>
      </c>
      <c r="AN1509" t="str">
        <f t="shared" si="151"/>
        <v>Defensive</v>
      </c>
      <c r="BD1509" s="23"/>
      <c r="BF1509" s="21"/>
    </row>
    <row r="1510" spans="1:58" x14ac:dyDescent="0.2">
      <c r="A1510">
        <v>758</v>
      </c>
      <c r="B1510">
        <v>126</v>
      </c>
      <c r="J1510">
        <v>83</v>
      </c>
      <c r="K1510">
        <v>1</v>
      </c>
      <c r="Q1510" t="s">
        <v>696</v>
      </c>
      <c r="T1510">
        <v>1</v>
      </c>
      <c r="U1510" s="8">
        <f t="shared" si="147"/>
        <v>2</v>
      </c>
      <c r="AD1510" t="str">
        <f t="shared" si="146"/>
        <v>e</v>
      </c>
      <c r="AE1510" t="str">
        <f t="shared" si="150"/>
        <v>Save</v>
      </c>
      <c r="AF1510" t="str">
        <f t="shared" si="148"/>
        <v>Save_Rebound</v>
      </c>
      <c r="AG1510" t="str">
        <f t="shared" si="149"/>
        <v>Save-RightPad</v>
      </c>
      <c r="AN1510" t="str">
        <f t="shared" si="151"/>
        <v>Defensive</v>
      </c>
      <c r="BD1510" s="23"/>
      <c r="BF1510" s="21"/>
    </row>
    <row r="1511" spans="1:58" x14ac:dyDescent="0.2">
      <c r="A1511">
        <v>758</v>
      </c>
      <c r="B1511">
        <v>126</v>
      </c>
      <c r="J1511">
        <v>49</v>
      </c>
      <c r="T1511">
        <v>1</v>
      </c>
      <c r="U1511" s="8">
        <f t="shared" si="147"/>
        <v>2</v>
      </c>
      <c r="AD1511" t="str">
        <f t="shared" si="146"/>
        <v>o</v>
      </c>
      <c r="AE1511" t="str">
        <f t="shared" si="150"/>
        <v>Save</v>
      </c>
      <c r="AF1511" t="str">
        <f t="shared" si="148"/>
        <v>Save_Rebound</v>
      </c>
      <c r="AG1511" t="str">
        <f t="shared" si="149"/>
        <v>Save-RightPad</v>
      </c>
      <c r="AN1511" t="str">
        <f t="shared" si="151"/>
        <v>Offensive</v>
      </c>
      <c r="BD1511" s="23"/>
      <c r="BF1511" s="21"/>
    </row>
    <row r="1512" spans="1:58" x14ac:dyDescent="0.2">
      <c r="A1512">
        <v>759</v>
      </c>
      <c r="B1512">
        <v>126</v>
      </c>
      <c r="E1512" s="5" t="s">
        <v>866</v>
      </c>
      <c r="F1512" s="5" t="s">
        <v>853</v>
      </c>
      <c r="I1512" t="s">
        <v>840</v>
      </c>
      <c r="J1512">
        <v>38</v>
      </c>
      <c r="K1512">
        <v>1</v>
      </c>
      <c r="L1512" t="s">
        <v>845</v>
      </c>
      <c r="M1512" t="s">
        <v>250</v>
      </c>
      <c r="N1512" t="s">
        <v>251</v>
      </c>
      <c r="U1512" s="8">
        <f t="shared" si="147"/>
        <v>2</v>
      </c>
      <c r="AD1512" t="str">
        <f t="shared" si="146"/>
        <v>e</v>
      </c>
      <c r="AE1512" t="str">
        <f t="shared" si="150"/>
        <v>Rebound</v>
      </c>
      <c r="AF1512" t="str">
        <f t="shared" si="148"/>
        <v>Rebound_TeamRecovered</v>
      </c>
      <c r="AG1512" t="str">
        <f t="shared" si="149"/>
        <v/>
      </c>
      <c r="AN1512" t="str">
        <f t="shared" si="151"/>
        <v>Offensive</v>
      </c>
      <c r="BD1512" s="23"/>
      <c r="BF1512" s="21"/>
    </row>
    <row r="1513" spans="1:58" x14ac:dyDescent="0.2">
      <c r="A1513">
        <v>760</v>
      </c>
      <c r="E1513" s="5" t="s">
        <v>866</v>
      </c>
      <c r="F1513" s="5" t="s">
        <v>856</v>
      </c>
      <c r="I1513" t="s">
        <v>840</v>
      </c>
      <c r="J1513">
        <v>83</v>
      </c>
      <c r="U1513" s="8">
        <f t="shared" si="147"/>
        <v>2</v>
      </c>
      <c r="AD1513" t="str">
        <f t="shared" si="146"/>
        <v>o</v>
      </c>
      <c r="AE1513" t="str">
        <f t="shared" si="150"/>
        <v/>
      </c>
      <c r="AF1513" t="str">
        <f t="shared" si="148"/>
        <v/>
      </c>
      <c r="AG1513" t="str">
        <f t="shared" si="149"/>
        <v/>
      </c>
      <c r="AN1513" t="str">
        <f t="shared" si="151"/>
        <v>Defensive</v>
      </c>
      <c r="BD1513" s="23"/>
      <c r="BF1513" s="21"/>
    </row>
    <row r="1514" spans="1:58" x14ac:dyDescent="0.2">
      <c r="A1514">
        <v>761</v>
      </c>
      <c r="B1514">
        <v>127</v>
      </c>
      <c r="E1514" s="5" t="s">
        <v>866</v>
      </c>
      <c r="F1514" s="5" t="s">
        <v>856</v>
      </c>
      <c r="I1514" t="s">
        <v>840</v>
      </c>
      <c r="J1514">
        <v>83</v>
      </c>
      <c r="K1514">
        <v>1</v>
      </c>
      <c r="L1514" t="s">
        <v>845</v>
      </c>
      <c r="M1514" t="s">
        <v>8</v>
      </c>
      <c r="N1514" t="s">
        <v>199</v>
      </c>
      <c r="O1514" t="s">
        <v>478</v>
      </c>
      <c r="P1514" t="s">
        <v>688</v>
      </c>
      <c r="Q1514" t="s">
        <v>706</v>
      </c>
      <c r="R1514" t="s">
        <v>749</v>
      </c>
      <c r="S1514" t="s">
        <v>688</v>
      </c>
      <c r="U1514" s="8">
        <f t="shared" si="147"/>
        <v>2</v>
      </c>
      <c r="AD1514" t="str">
        <f t="shared" si="146"/>
        <v>e</v>
      </c>
      <c r="AE1514" t="str">
        <f t="shared" si="150"/>
        <v>Pass</v>
      </c>
      <c r="AF1514" t="str">
        <f t="shared" si="148"/>
        <v>Pass_Missed</v>
      </c>
      <c r="AG1514" t="str">
        <f t="shared" si="149"/>
        <v>Pass-ReceiverMissed</v>
      </c>
      <c r="AN1514" t="str">
        <f t="shared" si="151"/>
        <v>Offensive</v>
      </c>
      <c r="BD1514" s="23"/>
      <c r="BF1514" s="21"/>
    </row>
    <row r="1515" spans="1:58" x14ac:dyDescent="0.2">
      <c r="A1515">
        <v>761</v>
      </c>
      <c r="B1515">
        <v>127</v>
      </c>
      <c r="J1515">
        <v>9</v>
      </c>
      <c r="K1515">
        <v>1</v>
      </c>
      <c r="U1515" s="8">
        <f t="shared" si="147"/>
        <v>2</v>
      </c>
      <c r="AD1515" t="str">
        <f t="shared" si="146"/>
        <v>e</v>
      </c>
      <c r="AE1515" t="str">
        <f t="shared" si="150"/>
        <v>Pass</v>
      </c>
      <c r="AF1515" t="str">
        <f t="shared" si="148"/>
        <v>Pass_Missed</v>
      </c>
      <c r="AG1515" t="str">
        <f t="shared" si="149"/>
        <v>Pass-ReceiverMissed</v>
      </c>
      <c r="AN1515" t="str">
        <f t="shared" si="151"/>
        <v>Offensive</v>
      </c>
      <c r="BD1515" s="23"/>
      <c r="BF1515" s="21"/>
    </row>
    <row r="1516" spans="1:58" x14ac:dyDescent="0.2">
      <c r="A1516">
        <v>761</v>
      </c>
      <c r="B1516">
        <v>127</v>
      </c>
      <c r="J1516">
        <v>55</v>
      </c>
      <c r="Q1516" t="s">
        <v>699</v>
      </c>
      <c r="U1516" s="8">
        <f t="shared" si="147"/>
        <v>2</v>
      </c>
      <c r="AD1516" t="str">
        <f t="shared" si="146"/>
        <v>o</v>
      </c>
      <c r="AE1516" t="str">
        <f t="shared" si="150"/>
        <v>Pass</v>
      </c>
      <c r="AF1516" t="str">
        <f t="shared" si="148"/>
        <v>Pass_Missed</v>
      </c>
      <c r="AG1516" t="str">
        <f t="shared" si="149"/>
        <v>Pass-ReceiverMissed</v>
      </c>
      <c r="AN1516" t="str">
        <f t="shared" si="151"/>
        <v>Defensive</v>
      </c>
      <c r="BD1516" s="23"/>
      <c r="BF1516" s="21"/>
    </row>
    <row r="1517" spans="1:58" x14ac:dyDescent="0.2">
      <c r="A1517">
        <v>762</v>
      </c>
      <c r="B1517">
        <v>127</v>
      </c>
      <c r="E1517" s="5" t="s">
        <v>866</v>
      </c>
      <c r="F1517" s="5" t="s">
        <v>856</v>
      </c>
      <c r="I1517" t="s">
        <v>840</v>
      </c>
      <c r="J1517">
        <v>83</v>
      </c>
      <c r="K1517">
        <v>1</v>
      </c>
      <c r="L1517" t="s">
        <v>845</v>
      </c>
      <c r="M1517" t="s">
        <v>257</v>
      </c>
      <c r="N1517" t="s">
        <v>201</v>
      </c>
      <c r="O1517" t="s">
        <v>409</v>
      </c>
      <c r="P1517" t="s">
        <v>688</v>
      </c>
      <c r="Q1517" t="s">
        <v>706</v>
      </c>
      <c r="R1517" t="s">
        <v>749</v>
      </c>
      <c r="S1517" t="s">
        <v>688</v>
      </c>
      <c r="U1517" s="8">
        <f t="shared" si="147"/>
        <v>2</v>
      </c>
      <c r="AD1517" t="str">
        <f t="shared" si="146"/>
        <v>e</v>
      </c>
      <c r="AE1517" t="str">
        <f t="shared" si="150"/>
        <v>Zone_Entry_Exit</v>
      </c>
      <c r="AF1517" t="str">
        <f t="shared" si="148"/>
        <v>Zone_Exit</v>
      </c>
      <c r="AG1517" t="str">
        <f t="shared" si="149"/>
        <v>ZoneExit-PassMiss/Misplay</v>
      </c>
      <c r="AN1517" t="str">
        <f t="shared" si="151"/>
        <v>Offensive</v>
      </c>
      <c r="BD1517" s="23"/>
      <c r="BF1517" s="21"/>
    </row>
    <row r="1518" spans="1:58" x14ac:dyDescent="0.2">
      <c r="A1518">
        <v>762</v>
      </c>
      <c r="B1518">
        <v>127</v>
      </c>
      <c r="J1518">
        <v>9</v>
      </c>
      <c r="K1518">
        <v>1</v>
      </c>
      <c r="U1518" s="8">
        <f t="shared" si="147"/>
        <v>2</v>
      </c>
      <c r="AD1518" t="str">
        <f t="shared" si="146"/>
        <v>e</v>
      </c>
      <c r="AE1518" t="str">
        <f t="shared" si="150"/>
        <v>Zone_Entry_Exit</v>
      </c>
      <c r="AF1518" t="str">
        <f t="shared" si="148"/>
        <v>Zone_Exit</v>
      </c>
      <c r="AG1518" t="str">
        <f t="shared" si="149"/>
        <v>ZoneExit-PassMiss/Misplay</v>
      </c>
      <c r="AN1518" t="str">
        <f t="shared" si="151"/>
        <v>Offensive</v>
      </c>
      <c r="BD1518" s="23"/>
      <c r="BF1518" s="21"/>
    </row>
    <row r="1519" spans="1:58" x14ac:dyDescent="0.2">
      <c r="A1519">
        <v>762</v>
      </c>
      <c r="B1519">
        <v>127</v>
      </c>
      <c r="J1519">
        <v>55</v>
      </c>
      <c r="Q1519" t="s">
        <v>699</v>
      </c>
      <c r="U1519" s="8">
        <f t="shared" si="147"/>
        <v>2</v>
      </c>
      <c r="AD1519" t="str">
        <f t="shared" si="146"/>
        <v>o</v>
      </c>
      <c r="AE1519" t="str">
        <f t="shared" si="150"/>
        <v>Zone_Entry_Exit</v>
      </c>
      <c r="AF1519" t="str">
        <f t="shared" si="148"/>
        <v>Zone_Exit</v>
      </c>
      <c r="AG1519" t="str">
        <f t="shared" si="149"/>
        <v>ZoneExit-PassMiss/Misplay</v>
      </c>
      <c r="AN1519" t="str">
        <f t="shared" si="151"/>
        <v>Defensive</v>
      </c>
      <c r="BD1519" s="23"/>
      <c r="BF1519" s="21"/>
    </row>
    <row r="1520" spans="1:58" x14ac:dyDescent="0.2">
      <c r="A1520">
        <v>763</v>
      </c>
      <c r="E1520" s="5" t="s">
        <v>866</v>
      </c>
      <c r="F1520" s="5" t="s">
        <v>860</v>
      </c>
      <c r="I1520" t="s">
        <v>835</v>
      </c>
      <c r="J1520">
        <v>91</v>
      </c>
      <c r="K1520">
        <v>1</v>
      </c>
      <c r="L1520" t="s">
        <v>839</v>
      </c>
      <c r="M1520" t="s">
        <v>15</v>
      </c>
      <c r="N1520" t="s">
        <v>680</v>
      </c>
      <c r="P1520" t="s">
        <v>688</v>
      </c>
      <c r="Q1520" t="s">
        <v>694</v>
      </c>
      <c r="S1520" t="s">
        <v>688</v>
      </c>
      <c r="U1520" s="8">
        <f t="shared" si="147"/>
        <v>2</v>
      </c>
      <c r="AD1520" t="str">
        <f t="shared" si="146"/>
        <v>e</v>
      </c>
      <c r="AE1520" t="str">
        <f t="shared" si="150"/>
        <v>Possession</v>
      </c>
      <c r="AF1520" t="str">
        <f t="shared" si="148"/>
        <v>PuckRetrieval</v>
      </c>
      <c r="AG1520" t="str">
        <f t="shared" si="149"/>
        <v/>
      </c>
      <c r="AN1520" t="str">
        <f t="shared" si="151"/>
        <v>Offensive</v>
      </c>
      <c r="BD1520" s="23"/>
      <c r="BF1520" s="21"/>
    </row>
    <row r="1521" spans="1:58" x14ac:dyDescent="0.2">
      <c r="A1521">
        <v>764</v>
      </c>
      <c r="E1521" s="5" t="s">
        <v>866</v>
      </c>
      <c r="F1521" s="5" t="s">
        <v>909</v>
      </c>
      <c r="I1521" t="s">
        <v>835</v>
      </c>
      <c r="J1521">
        <v>91</v>
      </c>
      <c r="K1521">
        <v>1</v>
      </c>
      <c r="L1521" t="s">
        <v>839</v>
      </c>
      <c r="M1521" t="s">
        <v>8</v>
      </c>
      <c r="N1521" t="s">
        <v>199</v>
      </c>
      <c r="O1521" t="s">
        <v>70</v>
      </c>
      <c r="P1521" t="s">
        <v>688</v>
      </c>
      <c r="Q1521" t="s">
        <v>749</v>
      </c>
      <c r="S1521" t="s">
        <v>688</v>
      </c>
      <c r="U1521" s="8">
        <f t="shared" si="147"/>
        <v>2</v>
      </c>
      <c r="AD1521" t="str">
        <f t="shared" si="146"/>
        <v>e</v>
      </c>
      <c r="AE1521" t="str">
        <f t="shared" si="150"/>
        <v>Pass</v>
      </c>
      <c r="AF1521" t="str">
        <f t="shared" si="148"/>
        <v>Pass_Missed</v>
      </c>
      <c r="AG1521" t="str">
        <f t="shared" si="149"/>
        <v>Pass-Forehand</v>
      </c>
      <c r="AN1521" t="str">
        <f t="shared" si="151"/>
        <v>Offensive</v>
      </c>
      <c r="BD1521" s="23"/>
      <c r="BF1521" s="21"/>
    </row>
    <row r="1522" spans="1:58" x14ac:dyDescent="0.2">
      <c r="A1522">
        <v>764</v>
      </c>
      <c r="J1522">
        <v>52</v>
      </c>
      <c r="K1522">
        <v>1</v>
      </c>
      <c r="U1522" s="8">
        <f t="shared" si="147"/>
        <v>2</v>
      </c>
      <c r="AD1522" t="str">
        <f t="shared" si="146"/>
        <v>e</v>
      </c>
      <c r="AE1522" t="str">
        <f t="shared" si="150"/>
        <v>Pass</v>
      </c>
      <c r="AF1522" t="str">
        <f t="shared" si="148"/>
        <v>Pass_Missed</v>
      </c>
      <c r="AG1522" t="str">
        <f t="shared" si="149"/>
        <v>Pass-Forehand</v>
      </c>
      <c r="AN1522" t="str">
        <f t="shared" si="151"/>
        <v>Offensive</v>
      </c>
      <c r="BD1522" s="23"/>
      <c r="BF1522" s="21"/>
    </row>
    <row r="1523" spans="1:58" x14ac:dyDescent="0.2">
      <c r="A1523">
        <v>765</v>
      </c>
      <c r="E1523" s="5" t="s">
        <v>866</v>
      </c>
      <c r="F1523" s="5" t="s">
        <v>862</v>
      </c>
      <c r="I1523" t="s">
        <v>835</v>
      </c>
      <c r="J1523">
        <v>92</v>
      </c>
      <c r="K1523">
        <v>1</v>
      </c>
      <c r="L1523" t="s">
        <v>839</v>
      </c>
      <c r="M1523" t="s">
        <v>15</v>
      </c>
      <c r="N1523" t="s">
        <v>680</v>
      </c>
      <c r="P1523" t="s">
        <v>689</v>
      </c>
      <c r="Q1523" t="s">
        <v>701</v>
      </c>
      <c r="S1523" t="s">
        <v>689</v>
      </c>
      <c r="T1523">
        <v>1</v>
      </c>
      <c r="U1523" s="8">
        <f t="shared" si="147"/>
        <v>2</v>
      </c>
      <c r="AD1523" t="str">
        <f t="shared" si="146"/>
        <v>e</v>
      </c>
      <c r="AE1523" t="str">
        <f t="shared" si="150"/>
        <v>Possession</v>
      </c>
      <c r="AF1523" t="str">
        <f t="shared" si="148"/>
        <v>PuckRetrieval</v>
      </c>
      <c r="AG1523" t="str">
        <f t="shared" si="149"/>
        <v/>
      </c>
      <c r="AN1523" t="str">
        <f t="shared" si="151"/>
        <v>Offensive</v>
      </c>
      <c r="BD1523" s="23"/>
      <c r="BF1523" s="21"/>
    </row>
    <row r="1524" spans="1:58" x14ac:dyDescent="0.2">
      <c r="A1524">
        <v>765</v>
      </c>
      <c r="J1524">
        <v>52</v>
      </c>
      <c r="T1524">
        <v>1</v>
      </c>
      <c r="U1524" s="8">
        <f t="shared" si="147"/>
        <v>2</v>
      </c>
      <c r="AD1524" t="str">
        <f t="shared" si="146"/>
        <v>o</v>
      </c>
      <c r="AE1524" t="str">
        <f t="shared" si="150"/>
        <v>Possession</v>
      </c>
      <c r="AF1524" t="str">
        <f t="shared" si="148"/>
        <v>PuckRetrieval</v>
      </c>
      <c r="AG1524" t="str">
        <f t="shared" si="149"/>
        <v/>
      </c>
      <c r="AN1524" t="str">
        <f t="shared" si="151"/>
        <v>Defensive</v>
      </c>
      <c r="BD1524" s="23"/>
      <c r="BF1524" s="21"/>
    </row>
    <row r="1525" spans="1:58" x14ac:dyDescent="0.2">
      <c r="A1525">
        <v>766</v>
      </c>
      <c r="E1525" s="5" t="s">
        <v>866</v>
      </c>
      <c r="F1525" s="5" t="s">
        <v>862</v>
      </c>
      <c r="G1525" s="5" t="s">
        <v>866</v>
      </c>
      <c r="H1525" s="7" t="s">
        <v>864</v>
      </c>
      <c r="I1525" s="5" t="s">
        <v>840</v>
      </c>
      <c r="J1525">
        <v>92</v>
      </c>
      <c r="K1525">
        <v>1</v>
      </c>
      <c r="L1525" s="5" t="s">
        <v>401</v>
      </c>
      <c r="M1525" t="s">
        <v>257</v>
      </c>
      <c r="N1525" t="s">
        <v>191</v>
      </c>
      <c r="O1525" t="s">
        <v>406</v>
      </c>
      <c r="P1525" t="s">
        <v>689</v>
      </c>
      <c r="Q1525" t="s">
        <v>727</v>
      </c>
      <c r="S1525" t="s">
        <v>689</v>
      </c>
      <c r="T1525">
        <v>1</v>
      </c>
      <c r="U1525" s="8">
        <f t="shared" si="147"/>
        <v>2</v>
      </c>
      <c r="AD1525" t="str">
        <f t="shared" si="146"/>
        <v>e</v>
      </c>
      <c r="AE1525" t="str">
        <f t="shared" si="150"/>
        <v>Zone_Entry_Exit</v>
      </c>
      <c r="AF1525" t="str">
        <f t="shared" si="148"/>
        <v>Zone_Entry</v>
      </c>
      <c r="AG1525" t="str">
        <f t="shared" si="149"/>
        <v>ZoneEntry-Chip</v>
      </c>
      <c r="AN1525" t="str">
        <f t="shared" si="151"/>
        <v>Offensive</v>
      </c>
      <c r="BD1525" s="23"/>
      <c r="BF1525" s="21"/>
    </row>
    <row r="1526" spans="1:58" x14ac:dyDescent="0.2">
      <c r="A1526">
        <v>766</v>
      </c>
      <c r="J1526">
        <v>52</v>
      </c>
      <c r="T1526">
        <v>1</v>
      </c>
      <c r="U1526" s="8">
        <f t="shared" si="147"/>
        <v>2</v>
      </c>
      <c r="AD1526" t="str">
        <f t="shared" si="146"/>
        <v>o</v>
      </c>
      <c r="AE1526" t="str">
        <f t="shared" si="150"/>
        <v>Zone_Entry_Exit</v>
      </c>
      <c r="AF1526" t="str">
        <f t="shared" si="148"/>
        <v>Zone_Entry</v>
      </c>
      <c r="AG1526" t="str">
        <f t="shared" si="149"/>
        <v>ZoneEntry-Chip</v>
      </c>
      <c r="AN1526" t="str">
        <f t="shared" si="151"/>
        <v>Defensive</v>
      </c>
      <c r="BD1526" s="23"/>
      <c r="BF1526" s="21"/>
    </row>
    <row r="1527" spans="1:58" x14ac:dyDescent="0.2">
      <c r="A1527">
        <v>767</v>
      </c>
      <c r="E1527" s="5" t="s">
        <v>866</v>
      </c>
      <c r="F1527" s="5" t="s">
        <v>864</v>
      </c>
      <c r="G1527" s="5" t="s">
        <v>866</v>
      </c>
      <c r="H1527" s="7" t="s">
        <v>865</v>
      </c>
      <c r="I1527" s="5" t="s">
        <v>840</v>
      </c>
      <c r="J1527">
        <v>92</v>
      </c>
      <c r="K1527">
        <v>1</v>
      </c>
      <c r="L1527" s="5" t="s">
        <v>401</v>
      </c>
      <c r="M1527" t="s">
        <v>15</v>
      </c>
      <c r="U1527" s="8">
        <f t="shared" si="147"/>
        <v>2</v>
      </c>
      <c r="AD1527" t="str">
        <f t="shared" si="146"/>
        <v>e</v>
      </c>
      <c r="AE1527" t="str">
        <f t="shared" si="150"/>
        <v>Possession</v>
      </c>
      <c r="AF1527" t="str">
        <f t="shared" si="148"/>
        <v/>
      </c>
      <c r="AG1527" t="str">
        <f t="shared" si="149"/>
        <v/>
      </c>
      <c r="AN1527" t="str">
        <f t="shared" si="151"/>
        <v>Offensive</v>
      </c>
      <c r="BD1527" s="23"/>
      <c r="BF1527" s="21"/>
    </row>
    <row r="1528" spans="1:58" x14ac:dyDescent="0.2">
      <c r="A1528">
        <v>768</v>
      </c>
      <c r="B1528">
        <v>128</v>
      </c>
      <c r="E1528" s="5" t="s">
        <v>866</v>
      </c>
      <c r="F1528" s="5" t="s">
        <v>865</v>
      </c>
      <c r="I1528" t="s">
        <v>840</v>
      </c>
      <c r="J1528">
        <v>92</v>
      </c>
      <c r="K1528">
        <v>1</v>
      </c>
      <c r="L1528" t="s">
        <v>401</v>
      </c>
      <c r="M1528" t="s">
        <v>8</v>
      </c>
      <c r="N1528" t="s">
        <v>199</v>
      </c>
      <c r="O1528" t="s">
        <v>478</v>
      </c>
      <c r="P1528" t="s">
        <v>688</v>
      </c>
      <c r="U1528" s="8">
        <f t="shared" si="147"/>
        <v>2</v>
      </c>
      <c r="AD1528" t="str">
        <f t="shared" si="146"/>
        <v>e</v>
      </c>
      <c r="AE1528" t="str">
        <f t="shared" si="150"/>
        <v>Pass</v>
      </c>
      <c r="AF1528" t="str">
        <f t="shared" si="148"/>
        <v>Pass_Missed</v>
      </c>
      <c r="AG1528" t="str">
        <f t="shared" si="149"/>
        <v>Pass-ReceiverMissed</v>
      </c>
      <c r="AN1528" t="str">
        <f t="shared" si="151"/>
        <v>Offensive</v>
      </c>
      <c r="BD1528" s="23"/>
      <c r="BF1528" s="21"/>
    </row>
    <row r="1529" spans="1:58" x14ac:dyDescent="0.2">
      <c r="A1529">
        <v>768</v>
      </c>
      <c r="B1529">
        <v>128</v>
      </c>
      <c r="J1529">
        <v>9</v>
      </c>
      <c r="K1529">
        <v>1</v>
      </c>
      <c r="Q1529" t="s">
        <v>713</v>
      </c>
      <c r="S1529" t="s">
        <v>688</v>
      </c>
      <c r="U1529" s="8">
        <f t="shared" si="147"/>
        <v>2</v>
      </c>
      <c r="AD1529" t="str">
        <f t="shared" si="146"/>
        <v>e</v>
      </c>
      <c r="AE1529" t="str">
        <f t="shared" si="150"/>
        <v>Pass</v>
      </c>
      <c r="AF1529" t="str">
        <f t="shared" si="148"/>
        <v>Pass_Missed</v>
      </c>
      <c r="AG1529" t="str">
        <f t="shared" si="149"/>
        <v>Pass-ReceiverMissed</v>
      </c>
      <c r="AN1529" t="str">
        <f t="shared" si="151"/>
        <v>Offensive</v>
      </c>
      <c r="BD1529" s="23"/>
      <c r="BF1529" s="21"/>
    </row>
    <row r="1530" spans="1:58" x14ac:dyDescent="0.2">
      <c r="A1530">
        <v>769</v>
      </c>
      <c r="B1530">
        <v>128</v>
      </c>
      <c r="I1530" t="s">
        <v>840</v>
      </c>
      <c r="J1530">
        <v>92</v>
      </c>
      <c r="K1530">
        <v>1</v>
      </c>
      <c r="L1530" t="s">
        <v>401</v>
      </c>
      <c r="M1530" t="s">
        <v>10</v>
      </c>
      <c r="N1530" t="s">
        <v>190</v>
      </c>
      <c r="O1530" t="s">
        <v>76</v>
      </c>
      <c r="P1530" t="s">
        <v>688</v>
      </c>
      <c r="U1530" s="8">
        <f t="shared" si="147"/>
        <v>2</v>
      </c>
      <c r="AD1530" t="str">
        <f t="shared" si="146"/>
        <v>e</v>
      </c>
      <c r="AE1530" t="str">
        <f t="shared" si="150"/>
        <v>Turnover</v>
      </c>
      <c r="AF1530" t="str">
        <f t="shared" si="148"/>
        <v>Turnover_Giveaway</v>
      </c>
      <c r="AG1530" t="str">
        <f t="shared" si="149"/>
        <v>Giveaway-PassMissed</v>
      </c>
      <c r="AN1530" t="str">
        <f t="shared" si="151"/>
        <v>Offensive</v>
      </c>
      <c r="BD1530" s="23"/>
      <c r="BF1530" s="21"/>
    </row>
    <row r="1531" spans="1:58" x14ac:dyDescent="0.2">
      <c r="A1531">
        <v>769</v>
      </c>
      <c r="B1531">
        <v>128</v>
      </c>
      <c r="J1531">
        <v>9</v>
      </c>
      <c r="K1531">
        <v>1</v>
      </c>
      <c r="Q1531" t="s">
        <v>713</v>
      </c>
      <c r="S1531" t="s">
        <v>688</v>
      </c>
      <c r="U1531" s="8">
        <f t="shared" si="147"/>
        <v>2</v>
      </c>
      <c r="AD1531" t="str">
        <f t="shared" si="146"/>
        <v>e</v>
      </c>
      <c r="AE1531" t="str">
        <f t="shared" si="150"/>
        <v>Turnover</v>
      </c>
      <c r="AF1531" t="str">
        <f t="shared" si="148"/>
        <v>Turnover_Giveaway</v>
      </c>
      <c r="AG1531" t="str">
        <f t="shared" si="149"/>
        <v>Giveaway-PassMissed</v>
      </c>
      <c r="AN1531" t="str">
        <f t="shared" si="151"/>
        <v>Offensive</v>
      </c>
      <c r="BD1531" s="23"/>
      <c r="BF1531" s="21"/>
    </row>
    <row r="1532" spans="1:58" x14ac:dyDescent="0.2">
      <c r="A1532">
        <v>770</v>
      </c>
      <c r="E1532" s="5" t="s">
        <v>866</v>
      </c>
      <c r="F1532" s="5" t="s">
        <v>899</v>
      </c>
      <c r="G1532" s="5" t="s">
        <v>866</v>
      </c>
      <c r="H1532" s="7" t="s">
        <v>867</v>
      </c>
      <c r="I1532" s="5" t="s">
        <v>835</v>
      </c>
      <c r="J1532">
        <v>55</v>
      </c>
      <c r="K1532">
        <v>1</v>
      </c>
      <c r="L1532" s="5" t="s">
        <v>845</v>
      </c>
      <c r="M1532" t="s">
        <v>15</v>
      </c>
      <c r="N1532" t="s">
        <v>680</v>
      </c>
      <c r="P1532" t="s">
        <v>689</v>
      </c>
      <c r="Q1532" t="s">
        <v>701</v>
      </c>
      <c r="S1532" t="s">
        <v>689</v>
      </c>
      <c r="U1532" s="8">
        <f t="shared" si="147"/>
        <v>2</v>
      </c>
      <c r="AD1532" t="str">
        <f t="shared" si="146"/>
        <v>e</v>
      </c>
      <c r="AE1532" t="str">
        <f t="shared" si="150"/>
        <v>Possession</v>
      </c>
      <c r="AF1532" t="str">
        <f t="shared" si="148"/>
        <v>PuckRetrieval</v>
      </c>
      <c r="AG1532" t="str">
        <f t="shared" si="149"/>
        <v/>
      </c>
      <c r="AN1532" t="str">
        <f t="shared" si="151"/>
        <v>Offensive</v>
      </c>
      <c r="BD1532" s="23"/>
      <c r="BF1532" s="21"/>
    </row>
    <row r="1533" spans="1:58" x14ac:dyDescent="0.2">
      <c r="A1533">
        <v>771</v>
      </c>
      <c r="B1533">
        <v>129</v>
      </c>
      <c r="E1533" s="5" t="s">
        <v>866</v>
      </c>
      <c r="F1533" s="5" t="s">
        <v>867</v>
      </c>
      <c r="I1533" t="s">
        <v>835</v>
      </c>
      <c r="J1533">
        <v>55</v>
      </c>
      <c r="K1533">
        <v>1</v>
      </c>
      <c r="L1533" t="s">
        <v>845</v>
      </c>
      <c r="M1533" t="s">
        <v>8</v>
      </c>
      <c r="N1533" t="s">
        <v>189</v>
      </c>
      <c r="O1533" t="s">
        <v>70</v>
      </c>
      <c r="P1533" t="s">
        <v>689</v>
      </c>
      <c r="Q1533" t="s">
        <v>749</v>
      </c>
      <c r="R1533" t="s">
        <v>662</v>
      </c>
      <c r="S1533" t="s">
        <v>689</v>
      </c>
      <c r="U1533" s="8">
        <f t="shared" si="147"/>
        <v>2</v>
      </c>
      <c r="AD1533" t="str">
        <f t="shared" si="146"/>
        <v>e</v>
      </c>
      <c r="AE1533" t="str">
        <f t="shared" si="150"/>
        <v>Pass</v>
      </c>
      <c r="AF1533" t="str">
        <f t="shared" si="148"/>
        <v>Pass_Completed</v>
      </c>
      <c r="AG1533" t="str">
        <f t="shared" si="149"/>
        <v>Pass-Forehand</v>
      </c>
      <c r="AN1533" t="str">
        <f t="shared" si="151"/>
        <v>Offensive</v>
      </c>
      <c r="BD1533" s="23"/>
      <c r="BF1533" s="21"/>
    </row>
    <row r="1534" spans="1:58" x14ac:dyDescent="0.2">
      <c r="A1534">
        <v>771</v>
      </c>
      <c r="B1534">
        <v>129</v>
      </c>
      <c r="J1534">
        <v>49</v>
      </c>
      <c r="K1534">
        <v>1</v>
      </c>
      <c r="U1534" s="8">
        <f t="shared" si="147"/>
        <v>2</v>
      </c>
      <c r="AD1534" t="str">
        <f t="shared" si="146"/>
        <v>e</v>
      </c>
      <c r="AE1534" t="str">
        <f t="shared" si="150"/>
        <v>Pass</v>
      </c>
      <c r="AF1534" t="str">
        <f t="shared" si="148"/>
        <v>Pass_Completed</v>
      </c>
      <c r="AG1534" t="str">
        <f t="shared" si="149"/>
        <v>Pass-Forehand</v>
      </c>
      <c r="AN1534" t="str">
        <f t="shared" si="151"/>
        <v>Offensive</v>
      </c>
      <c r="BD1534" s="23"/>
      <c r="BF1534" s="21"/>
    </row>
    <row r="1535" spans="1:58" x14ac:dyDescent="0.2">
      <c r="A1535">
        <v>772</v>
      </c>
      <c r="B1535">
        <v>129</v>
      </c>
      <c r="I1535" t="s">
        <v>835</v>
      </c>
      <c r="J1535">
        <v>55</v>
      </c>
      <c r="K1535">
        <v>1</v>
      </c>
      <c r="L1535" t="s">
        <v>845</v>
      </c>
      <c r="M1535" t="s">
        <v>257</v>
      </c>
      <c r="N1535" t="s">
        <v>201</v>
      </c>
      <c r="O1535" t="s">
        <v>91</v>
      </c>
      <c r="P1535" t="s">
        <v>689</v>
      </c>
      <c r="Q1535" t="s">
        <v>749</v>
      </c>
      <c r="R1535" t="s">
        <v>662</v>
      </c>
      <c r="S1535" t="s">
        <v>689</v>
      </c>
      <c r="U1535" s="8">
        <f t="shared" si="147"/>
        <v>2</v>
      </c>
      <c r="AD1535" t="str">
        <f t="shared" si="146"/>
        <v>e</v>
      </c>
      <c r="AE1535" t="str">
        <f t="shared" si="150"/>
        <v>Zone_Entry_Exit</v>
      </c>
      <c r="AF1535" t="str">
        <f t="shared" si="148"/>
        <v>Zone_Exit</v>
      </c>
      <c r="AG1535" t="str">
        <f t="shared" si="149"/>
        <v>ZoneExit-Pass</v>
      </c>
      <c r="AN1535" t="str">
        <f t="shared" si="151"/>
        <v>Offensive</v>
      </c>
      <c r="BD1535" s="23"/>
      <c r="BF1535" s="21"/>
    </row>
    <row r="1536" spans="1:58" x14ac:dyDescent="0.2">
      <c r="A1536">
        <v>772</v>
      </c>
      <c r="B1536">
        <v>129</v>
      </c>
      <c r="J1536">
        <v>49</v>
      </c>
      <c r="K1536">
        <v>1</v>
      </c>
      <c r="U1536" s="8">
        <f t="shared" si="147"/>
        <v>2</v>
      </c>
      <c r="AD1536" t="str">
        <f t="shared" si="146"/>
        <v>e</v>
      </c>
      <c r="AE1536" t="str">
        <f t="shared" si="150"/>
        <v>Zone_Entry_Exit</v>
      </c>
      <c r="AF1536" t="str">
        <f t="shared" si="148"/>
        <v>Zone_Exit</v>
      </c>
      <c r="AG1536" t="str">
        <f t="shared" si="149"/>
        <v>ZoneExit-Pass</v>
      </c>
      <c r="AN1536" t="str">
        <f t="shared" si="151"/>
        <v>Offensive</v>
      </c>
      <c r="BD1536" s="23"/>
      <c r="BF1536" s="21"/>
    </row>
    <row r="1537" spans="1:58" x14ac:dyDescent="0.2">
      <c r="A1537">
        <v>773</v>
      </c>
      <c r="I1537" t="s">
        <v>835</v>
      </c>
      <c r="J1537">
        <v>49</v>
      </c>
      <c r="K1537">
        <v>1</v>
      </c>
      <c r="L1537" t="s">
        <v>839</v>
      </c>
      <c r="M1537" t="s">
        <v>15</v>
      </c>
      <c r="U1537" s="8">
        <f t="shared" si="147"/>
        <v>2</v>
      </c>
      <c r="AD1537" t="str">
        <f t="shared" si="146"/>
        <v>e</v>
      </c>
      <c r="AE1537" t="str">
        <f t="shared" si="150"/>
        <v>Possession</v>
      </c>
      <c r="AF1537" t="str">
        <f t="shared" si="148"/>
        <v/>
      </c>
      <c r="AG1537" t="str">
        <f t="shared" si="149"/>
        <v/>
      </c>
      <c r="AN1537" t="str">
        <f t="shared" si="151"/>
        <v>Offensive</v>
      </c>
      <c r="BD1537" s="23"/>
      <c r="BF1537" s="21"/>
    </row>
    <row r="1538" spans="1:58" x14ac:dyDescent="0.2">
      <c r="A1538">
        <v>774</v>
      </c>
      <c r="E1538" s="5" t="s">
        <v>866</v>
      </c>
      <c r="F1538" s="5" t="s">
        <v>868</v>
      </c>
      <c r="G1538" s="5" t="s">
        <v>866</v>
      </c>
      <c r="H1538" s="7" t="s">
        <v>893</v>
      </c>
      <c r="I1538" s="5" t="s">
        <v>835</v>
      </c>
      <c r="J1538">
        <v>49</v>
      </c>
      <c r="K1538">
        <v>1</v>
      </c>
      <c r="L1538" s="5" t="s">
        <v>401</v>
      </c>
      <c r="M1538" t="s">
        <v>257</v>
      </c>
      <c r="N1538" t="s">
        <v>191</v>
      </c>
      <c r="O1538" t="s">
        <v>87</v>
      </c>
      <c r="P1538" t="s">
        <v>689</v>
      </c>
      <c r="Q1538" t="s">
        <v>702</v>
      </c>
      <c r="U1538" s="8">
        <f t="shared" si="147"/>
        <v>2</v>
      </c>
      <c r="AD1538" t="str">
        <f t="shared" ref="AD1538:AD1601" si="152">IF(K1538="x","",IF(K1538=1,"e","o"))</f>
        <v>e</v>
      </c>
      <c r="AE1538" t="str">
        <f t="shared" si="150"/>
        <v>Zone_Entry_Exit</v>
      </c>
      <c r="AF1538" t="str">
        <f t="shared" si="148"/>
        <v>Zone_Entry</v>
      </c>
      <c r="AG1538" t="str">
        <f t="shared" si="149"/>
        <v>ZoneEntry-Rush</v>
      </c>
      <c r="AN1538" t="str">
        <f t="shared" si="151"/>
        <v>Offensive</v>
      </c>
      <c r="BD1538" s="23"/>
      <c r="BF1538" s="21"/>
    </row>
    <row r="1539" spans="1:58" x14ac:dyDescent="0.2">
      <c r="A1539">
        <v>774</v>
      </c>
      <c r="J1539">
        <v>83</v>
      </c>
      <c r="U1539" s="8">
        <f t="shared" ref="U1539:U1602" si="153">IF(M1539="Intermission",U1538+1,U1538)</f>
        <v>2</v>
      </c>
      <c r="AD1539" t="str">
        <f t="shared" si="152"/>
        <v>o</v>
      </c>
      <c r="AE1539" t="str">
        <f t="shared" si="150"/>
        <v>Zone_Entry_Exit</v>
      </c>
      <c r="AF1539" t="str">
        <f t="shared" ref="AF1539:AF1602" si="154">IF(N1539&lt;&gt;"",N1539,IF($A1539=$A1538,AF1538,""))</f>
        <v>Zone_Entry</v>
      </c>
      <c r="AG1539" t="str">
        <f t="shared" ref="AG1539:AG1602" si="155">IF(O1539&lt;&gt;"",O1539,IF($A1539=$A1538,AG1538,""))</f>
        <v>ZoneEntry-Rush</v>
      </c>
      <c r="AN1539" t="str">
        <f t="shared" si="151"/>
        <v>Defensive</v>
      </c>
      <c r="BD1539" s="23"/>
      <c r="BF1539" s="21"/>
    </row>
    <row r="1540" spans="1:58" x14ac:dyDescent="0.2">
      <c r="A1540">
        <v>775</v>
      </c>
      <c r="E1540" s="5" t="s">
        <v>866</v>
      </c>
      <c r="F1540" s="5" t="s">
        <v>893</v>
      </c>
      <c r="I1540" t="s">
        <v>835</v>
      </c>
      <c r="J1540">
        <v>49</v>
      </c>
      <c r="K1540">
        <v>1</v>
      </c>
      <c r="L1540" t="s">
        <v>401</v>
      </c>
      <c r="M1540" t="s">
        <v>8</v>
      </c>
      <c r="N1540" t="s">
        <v>189</v>
      </c>
      <c r="O1540" t="s">
        <v>418</v>
      </c>
      <c r="P1540" t="s">
        <v>689</v>
      </c>
      <c r="U1540" s="8">
        <f t="shared" si="153"/>
        <v>2</v>
      </c>
      <c r="AD1540" t="str">
        <f t="shared" si="152"/>
        <v>e</v>
      </c>
      <c r="AE1540" t="str">
        <f t="shared" ref="AE1540:AE1603" si="156">IF(M1540&lt;&gt;"",M1540,IF($A1540=$A1539,AE1539,""))</f>
        <v>Pass</v>
      </c>
      <c r="AF1540" t="str">
        <f t="shared" si="154"/>
        <v>Pass_Completed</v>
      </c>
      <c r="AG1540" t="str">
        <f t="shared" si="155"/>
        <v>Pass-Drop</v>
      </c>
      <c r="AN1540" t="str">
        <f t="shared" si="151"/>
        <v>Offensive</v>
      </c>
      <c r="BD1540" s="23"/>
      <c r="BF1540" s="21"/>
    </row>
    <row r="1541" spans="1:58" x14ac:dyDescent="0.2">
      <c r="A1541">
        <v>775</v>
      </c>
      <c r="J1541">
        <v>61</v>
      </c>
      <c r="K1541">
        <v>1</v>
      </c>
      <c r="U1541" s="8">
        <f t="shared" si="153"/>
        <v>2</v>
      </c>
      <c r="AD1541" t="str">
        <f t="shared" si="152"/>
        <v>e</v>
      </c>
      <c r="AE1541" t="str">
        <f t="shared" si="156"/>
        <v>Pass</v>
      </c>
      <c r="AF1541" t="str">
        <f t="shared" si="154"/>
        <v>Pass_Completed</v>
      </c>
      <c r="AG1541" t="str">
        <f t="shared" si="155"/>
        <v>Pass-Drop</v>
      </c>
      <c r="AN1541" t="str">
        <f t="shared" si="151"/>
        <v>Offensive</v>
      </c>
      <c r="BD1541" s="23"/>
      <c r="BF1541" s="21"/>
    </row>
    <row r="1542" spans="1:58" x14ac:dyDescent="0.2">
      <c r="A1542">
        <v>776</v>
      </c>
      <c r="B1542">
        <v>130</v>
      </c>
      <c r="E1542" s="5" t="s">
        <v>866</v>
      </c>
      <c r="F1542" s="5" t="s">
        <v>884</v>
      </c>
      <c r="I1542" t="s">
        <v>835</v>
      </c>
      <c r="J1542">
        <v>61</v>
      </c>
      <c r="K1542">
        <v>1</v>
      </c>
      <c r="L1542" t="s">
        <v>401</v>
      </c>
      <c r="M1542" t="s">
        <v>7</v>
      </c>
      <c r="N1542" t="s">
        <v>198</v>
      </c>
      <c r="O1542" t="s">
        <v>65</v>
      </c>
      <c r="P1542" t="s">
        <v>688</v>
      </c>
      <c r="U1542" s="8">
        <f t="shared" si="153"/>
        <v>2</v>
      </c>
      <c r="AD1542" t="str">
        <f t="shared" si="152"/>
        <v>e</v>
      </c>
      <c r="AE1542" t="str">
        <f t="shared" si="156"/>
        <v>Shot</v>
      </c>
      <c r="AF1542" t="str">
        <f t="shared" si="154"/>
        <v>Shot_Missed</v>
      </c>
      <c r="AG1542" t="str">
        <f t="shared" si="155"/>
        <v>Shot-OneTime</v>
      </c>
      <c r="AN1542" t="str">
        <f t="shared" si="151"/>
        <v>Offensive</v>
      </c>
      <c r="BD1542" s="23"/>
      <c r="BF1542" s="21"/>
    </row>
    <row r="1543" spans="1:58" x14ac:dyDescent="0.2">
      <c r="A1543">
        <v>776</v>
      </c>
      <c r="B1543">
        <v>130</v>
      </c>
      <c r="J1543">
        <v>83</v>
      </c>
      <c r="Q1543" t="s">
        <v>699</v>
      </c>
      <c r="U1543" s="8">
        <f t="shared" si="153"/>
        <v>2</v>
      </c>
      <c r="AD1543" t="str">
        <f t="shared" si="152"/>
        <v>o</v>
      </c>
      <c r="AE1543" t="str">
        <f t="shared" si="156"/>
        <v>Shot</v>
      </c>
      <c r="AF1543" t="str">
        <f t="shared" si="154"/>
        <v>Shot_Missed</v>
      </c>
      <c r="AG1543" t="str">
        <f t="shared" si="155"/>
        <v>Shot-OneTime</v>
      </c>
      <c r="AN1543" t="str">
        <f t="shared" si="151"/>
        <v>Defensive</v>
      </c>
      <c r="BD1543" s="23"/>
      <c r="BF1543" s="21"/>
    </row>
    <row r="1544" spans="1:58" x14ac:dyDescent="0.2">
      <c r="A1544">
        <v>777</v>
      </c>
      <c r="B1544">
        <v>130</v>
      </c>
      <c r="E1544" s="5" t="s">
        <v>866</v>
      </c>
      <c r="F1544" s="5" t="s">
        <v>884</v>
      </c>
      <c r="I1544" t="s">
        <v>835</v>
      </c>
      <c r="J1544">
        <v>61</v>
      </c>
      <c r="K1544">
        <v>1</v>
      </c>
      <c r="L1544" t="s">
        <v>401</v>
      </c>
      <c r="M1544" t="s">
        <v>10</v>
      </c>
      <c r="N1544" t="s">
        <v>190</v>
      </c>
      <c r="O1544" t="s">
        <v>79</v>
      </c>
      <c r="P1544" t="s">
        <v>688</v>
      </c>
      <c r="U1544" s="8">
        <f t="shared" si="153"/>
        <v>2</v>
      </c>
      <c r="AD1544" t="str">
        <f t="shared" si="152"/>
        <v>e</v>
      </c>
      <c r="AE1544" t="str">
        <f t="shared" si="156"/>
        <v>Turnover</v>
      </c>
      <c r="AF1544" t="str">
        <f t="shared" si="154"/>
        <v>Turnover_Giveaway</v>
      </c>
      <c r="AG1544" t="str">
        <f t="shared" si="155"/>
        <v>Giveaway-ShotMissed</v>
      </c>
      <c r="AN1544" t="str">
        <f t="shared" si="151"/>
        <v>Offensive</v>
      </c>
      <c r="BD1544" s="23"/>
      <c r="BF1544" s="21"/>
    </row>
    <row r="1545" spans="1:58" x14ac:dyDescent="0.2">
      <c r="A1545">
        <v>777</v>
      </c>
      <c r="B1545">
        <v>130</v>
      </c>
      <c r="J1545">
        <v>83</v>
      </c>
      <c r="Q1545" t="s">
        <v>699</v>
      </c>
      <c r="U1545" s="8">
        <f t="shared" si="153"/>
        <v>2</v>
      </c>
      <c r="AD1545" t="str">
        <f t="shared" si="152"/>
        <v>o</v>
      </c>
      <c r="AE1545" t="str">
        <f t="shared" si="156"/>
        <v>Turnover</v>
      </c>
      <c r="AF1545" t="str">
        <f t="shared" si="154"/>
        <v>Turnover_Giveaway</v>
      </c>
      <c r="AG1545" t="str">
        <f t="shared" si="155"/>
        <v>Giveaway-ShotMissed</v>
      </c>
      <c r="AN1545" t="str">
        <f t="shared" ref="AN1545:AN1608" si="157">IF(AND(AD1545="e",OR(AE1545="Save",AF1545="Turnover_Takeaway",AF1545="Play_Defensive")),"Defensive",IF(AND(AD1545="o",OR(AE1545="Save",AF1545="Turnover_Takeaway",AF1545="Play_Defensive")),"Offensive",IF(OR(AE1545="Deadice",AE1545="Stoppage",AE1545="Intermission"),"",IF(AD1545="e","Offensive",IF(AD1545="o","Defensive","")))))</f>
        <v>Defensive</v>
      </c>
      <c r="BD1545" s="23"/>
      <c r="BF1545" s="21"/>
    </row>
    <row r="1546" spans="1:58" x14ac:dyDescent="0.2">
      <c r="A1546">
        <v>778</v>
      </c>
      <c r="E1546" s="5" t="s">
        <v>866</v>
      </c>
      <c r="F1546" s="5" t="s">
        <v>869</v>
      </c>
      <c r="G1546" s="5" t="s">
        <v>866</v>
      </c>
      <c r="H1546" s="7" t="s">
        <v>870</v>
      </c>
      <c r="I1546" t="s">
        <v>840</v>
      </c>
      <c r="J1546">
        <v>83</v>
      </c>
      <c r="K1546">
        <v>1</v>
      </c>
      <c r="L1546" t="s">
        <v>845</v>
      </c>
      <c r="M1546" t="s">
        <v>15</v>
      </c>
      <c r="N1546" t="s">
        <v>680</v>
      </c>
      <c r="P1546" t="s">
        <v>689</v>
      </c>
      <c r="Q1546" t="s">
        <v>666</v>
      </c>
      <c r="S1546" t="s">
        <v>689</v>
      </c>
      <c r="U1546" s="8">
        <f t="shared" si="153"/>
        <v>2</v>
      </c>
      <c r="AD1546" t="str">
        <f t="shared" si="152"/>
        <v>e</v>
      </c>
      <c r="AE1546" t="str">
        <f t="shared" si="156"/>
        <v>Possession</v>
      </c>
      <c r="AF1546" t="str">
        <f t="shared" si="154"/>
        <v>PuckRetrieval</v>
      </c>
      <c r="AG1546" t="str">
        <f t="shared" si="155"/>
        <v/>
      </c>
      <c r="AN1546" t="str">
        <f t="shared" si="157"/>
        <v>Offensive</v>
      </c>
      <c r="BD1546" s="23"/>
      <c r="BF1546" s="21"/>
    </row>
    <row r="1547" spans="1:58" x14ac:dyDescent="0.2">
      <c r="A1547">
        <v>779</v>
      </c>
      <c r="E1547" s="5" t="s">
        <v>866</v>
      </c>
      <c r="F1547" s="5" t="s">
        <v>870</v>
      </c>
      <c r="I1547" t="s">
        <v>840</v>
      </c>
      <c r="J1547">
        <v>83</v>
      </c>
      <c r="K1547">
        <v>1</v>
      </c>
      <c r="L1547" t="s">
        <v>845</v>
      </c>
      <c r="M1547" t="s">
        <v>8</v>
      </c>
      <c r="N1547" t="s">
        <v>189</v>
      </c>
      <c r="O1547" t="s">
        <v>70</v>
      </c>
      <c r="P1547" t="s">
        <v>689</v>
      </c>
      <c r="Q1547" t="s">
        <v>662</v>
      </c>
      <c r="S1547" t="s">
        <v>689</v>
      </c>
      <c r="U1547" s="8">
        <f t="shared" si="153"/>
        <v>2</v>
      </c>
      <c r="AD1547" t="str">
        <f t="shared" si="152"/>
        <v>e</v>
      </c>
      <c r="AE1547" t="str">
        <f t="shared" si="156"/>
        <v>Pass</v>
      </c>
      <c r="AF1547" t="str">
        <f t="shared" si="154"/>
        <v>Pass_Completed</v>
      </c>
      <c r="AG1547" t="str">
        <f t="shared" si="155"/>
        <v>Pass-Forehand</v>
      </c>
      <c r="AN1547" t="str">
        <f t="shared" si="157"/>
        <v>Offensive</v>
      </c>
      <c r="BD1547" s="23"/>
      <c r="BF1547" s="21"/>
    </row>
    <row r="1548" spans="1:58" x14ac:dyDescent="0.2">
      <c r="A1548">
        <v>779</v>
      </c>
      <c r="J1548">
        <v>9</v>
      </c>
      <c r="K1548">
        <v>1</v>
      </c>
      <c r="U1548" s="8">
        <f t="shared" si="153"/>
        <v>2</v>
      </c>
      <c r="AD1548" t="str">
        <f t="shared" si="152"/>
        <v>e</v>
      </c>
      <c r="AE1548" t="str">
        <f t="shared" si="156"/>
        <v>Pass</v>
      </c>
      <c r="AF1548" t="str">
        <f t="shared" si="154"/>
        <v>Pass_Completed</v>
      </c>
      <c r="AG1548" t="str">
        <f t="shared" si="155"/>
        <v>Pass-Forehand</v>
      </c>
      <c r="AN1548" t="str">
        <f t="shared" si="157"/>
        <v>Offensive</v>
      </c>
      <c r="BD1548" s="23"/>
      <c r="BF1548" s="21"/>
    </row>
    <row r="1549" spans="1:58" x14ac:dyDescent="0.2">
      <c r="A1549">
        <v>780</v>
      </c>
      <c r="E1549" s="5" t="s">
        <v>866</v>
      </c>
      <c r="F1549" s="5" t="s">
        <v>870</v>
      </c>
      <c r="I1549" t="s">
        <v>840</v>
      </c>
      <c r="J1549">
        <v>83</v>
      </c>
      <c r="K1549">
        <v>1</v>
      </c>
      <c r="L1549" t="s">
        <v>845</v>
      </c>
      <c r="M1549" t="s">
        <v>257</v>
      </c>
      <c r="N1549" t="s">
        <v>201</v>
      </c>
      <c r="O1549" t="s">
        <v>91</v>
      </c>
      <c r="P1549" t="s">
        <v>689</v>
      </c>
      <c r="U1549" s="8">
        <f t="shared" si="153"/>
        <v>2</v>
      </c>
      <c r="AD1549" t="str">
        <f t="shared" si="152"/>
        <v>e</v>
      </c>
      <c r="AE1549" t="str">
        <f t="shared" si="156"/>
        <v>Zone_Entry_Exit</v>
      </c>
      <c r="AF1549" t="str">
        <f t="shared" si="154"/>
        <v>Zone_Exit</v>
      </c>
      <c r="AG1549" t="str">
        <f t="shared" si="155"/>
        <v>ZoneExit-Pass</v>
      </c>
      <c r="AN1549" t="str">
        <f t="shared" si="157"/>
        <v>Offensive</v>
      </c>
      <c r="BD1549" s="23"/>
      <c r="BF1549" s="21"/>
    </row>
    <row r="1550" spans="1:58" x14ac:dyDescent="0.2">
      <c r="A1550">
        <v>780</v>
      </c>
      <c r="J1550">
        <v>9</v>
      </c>
      <c r="K1550">
        <v>1</v>
      </c>
      <c r="U1550" s="8">
        <f t="shared" si="153"/>
        <v>2</v>
      </c>
      <c r="AD1550" t="str">
        <f t="shared" si="152"/>
        <v>e</v>
      </c>
      <c r="AE1550" t="str">
        <f t="shared" si="156"/>
        <v>Zone_Entry_Exit</v>
      </c>
      <c r="AF1550" t="str">
        <f t="shared" si="154"/>
        <v>Zone_Exit</v>
      </c>
      <c r="AG1550" t="str">
        <f t="shared" si="155"/>
        <v>ZoneExit-Pass</v>
      </c>
      <c r="AN1550" t="str">
        <f t="shared" si="157"/>
        <v>Offensive</v>
      </c>
      <c r="BD1550" s="23"/>
      <c r="BF1550" s="21"/>
    </row>
    <row r="1551" spans="1:58" x14ac:dyDescent="0.2">
      <c r="A1551">
        <v>781</v>
      </c>
      <c r="E1551" s="5" t="s">
        <v>866</v>
      </c>
      <c r="F1551" s="5" t="s">
        <v>870</v>
      </c>
      <c r="G1551" s="5" t="s">
        <v>899</v>
      </c>
      <c r="H1551" s="7" t="s">
        <v>872</v>
      </c>
      <c r="I1551" s="5" t="s">
        <v>840</v>
      </c>
      <c r="J1551">
        <v>9</v>
      </c>
      <c r="K1551">
        <v>1</v>
      </c>
      <c r="L1551" s="5" t="s">
        <v>839</v>
      </c>
      <c r="M1551" t="s">
        <v>15</v>
      </c>
      <c r="U1551" s="8">
        <f t="shared" si="153"/>
        <v>2</v>
      </c>
      <c r="AD1551" t="str">
        <f t="shared" si="152"/>
        <v>e</v>
      </c>
      <c r="AE1551" t="str">
        <f t="shared" si="156"/>
        <v>Possession</v>
      </c>
      <c r="AF1551" t="str">
        <f t="shared" si="154"/>
        <v/>
      </c>
      <c r="AG1551" t="str">
        <f t="shared" si="155"/>
        <v/>
      </c>
      <c r="AN1551" t="str">
        <f t="shared" si="157"/>
        <v>Offensive</v>
      </c>
      <c r="BD1551" s="23"/>
      <c r="BF1551" s="21"/>
    </row>
    <row r="1552" spans="1:58" x14ac:dyDescent="0.2">
      <c r="A1552">
        <v>782</v>
      </c>
      <c r="B1552">
        <v>131</v>
      </c>
      <c r="E1552" s="5" t="s">
        <v>899</v>
      </c>
      <c r="F1552" s="5" t="s">
        <v>872</v>
      </c>
      <c r="I1552" t="s">
        <v>840</v>
      </c>
      <c r="J1552">
        <v>9</v>
      </c>
      <c r="K1552">
        <v>1</v>
      </c>
      <c r="L1552" t="s">
        <v>839</v>
      </c>
      <c r="M1552" t="s">
        <v>8</v>
      </c>
      <c r="N1552" t="s">
        <v>199</v>
      </c>
      <c r="O1552" t="s">
        <v>70</v>
      </c>
      <c r="P1552" t="s">
        <v>688</v>
      </c>
      <c r="Q1552" t="s">
        <v>709</v>
      </c>
      <c r="S1552" t="s">
        <v>688</v>
      </c>
      <c r="U1552" s="8">
        <f t="shared" si="153"/>
        <v>2</v>
      </c>
      <c r="AD1552" t="str">
        <f t="shared" si="152"/>
        <v>e</v>
      </c>
      <c r="AE1552" t="str">
        <f t="shared" si="156"/>
        <v>Pass</v>
      </c>
      <c r="AF1552" t="str">
        <f t="shared" si="154"/>
        <v>Pass_Missed</v>
      </c>
      <c r="AG1552" t="str">
        <f t="shared" si="155"/>
        <v>Pass-Forehand</v>
      </c>
      <c r="AN1552" t="str">
        <f t="shared" si="157"/>
        <v>Offensive</v>
      </c>
      <c r="BD1552" s="23"/>
      <c r="BF1552" s="21"/>
    </row>
    <row r="1553" spans="1:58" x14ac:dyDescent="0.2">
      <c r="A1553">
        <v>782</v>
      </c>
      <c r="B1553">
        <v>131</v>
      </c>
      <c r="J1553">
        <v>46</v>
      </c>
      <c r="U1553" s="8">
        <f t="shared" si="153"/>
        <v>2</v>
      </c>
      <c r="AD1553" t="str">
        <f t="shared" si="152"/>
        <v>o</v>
      </c>
      <c r="AE1553" t="str">
        <f t="shared" si="156"/>
        <v>Pass</v>
      </c>
      <c r="AF1553" t="str">
        <f t="shared" si="154"/>
        <v>Pass_Missed</v>
      </c>
      <c r="AG1553" t="str">
        <f t="shared" si="155"/>
        <v>Pass-Forehand</v>
      </c>
      <c r="AN1553" t="str">
        <f t="shared" si="157"/>
        <v>Defensive</v>
      </c>
      <c r="BD1553" s="23"/>
      <c r="BF1553" s="21"/>
    </row>
    <row r="1554" spans="1:58" x14ac:dyDescent="0.2">
      <c r="A1554">
        <v>783</v>
      </c>
      <c r="B1554">
        <v>131</v>
      </c>
      <c r="E1554" s="5" t="s">
        <v>899</v>
      </c>
      <c r="F1554" s="5" t="s">
        <v>872</v>
      </c>
      <c r="I1554" t="s">
        <v>840</v>
      </c>
      <c r="J1554">
        <v>9</v>
      </c>
      <c r="K1554">
        <v>1</v>
      </c>
      <c r="L1554" t="s">
        <v>839</v>
      </c>
      <c r="M1554" t="s">
        <v>257</v>
      </c>
      <c r="N1554" t="s">
        <v>191</v>
      </c>
      <c r="O1554" t="s">
        <v>423</v>
      </c>
      <c r="Q1554" t="s">
        <v>709</v>
      </c>
      <c r="S1554" t="s">
        <v>688</v>
      </c>
      <c r="U1554" s="8">
        <f t="shared" si="153"/>
        <v>2</v>
      </c>
      <c r="AD1554" t="str">
        <f t="shared" si="152"/>
        <v>e</v>
      </c>
      <c r="AE1554" t="str">
        <f t="shared" si="156"/>
        <v>Zone_Entry_Exit</v>
      </c>
      <c r="AF1554" t="str">
        <f t="shared" si="154"/>
        <v>Zone_Entry</v>
      </c>
      <c r="AG1554" t="str">
        <f t="shared" si="155"/>
        <v>ZoneEntry-PassMiss/Misplay</v>
      </c>
      <c r="AN1554" t="str">
        <f t="shared" si="157"/>
        <v>Offensive</v>
      </c>
      <c r="BD1554" s="23"/>
      <c r="BF1554" s="21"/>
    </row>
    <row r="1555" spans="1:58" x14ac:dyDescent="0.2">
      <c r="A1555">
        <v>783</v>
      </c>
      <c r="B1555">
        <v>131</v>
      </c>
      <c r="J1555">
        <v>46</v>
      </c>
      <c r="U1555" s="8">
        <f t="shared" si="153"/>
        <v>2</v>
      </c>
      <c r="AD1555" t="str">
        <f t="shared" si="152"/>
        <v>o</v>
      </c>
      <c r="AE1555" t="str">
        <f t="shared" si="156"/>
        <v>Zone_Entry_Exit</v>
      </c>
      <c r="AF1555" t="str">
        <f t="shared" si="154"/>
        <v>Zone_Entry</v>
      </c>
      <c r="AG1555" t="str">
        <f t="shared" si="155"/>
        <v>ZoneEntry-PassMiss/Misplay</v>
      </c>
      <c r="AN1555" t="str">
        <f t="shared" si="157"/>
        <v>Defensive</v>
      </c>
      <c r="BD1555" s="23"/>
      <c r="BF1555" s="21"/>
    </row>
    <row r="1556" spans="1:58" x14ac:dyDescent="0.2">
      <c r="A1556">
        <v>784</v>
      </c>
      <c r="E1556" s="5" t="s">
        <v>899</v>
      </c>
      <c r="F1556" s="5" t="s">
        <v>895</v>
      </c>
      <c r="I1556" t="s">
        <v>840</v>
      </c>
      <c r="J1556">
        <v>46</v>
      </c>
      <c r="K1556">
        <v>1</v>
      </c>
      <c r="L1556" t="s">
        <v>401</v>
      </c>
      <c r="M1556" t="s">
        <v>15</v>
      </c>
      <c r="N1556" t="s">
        <v>681</v>
      </c>
      <c r="P1556" t="s">
        <v>689</v>
      </c>
      <c r="Q1556" t="s">
        <v>714</v>
      </c>
      <c r="S1556" t="s">
        <v>689</v>
      </c>
      <c r="U1556" s="8">
        <f t="shared" si="153"/>
        <v>2</v>
      </c>
      <c r="AD1556" t="str">
        <f t="shared" si="152"/>
        <v>e</v>
      </c>
      <c r="AE1556" t="str">
        <f t="shared" si="156"/>
        <v>Possession</v>
      </c>
      <c r="AF1556" t="str">
        <f t="shared" si="154"/>
        <v>PuckRecovery</v>
      </c>
      <c r="AG1556" t="str">
        <f t="shared" si="155"/>
        <v/>
      </c>
      <c r="AN1556" t="str">
        <f t="shared" si="157"/>
        <v>Offensive</v>
      </c>
      <c r="BD1556" s="23"/>
      <c r="BF1556" s="21"/>
    </row>
    <row r="1557" spans="1:58" x14ac:dyDescent="0.2">
      <c r="A1557">
        <v>785</v>
      </c>
      <c r="I1557" t="s">
        <v>840</v>
      </c>
      <c r="J1557">
        <v>46</v>
      </c>
      <c r="K1557">
        <v>1</v>
      </c>
      <c r="L1557" t="s">
        <v>401</v>
      </c>
      <c r="M1557" t="s">
        <v>8</v>
      </c>
      <c r="N1557" t="s">
        <v>189</v>
      </c>
      <c r="O1557" t="s">
        <v>70</v>
      </c>
      <c r="P1557" t="s">
        <v>689</v>
      </c>
      <c r="U1557" s="8">
        <f t="shared" si="153"/>
        <v>2</v>
      </c>
      <c r="AD1557" t="str">
        <f t="shared" si="152"/>
        <v>e</v>
      </c>
      <c r="AE1557" t="str">
        <f t="shared" si="156"/>
        <v>Pass</v>
      </c>
      <c r="AF1557" t="str">
        <f t="shared" si="154"/>
        <v>Pass_Completed</v>
      </c>
      <c r="AG1557" t="str">
        <f t="shared" si="155"/>
        <v>Pass-Forehand</v>
      </c>
      <c r="AN1557" t="str">
        <f t="shared" si="157"/>
        <v>Offensive</v>
      </c>
      <c r="BD1557" s="23"/>
      <c r="BF1557" s="21"/>
    </row>
    <row r="1558" spans="1:58" x14ac:dyDescent="0.2">
      <c r="A1558">
        <v>785</v>
      </c>
      <c r="J1558">
        <v>92</v>
      </c>
      <c r="K1558">
        <v>1</v>
      </c>
      <c r="U1558" s="8">
        <f t="shared" si="153"/>
        <v>2</v>
      </c>
      <c r="AD1558" t="str">
        <f t="shared" si="152"/>
        <v>e</v>
      </c>
      <c r="AE1558" t="str">
        <f t="shared" si="156"/>
        <v>Pass</v>
      </c>
      <c r="AF1558" t="str">
        <f t="shared" si="154"/>
        <v>Pass_Completed</v>
      </c>
      <c r="AG1558" t="str">
        <f t="shared" si="155"/>
        <v>Pass-Forehand</v>
      </c>
      <c r="AN1558" t="str">
        <f t="shared" si="157"/>
        <v>Offensive</v>
      </c>
      <c r="BD1558" s="23"/>
      <c r="BF1558" s="21"/>
    </row>
    <row r="1559" spans="1:58" x14ac:dyDescent="0.2">
      <c r="A1559">
        <v>786</v>
      </c>
      <c r="B1559">
        <v>132</v>
      </c>
      <c r="E1559" s="5" t="s">
        <v>899</v>
      </c>
      <c r="F1559" s="5" t="s">
        <v>885</v>
      </c>
      <c r="I1559" t="s">
        <v>840</v>
      </c>
      <c r="J1559">
        <v>92</v>
      </c>
      <c r="K1559">
        <v>1</v>
      </c>
      <c r="L1559" t="s">
        <v>401</v>
      </c>
      <c r="M1559" t="s">
        <v>7</v>
      </c>
      <c r="N1559" t="s">
        <v>222</v>
      </c>
      <c r="O1559" t="s">
        <v>65</v>
      </c>
      <c r="P1559" t="s">
        <v>689</v>
      </c>
      <c r="T1559">
        <v>1</v>
      </c>
      <c r="U1559" s="8">
        <f t="shared" si="153"/>
        <v>2</v>
      </c>
      <c r="AD1559" t="str">
        <f t="shared" si="152"/>
        <v>e</v>
      </c>
      <c r="AE1559" t="str">
        <f t="shared" si="156"/>
        <v>Shot</v>
      </c>
      <c r="AF1559" t="str">
        <f t="shared" si="154"/>
        <v>Shot_OnNetSaved</v>
      </c>
      <c r="AG1559" t="str">
        <f t="shared" si="155"/>
        <v>Shot-OneTime</v>
      </c>
      <c r="AN1559" t="str">
        <f t="shared" si="157"/>
        <v>Offensive</v>
      </c>
      <c r="BD1559" s="23"/>
      <c r="BF1559" s="21"/>
    </row>
    <row r="1560" spans="1:58" x14ac:dyDescent="0.2">
      <c r="A1560">
        <v>786</v>
      </c>
      <c r="B1560">
        <v>132</v>
      </c>
      <c r="J1560">
        <v>39</v>
      </c>
      <c r="U1560" s="8">
        <f t="shared" si="153"/>
        <v>2</v>
      </c>
      <c r="AD1560" t="str">
        <f t="shared" si="152"/>
        <v>o</v>
      </c>
      <c r="AE1560" t="str">
        <f t="shared" si="156"/>
        <v>Shot</v>
      </c>
      <c r="AF1560" t="str">
        <f t="shared" si="154"/>
        <v>Shot_OnNetSaved</v>
      </c>
      <c r="AG1560" t="str">
        <f t="shared" si="155"/>
        <v>Shot-OneTime</v>
      </c>
      <c r="AN1560" t="str">
        <f t="shared" si="157"/>
        <v>Defensive</v>
      </c>
      <c r="BD1560" s="23"/>
      <c r="BF1560" s="21"/>
    </row>
    <row r="1561" spans="1:58" x14ac:dyDescent="0.2">
      <c r="A1561">
        <v>786</v>
      </c>
      <c r="B1561">
        <v>132</v>
      </c>
      <c r="J1561">
        <v>91</v>
      </c>
      <c r="Q1561" t="s">
        <v>696</v>
      </c>
      <c r="T1561">
        <v>1</v>
      </c>
      <c r="U1561" s="8">
        <f t="shared" si="153"/>
        <v>2</v>
      </c>
      <c r="AD1561" t="str">
        <f t="shared" si="152"/>
        <v>o</v>
      </c>
      <c r="AE1561" t="str">
        <f t="shared" si="156"/>
        <v>Shot</v>
      </c>
      <c r="AF1561" t="str">
        <f t="shared" si="154"/>
        <v>Shot_OnNetSaved</v>
      </c>
      <c r="AG1561" t="str">
        <f t="shared" si="155"/>
        <v>Shot-OneTime</v>
      </c>
      <c r="AN1561" t="str">
        <f t="shared" si="157"/>
        <v>Defensive</v>
      </c>
      <c r="BD1561" s="23"/>
      <c r="BF1561" s="21"/>
    </row>
    <row r="1562" spans="1:58" x14ac:dyDescent="0.2">
      <c r="A1562">
        <v>787</v>
      </c>
      <c r="B1562">
        <v>132</v>
      </c>
      <c r="E1562" s="5" t="s">
        <v>899</v>
      </c>
      <c r="F1562" s="5" t="s">
        <v>885</v>
      </c>
      <c r="I1562" t="s">
        <v>835</v>
      </c>
      <c r="J1562">
        <v>39</v>
      </c>
      <c r="K1562">
        <v>1</v>
      </c>
      <c r="L1562" t="s">
        <v>845</v>
      </c>
      <c r="M1562" t="s">
        <v>17</v>
      </c>
      <c r="N1562" t="s">
        <v>196</v>
      </c>
      <c r="O1562" t="s">
        <v>99</v>
      </c>
      <c r="U1562" s="8">
        <f t="shared" si="153"/>
        <v>2</v>
      </c>
      <c r="AD1562" t="str">
        <f t="shared" si="152"/>
        <v>e</v>
      </c>
      <c r="AE1562" t="str">
        <f t="shared" si="156"/>
        <v>Save</v>
      </c>
      <c r="AF1562" t="str">
        <f t="shared" si="154"/>
        <v>Save_Rebound</v>
      </c>
      <c r="AG1562" t="str">
        <f t="shared" si="155"/>
        <v>Save-RightPad</v>
      </c>
      <c r="AN1562" t="str">
        <f t="shared" si="157"/>
        <v>Defensive</v>
      </c>
      <c r="BD1562" s="23"/>
      <c r="BF1562" s="21"/>
    </row>
    <row r="1563" spans="1:58" x14ac:dyDescent="0.2">
      <c r="A1563">
        <v>787</v>
      </c>
      <c r="B1563">
        <v>132</v>
      </c>
      <c r="J1563">
        <v>91</v>
      </c>
      <c r="K1563">
        <v>1</v>
      </c>
      <c r="Q1563" t="s">
        <v>696</v>
      </c>
      <c r="T1563">
        <v>1</v>
      </c>
      <c r="U1563" s="8">
        <f t="shared" si="153"/>
        <v>2</v>
      </c>
      <c r="AD1563" t="str">
        <f t="shared" si="152"/>
        <v>e</v>
      </c>
      <c r="AE1563" t="str">
        <f t="shared" si="156"/>
        <v>Save</v>
      </c>
      <c r="AF1563" t="str">
        <f t="shared" si="154"/>
        <v>Save_Rebound</v>
      </c>
      <c r="AG1563" t="str">
        <f t="shared" si="155"/>
        <v>Save-RightPad</v>
      </c>
      <c r="AN1563" t="str">
        <f t="shared" si="157"/>
        <v>Defensive</v>
      </c>
      <c r="BD1563" s="23"/>
      <c r="BF1563" s="21"/>
    </row>
    <row r="1564" spans="1:58" x14ac:dyDescent="0.2">
      <c r="A1564">
        <v>787</v>
      </c>
      <c r="B1564">
        <v>132</v>
      </c>
      <c r="J1564">
        <v>92</v>
      </c>
      <c r="T1564">
        <v>1</v>
      </c>
      <c r="U1564" s="8">
        <f t="shared" si="153"/>
        <v>2</v>
      </c>
      <c r="AD1564" t="str">
        <f t="shared" si="152"/>
        <v>o</v>
      </c>
      <c r="AE1564" t="str">
        <f t="shared" si="156"/>
        <v>Save</v>
      </c>
      <c r="AF1564" t="str">
        <f t="shared" si="154"/>
        <v>Save_Rebound</v>
      </c>
      <c r="AG1564" t="str">
        <f t="shared" si="155"/>
        <v>Save-RightPad</v>
      </c>
      <c r="AN1564" t="str">
        <f t="shared" si="157"/>
        <v>Offensive</v>
      </c>
      <c r="BD1564" s="23"/>
      <c r="BF1564" s="21"/>
    </row>
    <row r="1565" spans="1:58" x14ac:dyDescent="0.2">
      <c r="A1565">
        <v>789</v>
      </c>
      <c r="B1565">
        <v>132</v>
      </c>
      <c r="E1565" s="5" t="s">
        <v>899</v>
      </c>
      <c r="F1565" s="5" t="s">
        <v>885</v>
      </c>
      <c r="I1565" t="s">
        <v>835</v>
      </c>
      <c r="J1565">
        <v>39</v>
      </c>
      <c r="K1565">
        <v>1</v>
      </c>
      <c r="L1565" t="s">
        <v>845</v>
      </c>
      <c r="M1565" t="s">
        <v>250</v>
      </c>
      <c r="N1565" t="s">
        <v>251</v>
      </c>
      <c r="U1565" s="8">
        <f t="shared" si="153"/>
        <v>2</v>
      </c>
      <c r="AD1565" t="str">
        <f t="shared" si="152"/>
        <v>e</v>
      </c>
      <c r="AE1565" t="str">
        <f t="shared" si="156"/>
        <v>Rebound</v>
      </c>
      <c r="AF1565" t="str">
        <f t="shared" si="154"/>
        <v>Rebound_TeamRecovered</v>
      </c>
      <c r="AG1565" t="str">
        <f t="shared" si="155"/>
        <v/>
      </c>
      <c r="AN1565" t="str">
        <f t="shared" si="157"/>
        <v>Offensive</v>
      </c>
      <c r="BD1565" s="23"/>
      <c r="BF1565" s="21"/>
    </row>
    <row r="1566" spans="1:58" x14ac:dyDescent="0.2">
      <c r="A1566">
        <v>790</v>
      </c>
      <c r="E1566" s="5" t="s">
        <v>899</v>
      </c>
      <c r="F1566" s="5" t="s">
        <v>875</v>
      </c>
      <c r="I1566" t="s">
        <v>835</v>
      </c>
      <c r="J1566">
        <v>61</v>
      </c>
      <c r="K1566">
        <v>1</v>
      </c>
      <c r="L1566" t="s">
        <v>845</v>
      </c>
      <c r="M1566" t="s">
        <v>15</v>
      </c>
      <c r="N1566" t="s">
        <v>680</v>
      </c>
      <c r="P1566" t="s">
        <v>688</v>
      </c>
      <c r="Q1566" t="s">
        <v>789</v>
      </c>
      <c r="S1566" t="s">
        <v>688</v>
      </c>
      <c r="U1566" s="8">
        <f t="shared" si="153"/>
        <v>2</v>
      </c>
      <c r="AD1566" t="str">
        <f t="shared" si="152"/>
        <v>e</v>
      </c>
      <c r="AE1566" t="str">
        <f t="shared" si="156"/>
        <v>Possession</v>
      </c>
      <c r="AF1566" t="str">
        <f t="shared" si="154"/>
        <v>PuckRetrieval</v>
      </c>
      <c r="AG1566" t="str">
        <f t="shared" si="155"/>
        <v/>
      </c>
      <c r="AN1566" t="str">
        <f t="shared" si="157"/>
        <v>Offensive</v>
      </c>
      <c r="BD1566" s="23"/>
      <c r="BF1566" s="21"/>
    </row>
    <row r="1567" spans="1:58" x14ac:dyDescent="0.2">
      <c r="A1567">
        <v>791</v>
      </c>
      <c r="B1567">
        <v>133</v>
      </c>
      <c r="E1567" s="5" t="s">
        <v>899</v>
      </c>
      <c r="F1567" s="5" t="s">
        <v>875</v>
      </c>
      <c r="I1567" t="s">
        <v>835</v>
      </c>
      <c r="J1567">
        <v>61</v>
      </c>
      <c r="K1567">
        <v>1</v>
      </c>
      <c r="L1567" t="s">
        <v>845</v>
      </c>
      <c r="M1567" t="s">
        <v>8</v>
      </c>
      <c r="N1567" t="s">
        <v>199</v>
      </c>
      <c r="O1567" t="s">
        <v>70</v>
      </c>
      <c r="P1567" t="s">
        <v>688</v>
      </c>
      <c r="Q1567" t="s">
        <v>749</v>
      </c>
      <c r="R1567" t="s">
        <v>706</v>
      </c>
      <c r="S1567" t="s">
        <v>688</v>
      </c>
      <c r="U1567" s="8">
        <f t="shared" si="153"/>
        <v>2</v>
      </c>
      <c r="AD1567" t="str">
        <f t="shared" si="152"/>
        <v>e</v>
      </c>
      <c r="AE1567" t="str">
        <f t="shared" si="156"/>
        <v>Pass</v>
      </c>
      <c r="AF1567" t="str">
        <f t="shared" si="154"/>
        <v>Pass_Missed</v>
      </c>
      <c r="AG1567" t="str">
        <f t="shared" si="155"/>
        <v>Pass-Forehand</v>
      </c>
      <c r="AN1567" t="str">
        <f t="shared" si="157"/>
        <v>Offensive</v>
      </c>
      <c r="BD1567" s="23"/>
      <c r="BF1567" s="21"/>
    </row>
    <row r="1568" spans="1:58" x14ac:dyDescent="0.2">
      <c r="A1568">
        <v>791</v>
      </c>
      <c r="B1568">
        <v>133</v>
      </c>
      <c r="J1568">
        <v>49</v>
      </c>
      <c r="K1568">
        <v>1</v>
      </c>
      <c r="U1568" s="8">
        <f t="shared" si="153"/>
        <v>2</v>
      </c>
      <c r="AD1568" t="str">
        <f t="shared" si="152"/>
        <v>e</v>
      </c>
      <c r="AE1568" t="str">
        <f t="shared" si="156"/>
        <v>Pass</v>
      </c>
      <c r="AF1568" t="str">
        <f t="shared" si="154"/>
        <v>Pass_Missed</v>
      </c>
      <c r="AG1568" t="str">
        <f t="shared" si="155"/>
        <v>Pass-Forehand</v>
      </c>
      <c r="AN1568" t="str">
        <f t="shared" si="157"/>
        <v>Offensive</v>
      </c>
      <c r="BD1568" s="23"/>
      <c r="BF1568" s="21"/>
    </row>
    <row r="1569" spans="1:58" x14ac:dyDescent="0.2">
      <c r="A1569">
        <v>792</v>
      </c>
      <c r="B1569">
        <v>133</v>
      </c>
      <c r="E1569" s="5" t="s">
        <v>899</v>
      </c>
      <c r="F1569" s="5" t="s">
        <v>875</v>
      </c>
      <c r="I1569" t="s">
        <v>835</v>
      </c>
      <c r="J1569">
        <v>61</v>
      </c>
      <c r="K1569">
        <v>1</v>
      </c>
      <c r="L1569" t="s">
        <v>845</v>
      </c>
      <c r="M1569" t="s">
        <v>257</v>
      </c>
      <c r="N1569" t="s">
        <v>191</v>
      </c>
      <c r="O1569" t="s">
        <v>423</v>
      </c>
      <c r="P1569" t="s">
        <v>688</v>
      </c>
      <c r="Q1569" t="s">
        <v>749</v>
      </c>
      <c r="R1569" t="s">
        <v>706</v>
      </c>
      <c r="S1569" t="s">
        <v>688</v>
      </c>
      <c r="U1569" s="8">
        <f t="shared" si="153"/>
        <v>2</v>
      </c>
      <c r="AD1569" t="str">
        <f t="shared" si="152"/>
        <v>e</v>
      </c>
      <c r="AE1569" t="str">
        <f t="shared" si="156"/>
        <v>Zone_Entry_Exit</v>
      </c>
      <c r="AF1569" t="str">
        <f t="shared" si="154"/>
        <v>Zone_Entry</v>
      </c>
      <c r="AG1569" t="str">
        <f t="shared" si="155"/>
        <v>ZoneEntry-PassMiss/Misplay</v>
      </c>
      <c r="AN1569" t="str">
        <f t="shared" si="157"/>
        <v>Offensive</v>
      </c>
      <c r="BD1569" s="23"/>
      <c r="BF1569" s="21"/>
    </row>
    <row r="1570" spans="1:58" x14ac:dyDescent="0.2">
      <c r="A1570">
        <v>792</v>
      </c>
      <c r="B1570">
        <v>133</v>
      </c>
      <c r="J1570">
        <v>49</v>
      </c>
      <c r="K1570">
        <v>1</v>
      </c>
      <c r="U1570" s="8">
        <f t="shared" si="153"/>
        <v>2</v>
      </c>
      <c r="AD1570" t="str">
        <f t="shared" si="152"/>
        <v>e</v>
      </c>
      <c r="AE1570" t="str">
        <f t="shared" si="156"/>
        <v>Zone_Entry_Exit</v>
      </c>
      <c r="AF1570" t="str">
        <f t="shared" si="154"/>
        <v>Zone_Entry</v>
      </c>
      <c r="AG1570" t="str">
        <f t="shared" si="155"/>
        <v>ZoneEntry-PassMiss/Misplay</v>
      </c>
      <c r="AN1570" t="str">
        <f t="shared" si="157"/>
        <v>Offensive</v>
      </c>
      <c r="BD1570" s="23"/>
      <c r="BF1570" s="21"/>
    </row>
    <row r="1571" spans="1:58" x14ac:dyDescent="0.2">
      <c r="A1571">
        <v>793</v>
      </c>
      <c r="B1571">
        <v>133</v>
      </c>
      <c r="E1571" s="5" t="s">
        <v>899</v>
      </c>
      <c r="F1571" s="5" t="s">
        <v>875</v>
      </c>
      <c r="I1571" t="s">
        <v>835</v>
      </c>
      <c r="J1571">
        <v>61</v>
      </c>
      <c r="K1571">
        <v>1</v>
      </c>
      <c r="L1571" t="s">
        <v>845</v>
      </c>
      <c r="M1571" t="s">
        <v>10</v>
      </c>
      <c r="N1571" t="s">
        <v>190</v>
      </c>
      <c r="O1571" t="s">
        <v>76</v>
      </c>
      <c r="P1571" t="s">
        <v>688</v>
      </c>
      <c r="Q1571" t="s">
        <v>749</v>
      </c>
      <c r="R1571" t="s">
        <v>706</v>
      </c>
      <c r="S1571" t="s">
        <v>688</v>
      </c>
      <c r="U1571" s="8">
        <f t="shared" si="153"/>
        <v>2</v>
      </c>
      <c r="AD1571" t="str">
        <f t="shared" si="152"/>
        <v>e</v>
      </c>
      <c r="AE1571" t="str">
        <f t="shared" si="156"/>
        <v>Turnover</v>
      </c>
      <c r="AF1571" t="str">
        <f t="shared" si="154"/>
        <v>Turnover_Giveaway</v>
      </c>
      <c r="AG1571" t="str">
        <f t="shared" si="155"/>
        <v>Giveaway-PassMissed</v>
      </c>
      <c r="AN1571" t="str">
        <f t="shared" si="157"/>
        <v>Offensive</v>
      </c>
      <c r="BD1571" s="23"/>
      <c r="BF1571" s="21"/>
    </row>
    <row r="1572" spans="1:58" x14ac:dyDescent="0.2">
      <c r="A1572">
        <v>793</v>
      </c>
      <c r="B1572">
        <v>133</v>
      </c>
      <c r="J1572">
        <v>49</v>
      </c>
      <c r="K1572">
        <v>1</v>
      </c>
      <c r="U1572" s="8">
        <f t="shared" si="153"/>
        <v>2</v>
      </c>
      <c r="AD1572" t="str">
        <f t="shared" si="152"/>
        <v>e</v>
      </c>
      <c r="AE1572" t="str">
        <f t="shared" si="156"/>
        <v>Turnover</v>
      </c>
      <c r="AF1572" t="str">
        <f t="shared" si="154"/>
        <v>Turnover_Giveaway</v>
      </c>
      <c r="AG1572" t="str">
        <f t="shared" si="155"/>
        <v>Giveaway-PassMissed</v>
      </c>
      <c r="AN1572" t="str">
        <f t="shared" si="157"/>
        <v>Offensive</v>
      </c>
      <c r="BD1572" s="23"/>
      <c r="BF1572" s="21"/>
    </row>
    <row r="1573" spans="1:58" x14ac:dyDescent="0.2">
      <c r="A1573">
        <v>794</v>
      </c>
      <c r="E1573" s="5" t="s">
        <v>899</v>
      </c>
      <c r="F1573" s="5" t="s">
        <v>876</v>
      </c>
      <c r="I1573" t="s">
        <v>840</v>
      </c>
      <c r="J1573">
        <v>74</v>
      </c>
      <c r="K1573">
        <v>1</v>
      </c>
      <c r="L1573" t="s">
        <v>839</v>
      </c>
      <c r="M1573" t="s">
        <v>15</v>
      </c>
      <c r="N1573" t="s">
        <v>680</v>
      </c>
      <c r="P1573" t="s">
        <v>688</v>
      </c>
      <c r="Q1573" t="s">
        <v>701</v>
      </c>
      <c r="S1573" t="s">
        <v>688</v>
      </c>
      <c r="U1573" s="8">
        <f t="shared" si="153"/>
        <v>2</v>
      </c>
      <c r="AD1573" t="str">
        <f t="shared" si="152"/>
        <v>e</v>
      </c>
      <c r="AE1573" t="str">
        <f t="shared" si="156"/>
        <v>Possession</v>
      </c>
      <c r="AF1573" t="str">
        <f t="shared" si="154"/>
        <v>PuckRetrieval</v>
      </c>
      <c r="AG1573" t="str">
        <f t="shared" si="155"/>
        <v/>
      </c>
      <c r="AN1573" t="str">
        <f t="shared" si="157"/>
        <v>Offensive</v>
      </c>
      <c r="BD1573" s="23"/>
      <c r="BF1573" s="21"/>
    </row>
    <row r="1574" spans="1:58" x14ac:dyDescent="0.2">
      <c r="A1574">
        <v>795</v>
      </c>
      <c r="B1574">
        <v>134</v>
      </c>
      <c r="E1574" s="5" t="s">
        <v>899</v>
      </c>
      <c r="F1574" s="5" t="s">
        <v>876</v>
      </c>
      <c r="I1574" t="s">
        <v>840</v>
      </c>
      <c r="J1574">
        <v>74</v>
      </c>
      <c r="K1574">
        <v>1</v>
      </c>
      <c r="L1574" t="s">
        <v>839</v>
      </c>
      <c r="M1574" t="s">
        <v>257</v>
      </c>
      <c r="N1574" t="s">
        <v>191</v>
      </c>
      <c r="O1574" t="s">
        <v>89</v>
      </c>
      <c r="P1574" t="s">
        <v>688</v>
      </c>
      <c r="Q1574" t="s">
        <v>750</v>
      </c>
      <c r="S1574" t="s">
        <v>688</v>
      </c>
      <c r="U1574" s="8">
        <f t="shared" si="153"/>
        <v>2</v>
      </c>
      <c r="AD1574" t="str">
        <f t="shared" si="152"/>
        <v>e</v>
      </c>
      <c r="AE1574" t="str">
        <f t="shared" si="156"/>
        <v>Zone_Entry_Exit</v>
      </c>
      <c r="AF1574" t="str">
        <f t="shared" si="154"/>
        <v>Zone_Entry</v>
      </c>
      <c r="AG1574" t="str">
        <f t="shared" si="155"/>
        <v>ZoneEntry-DumpIn</v>
      </c>
      <c r="AN1574" t="str">
        <f t="shared" si="157"/>
        <v>Offensive</v>
      </c>
      <c r="BD1574" s="23"/>
      <c r="BF1574" s="21"/>
    </row>
    <row r="1575" spans="1:58" x14ac:dyDescent="0.2">
      <c r="A1575">
        <v>796</v>
      </c>
      <c r="B1575">
        <v>134</v>
      </c>
      <c r="E1575" s="5" t="s">
        <v>899</v>
      </c>
      <c r="F1575" s="5" t="s">
        <v>876</v>
      </c>
      <c r="I1575" t="s">
        <v>840</v>
      </c>
      <c r="J1575">
        <v>74</v>
      </c>
      <c r="K1575">
        <v>1</v>
      </c>
      <c r="L1575" t="s">
        <v>839</v>
      </c>
      <c r="M1575" t="s">
        <v>7</v>
      </c>
      <c r="N1575" t="s">
        <v>222</v>
      </c>
      <c r="O1575" t="s">
        <v>63</v>
      </c>
      <c r="P1575" t="s">
        <v>689</v>
      </c>
      <c r="U1575" s="8">
        <f t="shared" si="153"/>
        <v>2</v>
      </c>
      <c r="AD1575" t="str">
        <f t="shared" si="152"/>
        <v>e</v>
      </c>
      <c r="AE1575" t="str">
        <f t="shared" si="156"/>
        <v>Shot</v>
      </c>
      <c r="AF1575" t="str">
        <f t="shared" si="154"/>
        <v>Shot_OnNetSaved</v>
      </c>
      <c r="AG1575" t="str">
        <f t="shared" si="155"/>
        <v>Shot-Dumpin</v>
      </c>
      <c r="AN1575" t="str">
        <f t="shared" si="157"/>
        <v>Offensive</v>
      </c>
      <c r="BD1575" s="23"/>
      <c r="BF1575" s="21"/>
    </row>
    <row r="1576" spans="1:58" x14ac:dyDescent="0.2">
      <c r="A1576">
        <v>796</v>
      </c>
      <c r="B1576">
        <v>134</v>
      </c>
      <c r="J1576">
        <v>39</v>
      </c>
      <c r="U1576" s="8">
        <f t="shared" si="153"/>
        <v>2</v>
      </c>
      <c r="AD1576" t="str">
        <f t="shared" si="152"/>
        <v>o</v>
      </c>
      <c r="AE1576" t="str">
        <f t="shared" si="156"/>
        <v>Shot</v>
      </c>
      <c r="AF1576" t="str">
        <f t="shared" si="154"/>
        <v>Shot_OnNetSaved</v>
      </c>
      <c r="AG1576" t="str">
        <f t="shared" si="155"/>
        <v>Shot-Dumpin</v>
      </c>
      <c r="AN1576" t="str">
        <f t="shared" si="157"/>
        <v>Defensive</v>
      </c>
      <c r="BD1576" s="23"/>
      <c r="BF1576" s="21"/>
    </row>
    <row r="1577" spans="1:58" x14ac:dyDescent="0.2">
      <c r="A1577">
        <v>797</v>
      </c>
      <c r="B1577">
        <v>134</v>
      </c>
      <c r="E1577" s="5" t="s">
        <v>899</v>
      </c>
      <c r="F1577" s="5" t="s">
        <v>876</v>
      </c>
      <c r="I1577" t="s">
        <v>835</v>
      </c>
      <c r="J1577">
        <v>39</v>
      </c>
      <c r="K1577">
        <v>1</v>
      </c>
      <c r="L1577" t="s">
        <v>845</v>
      </c>
      <c r="M1577" t="s">
        <v>17</v>
      </c>
      <c r="N1577" t="s">
        <v>417</v>
      </c>
      <c r="O1577" t="s">
        <v>100</v>
      </c>
      <c r="U1577" s="8">
        <f t="shared" si="153"/>
        <v>2</v>
      </c>
      <c r="AD1577" t="str">
        <f t="shared" si="152"/>
        <v>e</v>
      </c>
      <c r="AE1577" t="str">
        <f t="shared" si="156"/>
        <v>Save</v>
      </c>
      <c r="AF1577" t="str">
        <f t="shared" si="154"/>
        <v>Save_Played</v>
      </c>
      <c r="AG1577" t="str">
        <f t="shared" si="155"/>
        <v>Save-Stick</v>
      </c>
      <c r="AN1577" t="str">
        <f t="shared" si="157"/>
        <v>Defensive</v>
      </c>
      <c r="BD1577" s="23"/>
      <c r="BF1577" s="21"/>
    </row>
    <row r="1578" spans="1:58" x14ac:dyDescent="0.2">
      <c r="A1578">
        <v>797</v>
      </c>
      <c r="B1578">
        <v>134</v>
      </c>
      <c r="J1578">
        <v>74</v>
      </c>
      <c r="U1578" s="8">
        <f t="shared" si="153"/>
        <v>2</v>
      </c>
      <c r="AD1578" t="str">
        <f t="shared" si="152"/>
        <v>o</v>
      </c>
      <c r="AE1578" t="str">
        <f t="shared" si="156"/>
        <v>Save</v>
      </c>
      <c r="AF1578" t="str">
        <f t="shared" si="154"/>
        <v>Save_Played</v>
      </c>
      <c r="AG1578" t="str">
        <f t="shared" si="155"/>
        <v>Save-Stick</v>
      </c>
      <c r="AN1578" t="str">
        <f t="shared" si="157"/>
        <v>Offensive</v>
      </c>
      <c r="BD1578" s="23"/>
      <c r="BF1578" s="21"/>
    </row>
    <row r="1579" spans="1:58" x14ac:dyDescent="0.2">
      <c r="A1579">
        <v>798</v>
      </c>
      <c r="B1579">
        <v>134</v>
      </c>
      <c r="E1579" s="5" t="s">
        <v>899</v>
      </c>
      <c r="F1579" s="5" t="s">
        <v>876</v>
      </c>
      <c r="I1579" t="s">
        <v>835</v>
      </c>
      <c r="J1579">
        <v>39</v>
      </c>
      <c r="K1579">
        <v>1</v>
      </c>
      <c r="L1579" t="s">
        <v>845</v>
      </c>
      <c r="M1579" t="s">
        <v>8</v>
      </c>
      <c r="N1579" t="s">
        <v>189</v>
      </c>
      <c r="O1579" t="s">
        <v>70</v>
      </c>
      <c r="U1579" s="8">
        <f t="shared" si="153"/>
        <v>2</v>
      </c>
      <c r="AD1579" t="str">
        <f t="shared" si="152"/>
        <v>e</v>
      </c>
      <c r="AE1579" t="str">
        <f t="shared" si="156"/>
        <v>Pass</v>
      </c>
      <c r="AF1579" t="str">
        <f t="shared" si="154"/>
        <v>Pass_Completed</v>
      </c>
      <c r="AG1579" t="str">
        <f t="shared" si="155"/>
        <v>Pass-Forehand</v>
      </c>
      <c r="AN1579" t="str">
        <f t="shared" si="157"/>
        <v>Offensive</v>
      </c>
      <c r="BD1579" s="23"/>
      <c r="BF1579" s="21"/>
    </row>
    <row r="1580" spans="1:58" x14ac:dyDescent="0.2">
      <c r="A1580">
        <v>798</v>
      </c>
      <c r="J1580">
        <v>91</v>
      </c>
      <c r="K1580">
        <v>1</v>
      </c>
      <c r="U1580" s="8">
        <f t="shared" si="153"/>
        <v>2</v>
      </c>
      <c r="AD1580" t="str">
        <f t="shared" si="152"/>
        <v>e</v>
      </c>
      <c r="AE1580" t="str">
        <f t="shared" si="156"/>
        <v>Pass</v>
      </c>
      <c r="AF1580" t="str">
        <f t="shared" si="154"/>
        <v>Pass_Completed</v>
      </c>
      <c r="AG1580" t="str">
        <f t="shared" si="155"/>
        <v>Pass-Forehand</v>
      </c>
      <c r="AN1580" t="str">
        <f t="shared" si="157"/>
        <v>Offensive</v>
      </c>
      <c r="BD1580" s="23"/>
      <c r="BF1580" s="21"/>
    </row>
    <row r="1581" spans="1:58" x14ac:dyDescent="0.2">
      <c r="A1581">
        <v>799</v>
      </c>
      <c r="E1581" s="5" t="s">
        <v>899</v>
      </c>
      <c r="F1581" s="5" t="s">
        <v>889</v>
      </c>
      <c r="I1581" t="s">
        <v>835</v>
      </c>
      <c r="J1581">
        <v>91</v>
      </c>
      <c r="K1581">
        <v>1</v>
      </c>
      <c r="L1581" t="s">
        <v>845</v>
      </c>
      <c r="M1581" t="s">
        <v>10</v>
      </c>
      <c r="N1581" t="s">
        <v>190</v>
      </c>
      <c r="O1581" t="s">
        <v>398</v>
      </c>
      <c r="P1581" t="s">
        <v>688</v>
      </c>
      <c r="Q1581" t="s">
        <v>708</v>
      </c>
      <c r="S1581" t="s">
        <v>688</v>
      </c>
      <c r="U1581" s="8">
        <f t="shared" si="153"/>
        <v>2</v>
      </c>
      <c r="AD1581" t="str">
        <f t="shared" si="152"/>
        <v>e</v>
      </c>
      <c r="AE1581" t="str">
        <f t="shared" si="156"/>
        <v>Turnover</v>
      </c>
      <c r="AF1581" t="str">
        <f t="shared" si="154"/>
        <v>Turnover_Giveaway</v>
      </c>
      <c r="AG1581" t="str">
        <f t="shared" si="155"/>
        <v>Giveaway-AttemptedZoneClear/Dump</v>
      </c>
      <c r="AN1581" t="str">
        <f t="shared" si="157"/>
        <v>Offensive</v>
      </c>
      <c r="BD1581" s="23"/>
      <c r="BF1581" s="21"/>
    </row>
    <row r="1582" spans="1:58" x14ac:dyDescent="0.2">
      <c r="A1582">
        <v>800</v>
      </c>
      <c r="E1582" s="5" t="s">
        <v>899</v>
      </c>
      <c r="F1582" s="5" t="s">
        <v>878</v>
      </c>
      <c r="G1582" s="5" t="s">
        <v>899</v>
      </c>
      <c r="H1582" s="7" t="s">
        <v>879</v>
      </c>
      <c r="I1582" t="s">
        <v>840</v>
      </c>
      <c r="J1582">
        <v>92</v>
      </c>
      <c r="K1582">
        <v>1</v>
      </c>
      <c r="L1582" t="s">
        <v>401</v>
      </c>
      <c r="M1582" t="s">
        <v>15</v>
      </c>
      <c r="N1582" t="s">
        <v>680</v>
      </c>
      <c r="P1582" t="s">
        <v>688</v>
      </c>
      <c r="Q1582" t="s">
        <v>694</v>
      </c>
      <c r="S1582" t="s">
        <v>688</v>
      </c>
      <c r="T1582">
        <v>1</v>
      </c>
      <c r="U1582" s="8">
        <f t="shared" si="153"/>
        <v>2</v>
      </c>
      <c r="AD1582" t="str">
        <f t="shared" si="152"/>
        <v>e</v>
      </c>
      <c r="AE1582" t="str">
        <f t="shared" si="156"/>
        <v>Possession</v>
      </c>
      <c r="AF1582" t="str">
        <f t="shared" si="154"/>
        <v>PuckRetrieval</v>
      </c>
      <c r="AG1582" t="str">
        <f t="shared" si="155"/>
        <v/>
      </c>
      <c r="AN1582" t="str">
        <f t="shared" si="157"/>
        <v>Offensive</v>
      </c>
      <c r="BD1582" s="23"/>
      <c r="BF1582" s="21"/>
    </row>
    <row r="1583" spans="1:58" x14ac:dyDescent="0.2">
      <c r="A1583">
        <v>800</v>
      </c>
      <c r="J1583">
        <v>52</v>
      </c>
      <c r="T1583">
        <v>1</v>
      </c>
      <c r="U1583" s="8">
        <f t="shared" si="153"/>
        <v>2</v>
      </c>
      <c r="AD1583" t="str">
        <f t="shared" si="152"/>
        <v>o</v>
      </c>
      <c r="AE1583" t="str">
        <f t="shared" si="156"/>
        <v>Possession</v>
      </c>
      <c r="AF1583" t="str">
        <f t="shared" si="154"/>
        <v>PuckRetrieval</v>
      </c>
      <c r="AG1583" t="str">
        <f t="shared" si="155"/>
        <v/>
      </c>
      <c r="AN1583" t="str">
        <f t="shared" si="157"/>
        <v>Defensive</v>
      </c>
      <c r="BD1583" s="23"/>
      <c r="BF1583" s="21"/>
    </row>
    <row r="1584" spans="1:58" x14ac:dyDescent="0.2">
      <c r="A1584">
        <v>800</v>
      </c>
      <c r="J1584">
        <v>61</v>
      </c>
      <c r="T1584">
        <v>1</v>
      </c>
      <c r="U1584" s="8">
        <f t="shared" si="153"/>
        <v>2</v>
      </c>
      <c r="AD1584" t="str">
        <f t="shared" si="152"/>
        <v>o</v>
      </c>
      <c r="AE1584" t="str">
        <f t="shared" si="156"/>
        <v>Possession</v>
      </c>
      <c r="AF1584" t="str">
        <f t="shared" si="154"/>
        <v>PuckRetrieval</v>
      </c>
      <c r="AG1584" t="str">
        <f t="shared" si="155"/>
        <v/>
      </c>
      <c r="AN1584" t="str">
        <f t="shared" si="157"/>
        <v>Defensive</v>
      </c>
      <c r="BD1584" s="23"/>
      <c r="BF1584" s="21"/>
    </row>
    <row r="1585" spans="1:58" x14ac:dyDescent="0.2">
      <c r="A1585">
        <v>801</v>
      </c>
      <c r="E1585" s="5" t="s">
        <v>899</v>
      </c>
      <c r="F1585" s="5" t="s">
        <v>879</v>
      </c>
      <c r="I1585" t="s">
        <v>835</v>
      </c>
      <c r="J1585">
        <v>61</v>
      </c>
      <c r="K1585">
        <v>1</v>
      </c>
      <c r="L1585" t="s">
        <v>845</v>
      </c>
      <c r="M1585" t="s">
        <v>247</v>
      </c>
      <c r="N1585" t="s">
        <v>422</v>
      </c>
      <c r="O1585" t="s">
        <v>465</v>
      </c>
      <c r="P1585" t="s">
        <v>689</v>
      </c>
      <c r="Q1585" t="s">
        <v>695</v>
      </c>
      <c r="S1585" t="s">
        <v>689</v>
      </c>
      <c r="T1585">
        <v>1</v>
      </c>
      <c r="U1585" s="8">
        <f t="shared" si="153"/>
        <v>2</v>
      </c>
      <c r="AD1585" t="str">
        <f t="shared" si="152"/>
        <v>e</v>
      </c>
      <c r="AE1585" t="str">
        <f t="shared" si="156"/>
        <v>Play</v>
      </c>
      <c r="AF1585" t="str">
        <f t="shared" si="154"/>
        <v>Play_Defensive</v>
      </c>
      <c r="AG1585" t="str">
        <f t="shared" si="155"/>
        <v>Play-PokeCheck</v>
      </c>
      <c r="AN1585" t="str">
        <f t="shared" si="157"/>
        <v>Defensive</v>
      </c>
      <c r="BD1585" s="23"/>
      <c r="BF1585" s="21"/>
    </row>
    <row r="1586" spans="1:58" x14ac:dyDescent="0.2">
      <c r="A1586">
        <v>801</v>
      </c>
      <c r="J1586">
        <v>92</v>
      </c>
      <c r="T1586">
        <v>1</v>
      </c>
      <c r="U1586" s="8">
        <f t="shared" si="153"/>
        <v>2</v>
      </c>
      <c r="AD1586" t="str">
        <f t="shared" si="152"/>
        <v>o</v>
      </c>
      <c r="AE1586" t="str">
        <f t="shared" si="156"/>
        <v>Play</v>
      </c>
      <c r="AF1586" t="str">
        <f t="shared" si="154"/>
        <v>Play_Defensive</v>
      </c>
      <c r="AG1586" t="str">
        <f t="shared" si="155"/>
        <v>Play-PokeCheck</v>
      </c>
      <c r="AN1586" t="str">
        <f t="shared" si="157"/>
        <v>Offensive</v>
      </c>
      <c r="BD1586" s="23"/>
      <c r="BF1586" s="21"/>
    </row>
    <row r="1587" spans="1:58" x14ac:dyDescent="0.2">
      <c r="A1587">
        <v>802</v>
      </c>
      <c r="E1587" s="5" t="s">
        <v>899</v>
      </c>
      <c r="F1587" s="5" t="s">
        <v>851</v>
      </c>
      <c r="I1587" t="s">
        <v>840</v>
      </c>
      <c r="J1587">
        <v>92</v>
      </c>
      <c r="K1587">
        <v>1</v>
      </c>
      <c r="L1587" t="s">
        <v>401</v>
      </c>
      <c r="M1587" t="s">
        <v>15</v>
      </c>
      <c r="N1587" t="s">
        <v>681</v>
      </c>
      <c r="P1587" t="s">
        <v>689</v>
      </c>
      <c r="Q1587" t="s">
        <v>712</v>
      </c>
      <c r="S1587" t="s">
        <v>689</v>
      </c>
      <c r="U1587" s="8">
        <f t="shared" si="153"/>
        <v>2</v>
      </c>
      <c r="AD1587" t="str">
        <f t="shared" si="152"/>
        <v>e</v>
      </c>
      <c r="AE1587" t="str">
        <f t="shared" si="156"/>
        <v>Possession</v>
      </c>
      <c r="AF1587" t="str">
        <f t="shared" si="154"/>
        <v>PuckRecovery</v>
      </c>
      <c r="AG1587" t="str">
        <f t="shared" si="155"/>
        <v/>
      </c>
      <c r="AN1587" t="str">
        <f t="shared" si="157"/>
        <v>Offensive</v>
      </c>
      <c r="BD1587" s="23"/>
      <c r="BF1587" s="21"/>
    </row>
    <row r="1588" spans="1:58" x14ac:dyDescent="0.2">
      <c r="A1588">
        <v>803</v>
      </c>
      <c r="E1588" s="5" t="s">
        <v>899</v>
      </c>
      <c r="F1588" s="5" t="s">
        <v>851</v>
      </c>
      <c r="G1588" s="5" t="s">
        <v>899</v>
      </c>
      <c r="H1588" s="7" t="s">
        <v>855</v>
      </c>
      <c r="I1588" s="5" t="s">
        <v>840</v>
      </c>
      <c r="J1588">
        <v>92</v>
      </c>
      <c r="K1588">
        <v>1</v>
      </c>
      <c r="L1588" s="5" t="s">
        <v>401</v>
      </c>
      <c r="M1588" t="s">
        <v>15</v>
      </c>
      <c r="Q1588" t="s">
        <v>724</v>
      </c>
      <c r="T1588">
        <v>1</v>
      </c>
      <c r="U1588" s="8">
        <f t="shared" si="153"/>
        <v>2</v>
      </c>
      <c r="AD1588" t="str">
        <f t="shared" si="152"/>
        <v>e</v>
      </c>
      <c r="AE1588" t="str">
        <f t="shared" si="156"/>
        <v>Possession</v>
      </c>
      <c r="AF1588" t="str">
        <f t="shared" si="154"/>
        <v/>
      </c>
      <c r="AG1588" t="str">
        <f t="shared" si="155"/>
        <v/>
      </c>
      <c r="AN1588" t="str">
        <f t="shared" si="157"/>
        <v>Offensive</v>
      </c>
      <c r="BD1588" s="23"/>
      <c r="BF1588" s="21"/>
    </row>
    <row r="1589" spans="1:58" x14ac:dyDescent="0.2">
      <c r="A1589">
        <v>803</v>
      </c>
      <c r="J1589">
        <v>52</v>
      </c>
      <c r="Q1589" t="s">
        <v>696</v>
      </c>
      <c r="T1589">
        <v>1</v>
      </c>
      <c r="U1589" s="8">
        <f t="shared" si="153"/>
        <v>2</v>
      </c>
      <c r="AD1589" t="str">
        <f t="shared" si="152"/>
        <v>o</v>
      </c>
      <c r="AE1589" t="str">
        <f t="shared" si="156"/>
        <v>Possession</v>
      </c>
      <c r="AF1589" t="str">
        <f t="shared" si="154"/>
        <v/>
      </c>
      <c r="AG1589" t="str">
        <f t="shared" si="155"/>
        <v/>
      </c>
      <c r="AN1589" t="str">
        <f t="shared" si="157"/>
        <v>Defensive</v>
      </c>
      <c r="BD1589" s="23"/>
      <c r="BF1589" s="21"/>
    </row>
    <row r="1590" spans="1:58" x14ac:dyDescent="0.2">
      <c r="A1590">
        <v>804</v>
      </c>
      <c r="B1590">
        <v>135</v>
      </c>
      <c r="E1590" s="5" t="s">
        <v>899</v>
      </c>
      <c r="F1590" s="5" t="s">
        <v>855</v>
      </c>
      <c r="I1590" t="s">
        <v>840</v>
      </c>
      <c r="J1590">
        <v>92</v>
      </c>
      <c r="K1590">
        <v>1</v>
      </c>
      <c r="L1590" t="s">
        <v>401</v>
      </c>
      <c r="M1590" t="s">
        <v>7</v>
      </c>
      <c r="N1590" t="s">
        <v>222</v>
      </c>
      <c r="O1590" t="s">
        <v>58</v>
      </c>
      <c r="P1590" t="s">
        <v>689</v>
      </c>
      <c r="U1590" s="8">
        <f t="shared" si="153"/>
        <v>2</v>
      </c>
      <c r="AD1590" t="str">
        <f t="shared" si="152"/>
        <v>e</v>
      </c>
      <c r="AE1590" t="str">
        <f t="shared" si="156"/>
        <v>Shot</v>
      </c>
      <c r="AF1590" t="str">
        <f t="shared" si="154"/>
        <v>Shot_OnNetSaved</v>
      </c>
      <c r="AG1590" t="str">
        <f t="shared" si="155"/>
        <v>Shot-WrapAround</v>
      </c>
      <c r="AN1590" t="str">
        <f t="shared" si="157"/>
        <v>Offensive</v>
      </c>
      <c r="BD1590" s="23"/>
      <c r="BF1590" s="21"/>
    </row>
    <row r="1591" spans="1:58" x14ac:dyDescent="0.2">
      <c r="A1591">
        <v>804</v>
      </c>
      <c r="B1591">
        <v>135</v>
      </c>
      <c r="J1591">
        <v>39</v>
      </c>
      <c r="U1591" s="8">
        <f t="shared" si="153"/>
        <v>2</v>
      </c>
      <c r="AD1591" t="str">
        <f t="shared" si="152"/>
        <v>o</v>
      </c>
      <c r="AE1591" t="str">
        <f t="shared" si="156"/>
        <v>Shot</v>
      </c>
      <c r="AF1591" t="str">
        <f t="shared" si="154"/>
        <v>Shot_OnNetSaved</v>
      </c>
      <c r="AG1591" t="str">
        <f t="shared" si="155"/>
        <v>Shot-WrapAround</v>
      </c>
      <c r="AN1591" t="str">
        <f t="shared" si="157"/>
        <v>Defensive</v>
      </c>
      <c r="BD1591" s="23"/>
      <c r="BF1591" s="21"/>
    </row>
    <row r="1592" spans="1:58" x14ac:dyDescent="0.2">
      <c r="A1592">
        <v>805</v>
      </c>
      <c r="B1592">
        <v>135</v>
      </c>
      <c r="E1592" s="5" t="s">
        <v>899</v>
      </c>
      <c r="F1592" s="5" t="s">
        <v>855</v>
      </c>
      <c r="I1592" t="s">
        <v>835</v>
      </c>
      <c r="J1592">
        <v>39</v>
      </c>
      <c r="K1592">
        <v>1</v>
      </c>
      <c r="L1592" t="s">
        <v>845</v>
      </c>
      <c r="M1592" t="s">
        <v>17</v>
      </c>
      <c r="N1592" t="s">
        <v>206</v>
      </c>
      <c r="O1592" t="s">
        <v>102</v>
      </c>
      <c r="U1592" s="8">
        <f t="shared" si="153"/>
        <v>2</v>
      </c>
      <c r="AD1592" t="str">
        <f t="shared" si="152"/>
        <v>e</v>
      </c>
      <c r="AE1592" t="str">
        <f t="shared" si="156"/>
        <v>Save</v>
      </c>
      <c r="AF1592" t="str">
        <f t="shared" si="154"/>
        <v>Save_Freeze</v>
      </c>
      <c r="AG1592" t="str">
        <f t="shared" si="155"/>
        <v>Save-Butterfly</v>
      </c>
      <c r="AN1592" t="str">
        <f t="shared" si="157"/>
        <v>Defensive</v>
      </c>
      <c r="BD1592" s="23"/>
      <c r="BF1592" s="21"/>
    </row>
    <row r="1593" spans="1:58" x14ac:dyDescent="0.2">
      <c r="A1593">
        <v>805</v>
      </c>
      <c r="B1593">
        <v>135</v>
      </c>
      <c r="J1593">
        <v>92</v>
      </c>
      <c r="U1593" s="8">
        <f t="shared" si="153"/>
        <v>2</v>
      </c>
      <c r="AD1593" t="str">
        <f t="shared" si="152"/>
        <v>o</v>
      </c>
      <c r="AE1593" t="str">
        <f t="shared" si="156"/>
        <v>Save</v>
      </c>
      <c r="AF1593" t="str">
        <f t="shared" si="154"/>
        <v>Save_Freeze</v>
      </c>
      <c r="AG1593" t="str">
        <f t="shared" si="155"/>
        <v>Save-Butterfly</v>
      </c>
      <c r="AN1593" t="str">
        <f t="shared" si="157"/>
        <v>Offensive</v>
      </c>
      <c r="BD1593" s="23"/>
      <c r="BF1593" s="21"/>
    </row>
    <row r="1594" spans="1:58" x14ac:dyDescent="0.2">
      <c r="A1594">
        <v>806</v>
      </c>
      <c r="B1594">
        <v>135</v>
      </c>
      <c r="E1594" s="5" t="s">
        <v>899</v>
      </c>
      <c r="F1594" s="5" t="s">
        <v>855</v>
      </c>
      <c r="I1594" t="s">
        <v>835</v>
      </c>
      <c r="J1594">
        <v>39</v>
      </c>
      <c r="K1594">
        <v>1</v>
      </c>
      <c r="L1594" t="s">
        <v>845</v>
      </c>
      <c r="M1594" t="s">
        <v>13</v>
      </c>
      <c r="N1594" t="s">
        <v>204</v>
      </c>
      <c r="O1594" t="s">
        <v>110</v>
      </c>
      <c r="U1594" s="8">
        <f t="shared" si="153"/>
        <v>2</v>
      </c>
      <c r="AD1594" t="str">
        <f t="shared" si="152"/>
        <v>e</v>
      </c>
      <c r="AE1594" t="str">
        <f t="shared" si="156"/>
        <v>Stoppage</v>
      </c>
      <c r="AF1594" t="str">
        <f t="shared" si="154"/>
        <v>Stoppage_Play</v>
      </c>
      <c r="AG1594" t="str">
        <f t="shared" si="155"/>
        <v>Stoppage-GoalieStoppage</v>
      </c>
      <c r="AN1594" t="str">
        <f t="shared" si="157"/>
        <v/>
      </c>
      <c r="BD1594" s="23"/>
      <c r="BF1594" s="21"/>
    </row>
    <row r="1595" spans="1:58" x14ac:dyDescent="0.2">
      <c r="A1595">
        <v>807</v>
      </c>
      <c r="B1595">
        <v>135</v>
      </c>
      <c r="E1595" s="5" t="s">
        <v>899</v>
      </c>
      <c r="F1595" s="5" t="s">
        <v>855</v>
      </c>
      <c r="G1595" s="5" t="s">
        <v>899</v>
      </c>
      <c r="H1595" s="7" t="s">
        <v>884</v>
      </c>
      <c r="I1595" t="s">
        <v>835</v>
      </c>
      <c r="J1595">
        <v>39</v>
      </c>
      <c r="K1595">
        <v>1</v>
      </c>
      <c r="L1595" t="s">
        <v>845</v>
      </c>
      <c r="M1595" t="s">
        <v>262</v>
      </c>
      <c r="U1595" s="8">
        <f t="shared" si="153"/>
        <v>2</v>
      </c>
      <c r="AD1595" t="str">
        <f t="shared" si="152"/>
        <v>e</v>
      </c>
      <c r="AE1595" t="str">
        <f t="shared" si="156"/>
        <v>DeadIce</v>
      </c>
      <c r="AF1595" t="str">
        <f t="shared" si="154"/>
        <v/>
      </c>
      <c r="AG1595" t="str">
        <f t="shared" si="155"/>
        <v/>
      </c>
      <c r="AN1595" t="str">
        <f t="shared" si="157"/>
        <v/>
      </c>
      <c r="BD1595" s="23"/>
      <c r="BF1595" s="21"/>
    </row>
    <row r="1596" spans="1:58" x14ac:dyDescent="0.2">
      <c r="A1596">
        <v>808</v>
      </c>
      <c r="E1596" s="5" t="s">
        <v>899</v>
      </c>
      <c r="F1596" s="5" t="s">
        <v>884</v>
      </c>
      <c r="I1596" t="s">
        <v>840</v>
      </c>
      <c r="J1596">
        <v>13</v>
      </c>
      <c r="K1596">
        <v>1</v>
      </c>
      <c r="L1596" t="s">
        <v>401</v>
      </c>
      <c r="M1596" t="s">
        <v>6</v>
      </c>
      <c r="N1596" t="s">
        <v>255</v>
      </c>
      <c r="U1596" s="8">
        <f t="shared" si="153"/>
        <v>2</v>
      </c>
      <c r="AD1596" t="str">
        <f t="shared" si="152"/>
        <v>e</v>
      </c>
      <c r="AE1596" t="str">
        <f t="shared" si="156"/>
        <v>Faceoff</v>
      </c>
      <c r="AF1596" t="str">
        <f t="shared" si="154"/>
        <v>Faceoff_AfterStoppage</v>
      </c>
      <c r="AG1596" t="str">
        <f t="shared" si="155"/>
        <v/>
      </c>
      <c r="AN1596" t="str">
        <f t="shared" si="157"/>
        <v>Offensive</v>
      </c>
      <c r="BD1596" s="23"/>
      <c r="BF1596" s="21"/>
    </row>
    <row r="1597" spans="1:58" x14ac:dyDescent="0.2">
      <c r="A1597">
        <v>808</v>
      </c>
      <c r="J1597">
        <v>5</v>
      </c>
      <c r="K1597">
        <v>1</v>
      </c>
      <c r="U1597" s="8">
        <f t="shared" si="153"/>
        <v>2</v>
      </c>
      <c r="AD1597" t="str">
        <f t="shared" si="152"/>
        <v>e</v>
      </c>
      <c r="AE1597" t="str">
        <f t="shared" si="156"/>
        <v>Faceoff</v>
      </c>
      <c r="AF1597" t="str">
        <f t="shared" si="154"/>
        <v>Faceoff_AfterStoppage</v>
      </c>
      <c r="AG1597" t="str">
        <f t="shared" si="155"/>
        <v/>
      </c>
      <c r="AN1597" t="str">
        <f t="shared" si="157"/>
        <v>Offensive</v>
      </c>
      <c r="BD1597" s="23"/>
      <c r="BF1597" s="21"/>
    </row>
    <row r="1598" spans="1:58" x14ac:dyDescent="0.2">
      <c r="A1598">
        <v>808</v>
      </c>
      <c r="J1598">
        <v>49</v>
      </c>
      <c r="U1598" s="8">
        <f t="shared" si="153"/>
        <v>2</v>
      </c>
      <c r="AD1598" t="str">
        <f t="shared" si="152"/>
        <v>o</v>
      </c>
      <c r="AE1598" t="str">
        <f t="shared" si="156"/>
        <v>Faceoff</v>
      </c>
      <c r="AF1598" t="str">
        <f t="shared" si="154"/>
        <v>Faceoff_AfterStoppage</v>
      </c>
      <c r="AG1598" t="str">
        <f t="shared" si="155"/>
        <v/>
      </c>
      <c r="AN1598" t="str">
        <f t="shared" si="157"/>
        <v>Defensive</v>
      </c>
      <c r="BD1598" s="23"/>
      <c r="BF1598" s="21"/>
    </row>
    <row r="1599" spans="1:58" x14ac:dyDescent="0.2">
      <c r="A1599">
        <v>809</v>
      </c>
      <c r="E1599" s="5" t="s">
        <v>899</v>
      </c>
      <c r="F1599" s="5" t="s">
        <v>884</v>
      </c>
      <c r="G1599" s="5" t="s">
        <v>899</v>
      </c>
      <c r="H1599" s="7" t="s">
        <v>870</v>
      </c>
      <c r="I1599" s="5" t="s">
        <v>840</v>
      </c>
      <c r="J1599">
        <v>5</v>
      </c>
      <c r="K1599">
        <v>1</v>
      </c>
      <c r="L1599" s="5" t="s">
        <v>401</v>
      </c>
      <c r="M1599" t="s">
        <v>15</v>
      </c>
      <c r="Q1599" t="s">
        <v>727</v>
      </c>
      <c r="S1599" t="s">
        <v>689</v>
      </c>
      <c r="T1599">
        <v>1</v>
      </c>
      <c r="U1599" s="8">
        <f t="shared" si="153"/>
        <v>2</v>
      </c>
      <c r="AD1599" t="str">
        <f t="shared" si="152"/>
        <v>e</v>
      </c>
      <c r="AE1599" t="str">
        <f t="shared" si="156"/>
        <v>Possession</v>
      </c>
      <c r="AF1599" t="str">
        <f t="shared" si="154"/>
        <v/>
      </c>
      <c r="AG1599" t="str">
        <f t="shared" si="155"/>
        <v/>
      </c>
      <c r="AN1599" t="str">
        <f t="shared" si="157"/>
        <v>Offensive</v>
      </c>
      <c r="BD1599" s="23"/>
      <c r="BF1599" s="21"/>
    </row>
    <row r="1600" spans="1:58" x14ac:dyDescent="0.2">
      <c r="A1600">
        <v>809</v>
      </c>
      <c r="J1600">
        <v>61</v>
      </c>
      <c r="T1600">
        <v>1</v>
      </c>
      <c r="U1600" s="8">
        <f t="shared" si="153"/>
        <v>2</v>
      </c>
      <c r="AD1600" t="str">
        <f t="shared" si="152"/>
        <v>o</v>
      </c>
      <c r="AE1600" t="str">
        <f t="shared" si="156"/>
        <v>Possession</v>
      </c>
      <c r="AF1600" t="str">
        <f t="shared" si="154"/>
        <v/>
      </c>
      <c r="AG1600" t="str">
        <f t="shared" si="155"/>
        <v/>
      </c>
      <c r="AN1600" t="str">
        <f t="shared" si="157"/>
        <v>Defensive</v>
      </c>
      <c r="BD1600" s="23"/>
      <c r="BF1600" s="21"/>
    </row>
    <row r="1601" spans="1:58" x14ac:dyDescent="0.2">
      <c r="A1601">
        <v>810</v>
      </c>
      <c r="E1601" s="5" t="s">
        <v>899</v>
      </c>
      <c r="F1601" s="5" t="s">
        <v>870</v>
      </c>
      <c r="G1601" s="5" t="s">
        <v>891</v>
      </c>
      <c r="H1601" s="7" t="s">
        <v>837</v>
      </c>
      <c r="I1601" s="5" t="s">
        <v>840</v>
      </c>
      <c r="J1601">
        <v>5</v>
      </c>
      <c r="K1601">
        <v>1</v>
      </c>
      <c r="L1601" s="5" t="s">
        <v>401</v>
      </c>
      <c r="M1601" t="s">
        <v>15</v>
      </c>
      <c r="Q1601" t="s">
        <v>663</v>
      </c>
      <c r="R1601" t="s">
        <v>721</v>
      </c>
      <c r="S1601" t="s">
        <v>689</v>
      </c>
      <c r="T1601">
        <v>1</v>
      </c>
      <c r="U1601" s="8">
        <f t="shared" si="153"/>
        <v>2</v>
      </c>
      <c r="AD1601" t="str">
        <f t="shared" si="152"/>
        <v>e</v>
      </c>
      <c r="AE1601" t="str">
        <f t="shared" si="156"/>
        <v>Possession</v>
      </c>
      <c r="AF1601" t="str">
        <f t="shared" si="154"/>
        <v/>
      </c>
      <c r="AG1601" t="str">
        <f t="shared" si="155"/>
        <v/>
      </c>
      <c r="AN1601" t="str">
        <f t="shared" si="157"/>
        <v>Offensive</v>
      </c>
      <c r="BD1601" s="23"/>
      <c r="BF1601" s="21"/>
    </row>
    <row r="1602" spans="1:58" x14ac:dyDescent="0.2">
      <c r="A1602">
        <v>810</v>
      </c>
      <c r="J1602">
        <v>49</v>
      </c>
      <c r="Q1602" t="s">
        <v>728</v>
      </c>
      <c r="R1602" t="s">
        <v>719</v>
      </c>
      <c r="S1602" t="s">
        <v>688</v>
      </c>
      <c r="T1602">
        <v>1</v>
      </c>
      <c r="U1602" s="8">
        <f t="shared" si="153"/>
        <v>2</v>
      </c>
      <c r="AD1602" t="str">
        <f t="shared" ref="AD1602:AD1665" si="158">IF(K1602="x","",IF(K1602=1,"e","o"))</f>
        <v>o</v>
      </c>
      <c r="AE1602" t="str">
        <f t="shared" si="156"/>
        <v>Possession</v>
      </c>
      <c r="AF1602" t="str">
        <f t="shared" si="154"/>
        <v/>
      </c>
      <c r="AG1602" t="str">
        <f t="shared" si="155"/>
        <v/>
      </c>
      <c r="AN1602" t="str">
        <f t="shared" si="157"/>
        <v>Defensive</v>
      </c>
      <c r="BD1602" s="23"/>
      <c r="BF1602" s="21"/>
    </row>
    <row r="1603" spans="1:58" x14ac:dyDescent="0.2">
      <c r="A1603">
        <v>811</v>
      </c>
      <c r="B1603">
        <v>136</v>
      </c>
      <c r="E1603" s="5" t="s">
        <v>891</v>
      </c>
      <c r="F1603" s="5" t="s">
        <v>837</v>
      </c>
      <c r="I1603" t="s">
        <v>840</v>
      </c>
      <c r="J1603">
        <v>5</v>
      </c>
      <c r="K1603">
        <v>1</v>
      </c>
      <c r="L1603" t="s">
        <v>401</v>
      </c>
      <c r="M1603" t="s">
        <v>7</v>
      </c>
      <c r="N1603" t="s">
        <v>222</v>
      </c>
      <c r="O1603" t="s">
        <v>53</v>
      </c>
      <c r="P1603" t="s">
        <v>689</v>
      </c>
      <c r="U1603" s="8">
        <f t="shared" ref="U1603:U1666" si="159">IF(M1603="Intermission",U1602+1,U1602)</f>
        <v>2</v>
      </c>
      <c r="AD1603" t="str">
        <f t="shared" si="158"/>
        <v>e</v>
      </c>
      <c r="AE1603" t="str">
        <f t="shared" si="156"/>
        <v>Shot</v>
      </c>
      <c r="AF1603" t="str">
        <f t="shared" ref="AF1603:AF1666" si="160">IF(N1603&lt;&gt;"",N1603,IF($A1603=$A1602,AF1602,""))</f>
        <v>Shot_OnNetSaved</v>
      </c>
      <c r="AG1603" t="str">
        <f t="shared" ref="AG1603:AG1666" si="161">IF(O1603&lt;&gt;"",O1603,IF($A1603=$A1602,AG1602,""))</f>
        <v>Shot-Wrist</v>
      </c>
      <c r="AN1603" t="str">
        <f t="shared" si="157"/>
        <v>Offensive</v>
      </c>
      <c r="BD1603" s="23"/>
      <c r="BF1603" s="21"/>
    </row>
    <row r="1604" spans="1:58" x14ac:dyDescent="0.2">
      <c r="A1604">
        <v>811</v>
      </c>
      <c r="B1604">
        <v>136</v>
      </c>
      <c r="J1604">
        <v>13</v>
      </c>
      <c r="K1604">
        <v>1</v>
      </c>
      <c r="Q1604" t="s">
        <v>779</v>
      </c>
      <c r="T1604">
        <v>1</v>
      </c>
      <c r="U1604" s="8">
        <f t="shared" si="159"/>
        <v>2</v>
      </c>
      <c r="AD1604" t="str">
        <f t="shared" si="158"/>
        <v>e</v>
      </c>
      <c r="AE1604" t="str">
        <f t="shared" ref="AE1604:AE1667" si="162">IF(M1604&lt;&gt;"",M1604,IF($A1604=$A1603,AE1603,""))</f>
        <v>Shot</v>
      </c>
      <c r="AF1604" t="str">
        <f t="shared" si="160"/>
        <v>Shot_OnNetSaved</v>
      </c>
      <c r="AG1604" t="str">
        <f t="shared" si="161"/>
        <v>Shot-Wrist</v>
      </c>
      <c r="AN1604" t="str">
        <f t="shared" si="157"/>
        <v>Offensive</v>
      </c>
      <c r="BD1604" s="23"/>
      <c r="BF1604" s="21"/>
    </row>
    <row r="1605" spans="1:58" x14ac:dyDescent="0.2">
      <c r="A1605">
        <v>811</v>
      </c>
      <c r="B1605">
        <v>136</v>
      </c>
      <c r="J1605">
        <v>39</v>
      </c>
      <c r="U1605" s="8">
        <f t="shared" si="159"/>
        <v>2</v>
      </c>
      <c r="AD1605" t="str">
        <f t="shared" si="158"/>
        <v>o</v>
      </c>
      <c r="AE1605" t="str">
        <f t="shared" si="162"/>
        <v>Shot</v>
      </c>
      <c r="AF1605" t="str">
        <f t="shared" si="160"/>
        <v>Shot_OnNetSaved</v>
      </c>
      <c r="AG1605" t="str">
        <f t="shared" si="161"/>
        <v>Shot-Wrist</v>
      </c>
      <c r="AN1605" t="str">
        <f t="shared" si="157"/>
        <v>Defensive</v>
      </c>
      <c r="BD1605" s="23"/>
      <c r="BF1605" s="21"/>
    </row>
    <row r="1606" spans="1:58" x14ac:dyDescent="0.2">
      <c r="A1606">
        <v>811</v>
      </c>
      <c r="B1606">
        <v>136</v>
      </c>
      <c r="J1606">
        <v>61</v>
      </c>
      <c r="Q1606" t="s">
        <v>696</v>
      </c>
      <c r="T1606">
        <v>1</v>
      </c>
      <c r="U1606" s="8">
        <f t="shared" si="159"/>
        <v>2</v>
      </c>
      <c r="AD1606" t="str">
        <f t="shared" si="158"/>
        <v>o</v>
      </c>
      <c r="AE1606" t="str">
        <f t="shared" si="162"/>
        <v>Shot</v>
      </c>
      <c r="AF1606" t="str">
        <f t="shared" si="160"/>
        <v>Shot_OnNetSaved</v>
      </c>
      <c r="AG1606" t="str">
        <f t="shared" si="161"/>
        <v>Shot-Wrist</v>
      </c>
      <c r="AN1606" t="str">
        <f t="shared" si="157"/>
        <v>Defensive</v>
      </c>
      <c r="BD1606" s="23"/>
      <c r="BF1606" s="21"/>
    </row>
    <row r="1607" spans="1:58" x14ac:dyDescent="0.2">
      <c r="A1607">
        <v>812</v>
      </c>
      <c r="B1607">
        <v>136</v>
      </c>
      <c r="E1607" s="5" t="s">
        <v>891</v>
      </c>
      <c r="F1607" s="5" t="s">
        <v>837</v>
      </c>
      <c r="I1607" t="s">
        <v>835</v>
      </c>
      <c r="J1607">
        <v>39</v>
      </c>
      <c r="K1607">
        <v>1</v>
      </c>
      <c r="L1607" t="s">
        <v>845</v>
      </c>
      <c r="M1607" t="s">
        <v>17</v>
      </c>
      <c r="N1607" t="s">
        <v>206</v>
      </c>
      <c r="O1607" t="s">
        <v>102</v>
      </c>
      <c r="U1607" s="8">
        <f t="shared" si="159"/>
        <v>2</v>
      </c>
      <c r="AD1607" t="str">
        <f t="shared" si="158"/>
        <v>e</v>
      </c>
      <c r="AE1607" t="str">
        <f t="shared" si="162"/>
        <v>Save</v>
      </c>
      <c r="AF1607" t="str">
        <f t="shared" si="160"/>
        <v>Save_Freeze</v>
      </c>
      <c r="AG1607" t="str">
        <f t="shared" si="161"/>
        <v>Save-Butterfly</v>
      </c>
      <c r="AN1607" t="str">
        <f t="shared" si="157"/>
        <v>Defensive</v>
      </c>
      <c r="BD1607" s="23"/>
      <c r="BF1607" s="21"/>
    </row>
    <row r="1608" spans="1:58" x14ac:dyDescent="0.2">
      <c r="A1608">
        <v>812</v>
      </c>
      <c r="B1608">
        <v>136</v>
      </c>
      <c r="J1608">
        <v>61</v>
      </c>
      <c r="K1608">
        <v>1</v>
      </c>
      <c r="Q1608" t="s">
        <v>696</v>
      </c>
      <c r="T1608">
        <v>1</v>
      </c>
      <c r="U1608" s="8">
        <f t="shared" si="159"/>
        <v>2</v>
      </c>
      <c r="AD1608" t="str">
        <f t="shared" si="158"/>
        <v>e</v>
      </c>
      <c r="AE1608" t="str">
        <f t="shared" si="162"/>
        <v>Save</v>
      </c>
      <c r="AF1608" t="str">
        <f t="shared" si="160"/>
        <v>Save_Freeze</v>
      </c>
      <c r="AG1608" t="str">
        <f t="shared" si="161"/>
        <v>Save-Butterfly</v>
      </c>
      <c r="AN1608" t="str">
        <f t="shared" si="157"/>
        <v>Defensive</v>
      </c>
      <c r="BD1608" s="23"/>
      <c r="BF1608" s="21"/>
    </row>
    <row r="1609" spans="1:58" x14ac:dyDescent="0.2">
      <c r="A1609">
        <v>812</v>
      </c>
      <c r="B1609">
        <v>136</v>
      </c>
      <c r="J1609">
        <v>5</v>
      </c>
      <c r="T1609">
        <v>1</v>
      </c>
      <c r="U1609" s="8">
        <f t="shared" si="159"/>
        <v>2</v>
      </c>
      <c r="AD1609" t="str">
        <f t="shared" si="158"/>
        <v>o</v>
      </c>
      <c r="AE1609" t="str">
        <f t="shared" si="162"/>
        <v>Save</v>
      </c>
      <c r="AF1609" t="str">
        <f t="shared" si="160"/>
        <v>Save_Freeze</v>
      </c>
      <c r="AG1609" t="str">
        <f t="shared" si="161"/>
        <v>Save-Butterfly</v>
      </c>
      <c r="AN1609" t="str">
        <f t="shared" ref="AN1609:AN1657" si="163">IF(AND(AD1609="e",OR(AE1609="Save",AF1609="Turnover_Takeaway",AF1609="Play_Defensive")),"Defensive",IF(AND(AD1609="o",OR(AE1609="Save",AF1609="Turnover_Takeaway",AF1609="Play_Defensive")),"Offensive",IF(OR(AE1609="Deadice",AE1609="Stoppage",AE1609="Intermission"),"",IF(AD1609="e","Offensive",IF(AD1609="o","Defensive","")))))</f>
        <v>Offensive</v>
      </c>
      <c r="BD1609" s="23"/>
      <c r="BF1609" s="21"/>
    </row>
    <row r="1610" spans="1:58" x14ac:dyDescent="0.2">
      <c r="A1610">
        <v>812</v>
      </c>
      <c r="B1610">
        <v>136</v>
      </c>
      <c r="J1610">
        <v>13</v>
      </c>
      <c r="Q1610" t="s">
        <v>779</v>
      </c>
      <c r="U1610" s="8">
        <f t="shared" si="159"/>
        <v>2</v>
      </c>
      <c r="AD1610" t="str">
        <f t="shared" si="158"/>
        <v>o</v>
      </c>
      <c r="AE1610" t="str">
        <f t="shared" si="162"/>
        <v>Save</v>
      </c>
      <c r="AF1610" t="str">
        <f t="shared" si="160"/>
        <v>Save_Freeze</v>
      </c>
      <c r="AG1610" t="str">
        <f t="shared" si="161"/>
        <v>Save-Butterfly</v>
      </c>
      <c r="AN1610" t="str">
        <f t="shared" si="163"/>
        <v>Offensive</v>
      </c>
      <c r="BD1610" s="23"/>
      <c r="BF1610" s="21"/>
    </row>
    <row r="1611" spans="1:58" x14ac:dyDescent="0.2">
      <c r="A1611">
        <v>813</v>
      </c>
      <c r="B1611">
        <v>136</v>
      </c>
      <c r="E1611" s="5" t="s">
        <v>891</v>
      </c>
      <c r="F1611" s="5" t="s">
        <v>837</v>
      </c>
      <c r="I1611" t="s">
        <v>835</v>
      </c>
      <c r="J1611">
        <v>39</v>
      </c>
      <c r="K1611">
        <v>1</v>
      </c>
      <c r="L1611" t="s">
        <v>845</v>
      </c>
      <c r="M1611" t="s">
        <v>13</v>
      </c>
      <c r="N1611" t="s">
        <v>204</v>
      </c>
      <c r="O1611" t="s">
        <v>110</v>
      </c>
      <c r="U1611" s="8">
        <f t="shared" si="159"/>
        <v>2</v>
      </c>
      <c r="AD1611" t="str">
        <f t="shared" si="158"/>
        <v>e</v>
      </c>
      <c r="AE1611" t="str">
        <f t="shared" si="162"/>
        <v>Stoppage</v>
      </c>
      <c r="AF1611" t="str">
        <f t="shared" si="160"/>
        <v>Stoppage_Play</v>
      </c>
      <c r="AG1611" t="str">
        <f t="shared" si="161"/>
        <v>Stoppage-GoalieStoppage</v>
      </c>
      <c r="AN1611" t="str">
        <f t="shared" si="163"/>
        <v/>
      </c>
      <c r="BD1611" s="23"/>
      <c r="BF1611" s="21"/>
    </row>
    <row r="1612" spans="1:58" x14ac:dyDescent="0.2">
      <c r="A1612">
        <v>814</v>
      </c>
      <c r="B1612">
        <v>136</v>
      </c>
      <c r="E1612" s="5" t="s">
        <v>891</v>
      </c>
      <c r="F1612" s="5" t="s">
        <v>837</v>
      </c>
      <c r="G1612" s="5" t="s">
        <v>891</v>
      </c>
      <c r="H1612" s="7" t="s">
        <v>881</v>
      </c>
      <c r="I1612" t="s">
        <v>835</v>
      </c>
      <c r="J1612">
        <v>39</v>
      </c>
      <c r="K1612">
        <v>1</v>
      </c>
      <c r="L1612" t="s">
        <v>845</v>
      </c>
      <c r="M1612" t="s">
        <v>262</v>
      </c>
      <c r="U1612" s="8">
        <f t="shared" si="159"/>
        <v>2</v>
      </c>
      <c r="AD1612" t="str">
        <f t="shared" si="158"/>
        <v>e</v>
      </c>
      <c r="AE1612" t="str">
        <f t="shared" si="162"/>
        <v>DeadIce</v>
      </c>
      <c r="AF1612" t="str">
        <f t="shared" si="160"/>
        <v/>
      </c>
      <c r="AG1612" t="str">
        <f t="shared" si="161"/>
        <v/>
      </c>
      <c r="AN1612" t="str">
        <f t="shared" si="163"/>
        <v/>
      </c>
      <c r="BD1612" s="23"/>
      <c r="BF1612" s="21"/>
    </row>
    <row r="1613" spans="1:58" x14ac:dyDescent="0.2">
      <c r="A1613">
        <v>815</v>
      </c>
      <c r="E1613" s="5" t="s">
        <v>891</v>
      </c>
      <c r="F1613" s="5" t="s">
        <v>881</v>
      </c>
      <c r="I1613" t="s">
        <v>835</v>
      </c>
      <c r="J1613">
        <v>70</v>
      </c>
      <c r="K1613">
        <v>1</v>
      </c>
      <c r="L1613" t="s">
        <v>845</v>
      </c>
      <c r="M1613" t="s">
        <v>6</v>
      </c>
      <c r="N1613" t="s">
        <v>255</v>
      </c>
      <c r="U1613" s="8">
        <f t="shared" si="159"/>
        <v>2</v>
      </c>
      <c r="AD1613" t="str">
        <f t="shared" si="158"/>
        <v>e</v>
      </c>
      <c r="AE1613" t="str">
        <f t="shared" si="162"/>
        <v>Faceoff</v>
      </c>
      <c r="AF1613" t="str">
        <f t="shared" si="160"/>
        <v>Faceoff_AfterStoppage</v>
      </c>
      <c r="AG1613" t="str">
        <f t="shared" si="161"/>
        <v/>
      </c>
      <c r="AN1613" t="str">
        <f t="shared" si="163"/>
        <v>Offensive</v>
      </c>
      <c r="BD1613" s="23"/>
      <c r="BF1613" s="21"/>
    </row>
    <row r="1614" spans="1:58" x14ac:dyDescent="0.2">
      <c r="A1614">
        <v>815</v>
      </c>
      <c r="J1614">
        <v>13</v>
      </c>
      <c r="U1614" s="8">
        <f t="shared" si="159"/>
        <v>2</v>
      </c>
      <c r="AD1614" t="str">
        <f t="shared" si="158"/>
        <v>o</v>
      </c>
      <c r="AE1614" t="str">
        <f t="shared" si="162"/>
        <v>Faceoff</v>
      </c>
      <c r="AF1614" t="str">
        <f t="shared" si="160"/>
        <v>Faceoff_AfterStoppage</v>
      </c>
      <c r="AG1614" t="str">
        <f t="shared" si="161"/>
        <v/>
      </c>
      <c r="AN1614" t="str">
        <f t="shared" si="163"/>
        <v>Defensive</v>
      </c>
      <c r="BD1614" s="23"/>
      <c r="BF1614" s="21"/>
    </row>
    <row r="1615" spans="1:58" x14ac:dyDescent="0.2">
      <c r="A1615">
        <v>816</v>
      </c>
      <c r="E1615" s="5" t="s">
        <v>891</v>
      </c>
      <c r="F1615" s="5" t="s">
        <v>881</v>
      </c>
      <c r="G1615" s="5" t="s">
        <v>891</v>
      </c>
      <c r="H1615" s="7" t="s">
        <v>883</v>
      </c>
      <c r="I1615" s="5" t="s">
        <v>835</v>
      </c>
      <c r="J1615">
        <v>84</v>
      </c>
      <c r="K1615">
        <v>1</v>
      </c>
      <c r="L1615" s="5" t="s">
        <v>845</v>
      </c>
      <c r="M1615" t="s">
        <v>16</v>
      </c>
      <c r="N1615" t="s">
        <v>205</v>
      </c>
      <c r="P1615" t="s">
        <v>689</v>
      </c>
      <c r="Q1615" t="s">
        <v>926</v>
      </c>
      <c r="S1615" t="s">
        <v>689</v>
      </c>
      <c r="T1615">
        <v>1</v>
      </c>
      <c r="U1615" s="8">
        <f t="shared" si="159"/>
        <v>2</v>
      </c>
      <c r="AD1615" t="str">
        <f t="shared" si="158"/>
        <v>e</v>
      </c>
      <c r="AE1615" t="str">
        <f t="shared" si="162"/>
        <v>LoosePuck</v>
      </c>
      <c r="AF1615" t="str">
        <f t="shared" si="160"/>
        <v>LoosePuck_Battle</v>
      </c>
      <c r="AG1615" t="str">
        <f t="shared" si="161"/>
        <v/>
      </c>
      <c r="AN1615" t="str">
        <f t="shared" si="163"/>
        <v>Offensive</v>
      </c>
      <c r="BD1615" s="23"/>
      <c r="BF1615" s="21"/>
    </row>
    <row r="1616" spans="1:58" x14ac:dyDescent="0.2">
      <c r="A1616">
        <v>816</v>
      </c>
      <c r="J1616">
        <v>75</v>
      </c>
      <c r="K1616">
        <v>1</v>
      </c>
      <c r="T1616">
        <v>1</v>
      </c>
      <c r="U1616" s="8">
        <f t="shared" si="159"/>
        <v>2</v>
      </c>
      <c r="AD1616" t="str">
        <f t="shared" si="158"/>
        <v>e</v>
      </c>
      <c r="AE1616" t="str">
        <f t="shared" si="162"/>
        <v>LoosePuck</v>
      </c>
      <c r="AF1616" t="str">
        <f t="shared" si="160"/>
        <v>LoosePuck_Battle</v>
      </c>
      <c r="AG1616" t="str">
        <f t="shared" si="161"/>
        <v/>
      </c>
      <c r="AN1616" t="str">
        <f t="shared" si="163"/>
        <v>Offensive</v>
      </c>
      <c r="BD1616" s="23"/>
      <c r="BF1616" s="21"/>
    </row>
    <row r="1617" spans="1:58" x14ac:dyDescent="0.2">
      <c r="A1617">
        <v>816</v>
      </c>
      <c r="J1617">
        <v>71</v>
      </c>
      <c r="Q1617" t="s">
        <v>927</v>
      </c>
      <c r="S1617" t="s">
        <v>688</v>
      </c>
      <c r="T1617">
        <v>1</v>
      </c>
      <c r="U1617" s="8">
        <f t="shared" si="159"/>
        <v>2</v>
      </c>
      <c r="AD1617" t="str">
        <f t="shared" si="158"/>
        <v>o</v>
      </c>
      <c r="AE1617" t="str">
        <f t="shared" si="162"/>
        <v>LoosePuck</v>
      </c>
      <c r="AF1617" t="str">
        <f t="shared" si="160"/>
        <v>LoosePuck_Battle</v>
      </c>
      <c r="AG1617" t="str">
        <f t="shared" si="161"/>
        <v/>
      </c>
      <c r="AN1617" t="str">
        <f t="shared" si="163"/>
        <v>Defensive</v>
      </c>
      <c r="BD1617" s="23"/>
      <c r="BF1617" s="21"/>
    </row>
    <row r="1618" spans="1:58" x14ac:dyDescent="0.2">
      <c r="A1618">
        <v>816</v>
      </c>
      <c r="J1618">
        <v>13</v>
      </c>
      <c r="T1618">
        <v>1</v>
      </c>
      <c r="U1618" s="8">
        <f t="shared" si="159"/>
        <v>2</v>
      </c>
      <c r="AD1618" t="str">
        <f t="shared" si="158"/>
        <v>o</v>
      </c>
      <c r="AE1618" t="str">
        <f t="shared" si="162"/>
        <v>LoosePuck</v>
      </c>
      <c r="AF1618" t="str">
        <f t="shared" si="160"/>
        <v>LoosePuck_Battle</v>
      </c>
      <c r="AG1618" t="str">
        <f t="shared" si="161"/>
        <v/>
      </c>
      <c r="AN1618" t="str">
        <f t="shared" si="163"/>
        <v>Defensive</v>
      </c>
      <c r="BD1618" s="23"/>
      <c r="BF1618" s="21"/>
    </row>
    <row r="1619" spans="1:58" x14ac:dyDescent="0.2">
      <c r="A1619">
        <v>817</v>
      </c>
      <c r="E1619" s="5" t="s">
        <v>891</v>
      </c>
      <c r="F1619" s="5" t="s">
        <v>883</v>
      </c>
      <c r="I1619" t="s">
        <v>835</v>
      </c>
      <c r="J1619">
        <v>84</v>
      </c>
      <c r="K1619">
        <v>1</v>
      </c>
      <c r="L1619" t="s">
        <v>845</v>
      </c>
      <c r="M1619" t="s">
        <v>8</v>
      </c>
      <c r="N1619" t="s">
        <v>199</v>
      </c>
      <c r="O1619" t="s">
        <v>70</v>
      </c>
      <c r="P1619" t="s">
        <v>688</v>
      </c>
      <c r="T1619">
        <v>1</v>
      </c>
      <c r="U1619" s="8">
        <f t="shared" si="159"/>
        <v>2</v>
      </c>
      <c r="AD1619" t="str">
        <f t="shared" si="158"/>
        <v>e</v>
      </c>
      <c r="AE1619" t="str">
        <f t="shared" si="162"/>
        <v>Pass</v>
      </c>
      <c r="AF1619" t="str">
        <f t="shared" si="160"/>
        <v>Pass_Missed</v>
      </c>
      <c r="AG1619" t="str">
        <f t="shared" si="161"/>
        <v>Pass-Forehand</v>
      </c>
      <c r="AN1619" t="str">
        <f t="shared" si="163"/>
        <v>Offensive</v>
      </c>
      <c r="BD1619" s="23"/>
      <c r="BF1619" s="21"/>
    </row>
    <row r="1620" spans="1:58" x14ac:dyDescent="0.2">
      <c r="A1620">
        <v>817</v>
      </c>
      <c r="J1620">
        <v>70</v>
      </c>
      <c r="K1620">
        <v>1</v>
      </c>
      <c r="U1620" s="8">
        <f t="shared" si="159"/>
        <v>2</v>
      </c>
      <c r="AD1620" t="str">
        <f t="shared" si="158"/>
        <v>e</v>
      </c>
      <c r="AE1620" t="str">
        <f t="shared" si="162"/>
        <v>Pass</v>
      </c>
      <c r="AF1620" t="str">
        <f t="shared" si="160"/>
        <v>Pass_Missed</v>
      </c>
      <c r="AG1620" t="str">
        <f t="shared" si="161"/>
        <v>Pass-Forehand</v>
      </c>
      <c r="AN1620" t="str">
        <f t="shared" si="163"/>
        <v>Offensive</v>
      </c>
      <c r="BD1620" s="23"/>
      <c r="BF1620" s="21"/>
    </row>
    <row r="1621" spans="1:58" x14ac:dyDescent="0.2">
      <c r="A1621">
        <v>817</v>
      </c>
      <c r="J1621">
        <v>71</v>
      </c>
      <c r="T1621">
        <v>1</v>
      </c>
      <c r="U1621" s="8">
        <f t="shared" si="159"/>
        <v>2</v>
      </c>
      <c r="AD1621" t="str">
        <f t="shared" si="158"/>
        <v>o</v>
      </c>
      <c r="AE1621" t="str">
        <f t="shared" si="162"/>
        <v>Pass</v>
      </c>
      <c r="AF1621" t="str">
        <f t="shared" si="160"/>
        <v>Pass_Missed</v>
      </c>
      <c r="AG1621" t="str">
        <f t="shared" si="161"/>
        <v>Pass-Forehand</v>
      </c>
      <c r="AN1621" t="str">
        <f t="shared" si="163"/>
        <v>Defensive</v>
      </c>
      <c r="BD1621" s="23"/>
      <c r="BF1621" s="21"/>
    </row>
    <row r="1622" spans="1:58" x14ac:dyDescent="0.2">
      <c r="A1622">
        <v>818</v>
      </c>
      <c r="E1622" s="5" t="s">
        <v>891</v>
      </c>
      <c r="F1622" s="5" t="s">
        <v>909</v>
      </c>
      <c r="I1622" t="s">
        <v>835</v>
      </c>
      <c r="J1622">
        <v>14</v>
      </c>
      <c r="K1622">
        <v>1</v>
      </c>
      <c r="L1622" t="s">
        <v>845</v>
      </c>
      <c r="M1622" t="s">
        <v>15</v>
      </c>
      <c r="N1622" t="s">
        <v>681</v>
      </c>
      <c r="P1622" t="s">
        <v>688</v>
      </c>
      <c r="Q1622" t="s">
        <v>918</v>
      </c>
      <c r="S1622" t="s">
        <v>688</v>
      </c>
      <c r="T1622">
        <v>1</v>
      </c>
      <c r="U1622" s="8">
        <f t="shared" si="159"/>
        <v>2</v>
      </c>
      <c r="AD1622" t="str">
        <f t="shared" si="158"/>
        <v>e</v>
      </c>
      <c r="AE1622" t="str">
        <f t="shared" si="162"/>
        <v>Possession</v>
      </c>
      <c r="AF1622" t="str">
        <f t="shared" si="160"/>
        <v>PuckRecovery</v>
      </c>
      <c r="AG1622" t="str">
        <f t="shared" si="161"/>
        <v/>
      </c>
      <c r="AN1622" t="str">
        <f t="shared" si="163"/>
        <v>Offensive</v>
      </c>
      <c r="BD1622" s="23"/>
      <c r="BF1622" s="21"/>
    </row>
    <row r="1623" spans="1:58" x14ac:dyDescent="0.2">
      <c r="A1623">
        <v>818</v>
      </c>
      <c r="J1623">
        <v>71</v>
      </c>
      <c r="T1623">
        <v>1</v>
      </c>
      <c r="U1623" s="8">
        <f t="shared" si="159"/>
        <v>2</v>
      </c>
      <c r="AD1623" t="str">
        <f t="shared" si="158"/>
        <v>o</v>
      </c>
      <c r="AE1623" t="str">
        <f t="shared" si="162"/>
        <v>Possession</v>
      </c>
      <c r="AF1623" t="str">
        <f t="shared" si="160"/>
        <v>PuckRecovery</v>
      </c>
      <c r="AG1623" t="str">
        <f t="shared" si="161"/>
        <v/>
      </c>
      <c r="AN1623" t="str">
        <f t="shared" si="163"/>
        <v>Defensive</v>
      </c>
      <c r="BD1623" s="23"/>
      <c r="BF1623" s="21"/>
    </row>
    <row r="1624" spans="1:58" x14ac:dyDescent="0.2">
      <c r="A1624">
        <v>819</v>
      </c>
      <c r="B1624">
        <v>137</v>
      </c>
      <c r="E1624" s="5" t="s">
        <v>891</v>
      </c>
      <c r="F1624" s="5" t="s">
        <v>909</v>
      </c>
      <c r="I1624" t="s">
        <v>835</v>
      </c>
      <c r="J1624">
        <v>14</v>
      </c>
      <c r="K1624">
        <v>1</v>
      </c>
      <c r="L1624" t="s">
        <v>845</v>
      </c>
      <c r="M1624" t="s">
        <v>257</v>
      </c>
      <c r="N1624" t="s">
        <v>201</v>
      </c>
      <c r="O1624" t="s">
        <v>92</v>
      </c>
      <c r="P1624" t="s">
        <v>688</v>
      </c>
      <c r="Q1624" t="s">
        <v>931</v>
      </c>
      <c r="S1624" t="s">
        <v>688</v>
      </c>
      <c r="T1624">
        <v>1</v>
      </c>
      <c r="U1624" s="8">
        <f t="shared" si="159"/>
        <v>2</v>
      </c>
      <c r="AD1624" t="str">
        <f t="shared" si="158"/>
        <v>e</v>
      </c>
      <c r="AE1624" t="str">
        <f t="shared" si="162"/>
        <v>Zone_Entry_Exit</v>
      </c>
      <c r="AF1624" t="str">
        <f t="shared" si="160"/>
        <v>Zone_Exit</v>
      </c>
      <c r="AG1624" t="str">
        <f t="shared" si="161"/>
        <v>ZoneExit-Clear</v>
      </c>
      <c r="AN1624" t="str">
        <f t="shared" si="163"/>
        <v>Offensive</v>
      </c>
      <c r="BD1624" s="23"/>
      <c r="BF1624" s="21"/>
    </row>
    <row r="1625" spans="1:58" x14ac:dyDescent="0.2">
      <c r="A1625">
        <v>819</v>
      </c>
      <c r="B1625">
        <v>137</v>
      </c>
      <c r="J1625">
        <v>71</v>
      </c>
      <c r="T1625">
        <v>1</v>
      </c>
      <c r="U1625" s="8">
        <f t="shared" si="159"/>
        <v>2</v>
      </c>
      <c r="AD1625" t="str">
        <f t="shared" si="158"/>
        <v>o</v>
      </c>
      <c r="AE1625" t="str">
        <f t="shared" si="162"/>
        <v>Zone_Entry_Exit</v>
      </c>
      <c r="AF1625" t="str">
        <f t="shared" si="160"/>
        <v>Zone_Exit</v>
      </c>
      <c r="AG1625" t="str">
        <f t="shared" si="161"/>
        <v>ZoneExit-Clear</v>
      </c>
      <c r="AN1625" t="str">
        <f t="shared" si="163"/>
        <v>Defensive</v>
      </c>
      <c r="BD1625" s="23"/>
      <c r="BF1625" s="21"/>
    </row>
    <row r="1626" spans="1:58" x14ac:dyDescent="0.2">
      <c r="A1626">
        <v>820</v>
      </c>
      <c r="B1626">
        <v>137</v>
      </c>
      <c r="E1626" s="5" t="s">
        <v>891</v>
      </c>
      <c r="F1626" s="5" t="s">
        <v>909</v>
      </c>
      <c r="I1626" t="s">
        <v>835</v>
      </c>
      <c r="J1626">
        <v>14</v>
      </c>
      <c r="K1626">
        <v>1</v>
      </c>
      <c r="L1626" t="s">
        <v>845</v>
      </c>
      <c r="M1626" t="s">
        <v>10</v>
      </c>
      <c r="N1626" t="s">
        <v>190</v>
      </c>
      <c r="O1626" t="s">
        <v>387</v>
      </c>
      <c r="P1626" t="s">
        <v>688</v>
      </c>
      <c r="Q1626" t="s">
        <v>931</v>
      </c>
      <c r="S1626" t="s">
        <v>688</v>
      </c>
      <c r="T1626">
        <v>1</v>
      </c>
      <c r="U1626" s="8">
        <f t="shared" si="159"/>
        <v>2</v>
      </c>
      <c r="AD1626" t="str">
        <f t="shared" si="158"/>
        <v>e</v>
      </c>
      <c r="AE1626" t="str">
        <f t="shared" si="162"/>
        <v>Turnover</v>
      </c>
      <c r="AF1626" t="str">
        <f t="shared" si="160"/>
        <v>Turnover_Giveaway</v>
      </c>
      <c r="AG1626" t="str">
        <f t="shared" si="161"/>
        <v>Giveaway-ZoneClear/Dump</v>
      </c>
      <c r="AN1626" t="str">
        <f t="shared" si="163"/>
        <v>Offensive</v>
      </c>
      <c r="BD1626" s="23"/>
      <c r="BF1626" s="21"/>
    </row>
    <row r="1627" spans="1:58" x14ac:dyDescent="0.2">
      <c r="A1627">
        <v>820</v>
      </c>
      <c r="B1627">
        <v>137</v>
      </c>
      <c r="J1627">
        <v>71</v>
      </c>
      <c r="T1627">
        <v>1</v>
      </c>
      <c r="U1627" s="8">
        <f t="shared" si="159"/>
        <v>2</v>
      </c>
      <c r="AD1627" t="str">
        <f t="shared" si="158"/>
        <v>o</v>
      </c>
      <c r="AE1627" t="str">
        <f t="shared" si="162"/>
        <v>Turnover</v>
      </c>
      <c r="AF1627" t="str">
        <f t="shared" si="160"/>
        <v>Turnover_Giveaway</v>
      </c>
      <c r="AG1627" t="str">
        <f t="shared" si="161"/>
        <v>Giveaway-ZoneClear/Dump</v>
      </c>
      <c r="AN1627" t="str">
        <f t="shared" si="163"/>
        <v>Defensive</v>
      </c>
      <c r="BD1627" s="23"/>
      <c r="BF1627" s="21"/>
    </row>
    <row r="1628" spans="1:58" x14ac:dyDescent="0.2">
      <c r="A1628">
        <v>821</v>
      </c>
      <c r="E1628" s="5" t="s">
        <v>891</v>
      </c>
      <c r="F1628" s="5" t="s">
        <v>864</v>
      </c>
      <c r="G1628" s="5" t="s">
        <v>891</v>
      </c>
      <c r="H1628" s="7" t="s">
        <v>899</v>
      </c>
      <c r="I1628" s="5" t="s">
        <v>840</v>
      </c>
      <c r="J1628">
        <v>83</v>
      </c>
      <c r="K1628">
        <v>1</v>
      </c>
      <c r="L1628" s="5" t="s">
        <v>839</v>
      </c>
      <c r="M1628" t="s">
        <v>15</v>
      </c>
      <c r="U1628" s="8">
        <f t="shared" si="159"/>
        <v>2</v>
      </c>
      <c r="AD1628" t="str">
        <f t="shared" si="158"/>
        <v>e</v>
      </c>
      <c r="AE1628" t="str">
        <f t="shared" si="162"/>
        <v>Possession</v>
      </c>
      <c r="AF1628" t="str">
        <f t="shared" si="160"/>
        <v/>
      </c>
      <c r="AG1628" t="str">
        <f t="shared" si="161"/>
        <v/>
      </c>
      <c r="AN1628" t="str">
        <f t="shared" si="163"/>
        <v>Offensive</v>
      </c>
      <c r="BD1628" s="23"/>
      <c r="BF1628" s="21"/>
    </row>
    <row r="1629" spans="1:58" x14ac:dyDescent="0.2">
      <c r="A1629">
        <v>821</v>
      </c>
      <c r="J1629">
        <v>70</v>
      </c>
      <c r="U1629" s="8">
        <f t="shared" si="159"/>
        <v>2</v>
      </c>
      <c r="AD1629" t="str">
        <f t="shared" si="158"/>
        <v>o</v>
      </c>
      <c r="AE1629" t="str">
        <f t="shared" si="162"/>
        <v>Possession</v>
      </c>
      <c r="AF1629" t="str">
        <f t="shared" si="160"/>
        <v/>
      </c>
      <c r="AG1629" t="str">
        <f t="shared" si="161"/>
        <v/>
      </c>
      <c r="AN1629" t="str">
        <f t="shared" si="163"/>
        <v>Defensive</v>
      </c>
      <c r="BD1629" s="23"/>
      <c r="BF1629" s="21"/>
    </row>
    <row r="1630" spans="1:58" x14ac:dyDescent="0.2">
      <c r="A1630">
        <v>822</v>
      </c>
      <c r="B1630">
        <v>138</v>
      </c>
      <c r="E1630" s="5" t="s">
        <v>891</v>
      </c>
      <c r="F1630" s="5" t="s">
        <v>899</v>
      </c>
      <c r="I1630" t="s">
        <v>840</v>
      </c>
      <c r="J1630">
        <v>83</v>
      </c>
      <c r="K1630">
        <v>1</v>
      </c>
      <c r="L1630" t="s">
        <v>839</v>
      </c>
      <c r="M1630" t="s">
        <v>8</v>
      </c>
      <c r="N1630" t="s">
        <v>199</v>
      </c>
      <c r="O1630" t="s">
        <v>70</v>
      </c>
      <c r="P1630" t="s">
        <v>688</v>
      </c>
      <c r="Q1630" t="s">
        <v>933</v>
      </c>
      <c r="S1630" t="s">
        <v>688</v>
      </c>
      <c r="T1630">
        <v>1</v>
      </c>
      <c r="U1630" s="8">
        <f t="shared" si="159"/>
        <v>2</v>
      </c>
      <c r="AD1630" t="str">
        <f t="shared" si="158"/>
        <v>e</v>
      </c>
      <c r="AE1630" t="str">
        <f t="shared" si="162"/>
        <v>Pass</v>
      </c>
      <c r="AF1630" t="str">
        <f t="shared" si="160"/>
        <v>Pass_Missed</v>
      </c>
      <c r="AG1630" t="str">
        <f t="shared" si="161"/>
        <v>Pass-Forehand</v>
      </c>
      <c r="AN1630" t="str">
        <f t="shared" si="163"/>
        <v>Offensive</v>
      </c>
      <c r="BD1630" s="23"/>
      <c r="BF1630" s="21"/>
    </row>
    <row r="1631" spans="1:58" x14ac:dyDescent="0.2">
      <c r="A1631">
        <v>822</v>
      </c>
      <c r="B1631">
        <v>138</v>
      </c>
      <c r="J1631">
        <v>13</v>
      </c>
      <c r="K1631">
        <v>1</v>
      </c>
      <c r="U1631" s="8">
        <f t="shared" si="159"/>
        <v>2</v>
      </c>
      <c r="AD1631" t="str">
        <f t="shared" si="158"/>
        <v>e</v>
      </c>
      <c r="AE1631" t="str">
        <f t="shared" si="162"/>
        <v>Pass</v>
      </c>
      <c r="AF1631" t="str">
        <f t="shared" si="160"/>
        <v>Pass_Missed</v>
      </c>
      <c r="AG1631" t="str">
        <f t="shared" si="161"/>
        <v>Pass-Forehand</v>
      </c>
      <c r="AN1631" t="str">
        <f t="shared" si="163"/>
        <v>Offensive</v>
      </c>
      <c r="BD1631" s="23"/>
      <c r="BF1631" s="21"/>
    </row>
    <row r="1632" spans="1:58" x14ac:dyDescent="0.2">
      <c r="A1632">
        <v>822</v>
      </c>
      <c r="B1632">
        <v>138</v>
      </c>
      <c r="J1632">
        <v>70</v>
      </c>
      <c r="T1632">
        <v>1</v>
      </c>
      <c r="U1632" s="8">
        <f t="shared" si="159"/>
        <v>2</v>
      </c>
      <c r="AD1632" t="str">
        <f t="shared" si="158"/>
        <v>o</v>
      </c>
      <c r="AE1632" t="str">
        <f t="shared" si="162"/>
        <v>Pass</v>
      </c>
      <c r="AF1632" t="str">
        <f t="shared" si="160"/>
        <v>Pass_Missed</v>
      </c>
      <c r="AG1632" t="str">
        <f t="shared" si="161"/>
        <v>Pass-Forehand</v>
      </c>
      <c r="AN1632" t="str">
        <f t="shared" si="163"/>
        <v>Defensive</v>
      </c>
      <c r="BD1632" s="23"/>
      <c r="BF1632" s="21"/>
    </row>
    <row r="1633" spans="1:58" x14ac:dyDescent="0.2">
      <c r="A1633">
        <v>823</v>
      </c>
      <c r="B1633">
        <v>138</v>
      </c>
      <c r="E1633" s="5" t="s">
        <v>891</v>
      </c>
      <c r="F1633" s="5" t="s">
        <v>899</v>
      </c>
      <c r="I1633" t="s">
        <v>840</v>
      </c>
      <c r="J1633">
        <v>83</v>
      </c>
      <c r="K1633">
        <v>1</v>
      </c>
      <c r="L1633" t="s">
        <v>839</v>
      </c>
      <c r="M1633" t="s">
        <v>257</v>
      </c>
      <c r="N1633" t="s">
        <v>191</v>
      </c>
      <c r="O1633" t="s">
        <v>423</v>
      </c>
      <c r="P1633" t="s">
        <v>688</v>
      </c>
      <c r="Q1633" t="s">
        <v>933</v>
      </c>
      <c r="S1633" t="s">
        <v>688</v>
      </c>
      <c r="T1633">
        <v>1</v>
      </c>
      <c r="U1633" s="8">
        <f t="shared" si="159"/>
        <v>2</v>
      </c>
      <c r="AD1633" t="str">
        <f t="shared" si="158"/>
        <v>e</v>
      </c>
      <c r="AE1633" t="str">
        <f t="shared" si="162"/>
        <v>Zone_Entry_Exit</v>
      </c>
      <c r="AF1633" t="str">
        <f t="shared" si="160"/>
        <v>Zone_Entry</v>
      </c>
      <c r="AG1633" t="str">
        <f t="shared" si="161"/>
        <v>ZoneEntry-PassMiss/Misplay</v>
      </c>
      <c r="AN1633" t="str">
        <f t="shared" si="163"/>
        <v>Offensive</v>
      </c>
      <c r="BD1633" s="23"/>
      <c r="BF1633" s="21"/>
    </row>
    <row r="1634" spans="1:58" x14ac:dyDescent="0.2">
      <c r="A1634">
        <v>823</v>
      </c>
      <c r="B1634">
        <v>138</v>
      </c>
      <c r="J1634">
        <v>13</v>
      </c>
      <c r="K1634">
        <v>1</v>
      </c>
      <c r="U1634" s="8">
        <f t="shared" si="159"/>
        <v>2</v>
      </c>
      <c r="AD1634" t="str">
        <f t="shared" si="158"/>
        <v>e</v>
      </c>
      <c r="AE1634" t="str">
        <f t="shared" si="162"/>
        <v>Zone_Entry_Exit</v>
      </c>
      <c r="AF1634" t="str">
        <f t="shared" si="160"/>
        <v>Zone_Entry</v>
      </c>
      <c r="AG1634" t="str">
        <f t="shared" si="161"/>
        <v>ZoneEntry-PassMiss/Misplay</v>
      </c>
      <c r="AN1634" t="str">
        <f t="shared" si="163"/>
        <v>Offensive</v>
      </c>
      <c r="BD1634" s="23"/>
      <c r="BF1634" s="21"/>
    </row>
    <row r="1635" spans="1:58" x14ac:dyDescent="0.2">
      <c r="A1635">
        <v>823</v>
      </c>
      <c r="B1635">
        <v>138</v>
      </c>
      <c r="J1635">
        <v>70</v>
      </c>
      <c r="T1635">
        <v>1</v>
      </c>
      <c r="U1635" s="8">
        <f t="shared" si="159"/>
        <v>2</v>
      </c>
      <c r="AD1635" t="str">
        <f t="shared" si="158"/>
        <v>o</v>
      </c>
      <c r="AE1635" t="str">
        <f t="shared" si="162"/>
        <v>Zone_Entry_Exit</v>
      </c>
      <c r="AF1635" t="str">
        <f t="shared" si="160"/>
        <v>Zone_Entry</v>
      </c>
      <c r="AG1635" t="str">
        <f t="shared" si="161"/>
        <v>ZoneEntry-PassMiss/Misplay</v>
      </c>
      <c r="AN1635" t="str">
        <f t="shared" si="163"/>
        <v>Defensive</v>
      </c>
      <c r="BD1635" s="23"/>
      <c r="BF1635" s="21"/>
    </row>
    <row r="1636" spans="1:58" x14ac:dyDescent="0.2">
      <c r="A1636">
        <v>824</v>
      </c>
      <c r="B1636">
        <v>138</v>
      </c>
      <c r="E1636" s="5" t="s">
        <v>891</v>
      </c>
      <c r="F1636" s="5" t="s">
        <v>899</v>
      </c>
      <c r="I1636" t="s">
        <v>840</v>
      </c>
      <c r="J1636">
        <v>83</v>
      </c>
      <c r="K1636">
        <v>1</v>
      </c>
      <c r="L1636" t="s">
        <v>839</v>
      </c>
      <c r="M1636" t="s">
        <v>10</v>
      </c>
      <c r="N1636" t="s">
        <v>190</v>
      </c>
      <c r="O1636" t="s">
        <v>416</v>
      </c>
      <c r="P1636" t="s">
        <v>688</v>
      </c>
      <c r="Q1636" t="s">
        <v>933</v>
      </c>
      <c r="S1636" t="s">
        <v>688</v>
      </c>
      <c r="T1636">
        <v>1</v>
      </c>
      <c r="U1636" s="8">
        <f t="shared" si="159"/>
        <v>2</v>
      </c>
      <c r="AD1636" t="str">
        <f t="shared" si="158"/>
        <v>e</v>
      </c>
      <c r="AE1636" t="str">
        <f t="shared" si="162"/>
        <v>Turnover</v>
      </c>
      <c r="AF1636" t="str">
        <f t="shared" si="160"/>
        <v>Turnover_Giveaway</v>
      </c>
      <c r="AG1636" t="str">
        <f t="shared" si="161"/>
        <v>Giveaway-ZoneEntry/ExitMisplay</v>
      </c>
      <c r="AN1636" t="str">
        <f t="shared" si="163"/>
        <v>Offensive</v>
      </c>
      <c r="BD1636" s="23"/>
      <c r="BF1636" s="21"/>
    </row>
    <row r="1637" spans="1:58" x14ac:dyDescent="0.2">
      <c r="A1637">
        <v>824</v>
      </c>
      <c r="B1637">
        <v>138</v>
      </c>
      <c r="J1637">
        <v>13</v>
      </c>
      <c r="K1637">
        <v>1</v>
      </c>
      <c r="U1637" s="8">
        <f t="shared" si="159"/>
        <v>2</v>
      </c>
      <c r="AD1637" t="str">
        <f t="shared" si="158"/>
        <v>e</v>
      </c>
      <c r="AE1637" t="str">
        <f t="shared" si="162"/>
        <v>Turnover</v>
      </c>
      <c r="AF1637" t="str">
        <f t="shared" si="160"/>
        <v>Turnover_Giveaway</v>
      </c>
      <c r="AG1637" t="str">
        <f t="shared" si="161"/>
        <v>Giveaway-ZoneEntry/ExitMisplay</v>
      </c>
      <c r="AN1637" t="str">
        <f t="shared" si="163"/>
        <v>Offensive</v>
      </c>
      <c r="BD1637" s="23"/>
      <c r="BF1637" s="21"/>
    </row>
    <row r="1638" spans="1:58" x14ac:dyDescent="0.2">
      <c r="A1638">
        <v>824</v>
      </c>
      <c r="B1638">
        <v>138</v>
      </c>
      <c r="J1638">
        <v>70</v>
      </c>
      <c r="T1638">
        <v>1</v>
      </c>
      <c r="U1638" s="8">
        <f t="shared" si="159"/>
        <v>2</v>
      </c>
      <c r="AD1638" t="str">
        <f t="shared" si="158"/>
        <v>o</v>
      </c>
      <c r="AE1638" t="str">
        <f t="shared" si="162"/>
        <v>Turnover</v>
      </c>
      <c r="AF1638" t="str">
        <f t="shared" si="160"/>
        <v>Turnover_Giveaway</v>
      </c>
      <c r="AG1638" t="str">
        <f t="shared" si="161"/>
        <v>Giveaway-ZoneEntry/ExitMisplay</v>
      </c>
      <c r="AN1638" t="str">
        <f t="shared" si="163"/>
        <v>Defensive</v>
      </c>
      <c r="BD1638" s="23"/>
      <c r="BF1638" s="21"/>
    </row>
    <row r="1639" spans="1:58" x14ac:dyDescent="0.2">
      <c r="A1639">
        <v>825</v>
      </c>
      <c r="E1639" s="5" t="s">
        <v>891</v>
      </c>
      <c r="F1639" s="5" t="s">
        <v>867</v>
      </c>
      <c r="I1639" s="5" t="s">
        <v>835</v>
      </c>
      <c r="J1639">
        <v>84</v>
      </c>
      <c r="K1639">
        <v>1</v>
      </c>
      <c r="L1639" s="5" t="s">
        <v>845</v>
      </c>
      <c r="M1639" t="s">
        <v>15</v>
      </c>
      <c r="N1639" t="s">
        <v>680</v>
      </c>
      <c r="P1639" t="s">
        <v>689</v>
      </c>
      <c r="Q1639" t="s">
        <v>633</v>
      </c>
      <c r="S1639" t="s">
        <v>689</v>
      </c>
      <c r="T1639">
        <v>1</v>
      </c>
      <c r="U1639" s="8">
        <f t="shared" si="159"/>
        <v>2</v>
      </c>
      <c r="AD1639" t="str">
        <f t="shared" si="158"/>
        <v>e</v>
      </c>
      <c r="AE1639" t="str">
        <f t="shared" si="162"/>
        <v>Possession</v>
      </c>
      <c r="AF1639" t="str">
        <f t="shared" si="160"/>
        <v>PuckRetrieval</v>
      </c>
      <c r="AG1639" t="str">
        <f t="shared" si="161"/>
        <v/>
      </c>
      <c r="AN1639" t="str">
        <f t="shared" si="163"/>
        <v>Offensive</v>
      </c>
      <c r="BD1639" s="23"/>
      <c r="BF1639" s="21"/>
    </row>
    <row r="1640" spans="1:58" x14ac:dyDescent="0.2">
      <c r="A1640">
        <v>826</v>
      </c>
      <c r="E1640" s="5" t="s">
        <v>891</v>
      </c>
      <c r="F1640" s="5" t="s">
        <v>867</v>
      </c>
      <c r="G1640" s="5" t="s">
        <v>891</v>
      </c>
      <c r="H1640" s="7" t="s">
        <v>892</v>
      </c>
      <c r="I1640" s="5" t="s">
        <v>835</v>
      </c>
      <c r="J1640">
        <v>84</v>
      </c>
      <c r="K1640">
        <v>1</v>
      </c>
      <c r="L1640" s="5" t="s">
        <v>845</v>
      </c>
      <c r="M1640" t="s">
        <v>257</v>
      </c>
      <c r="N1640" t="s">
        <v>201</v>
      </c>
      <c r="O1640" t="s">
        <v>90</v>
      </c>
      <c r="P1640" t="s">
        <v>689</v>
      </c>
      <c r="T1640">
        <v>1</v>
      </c>
      <c r="U1640" s="8">
        <f t="shared" si="159"/>
        <v>2</v>
      </c>
      <c r="AD1640" t="str">
        <f t="shared" si="158"/>
        <v>e</v>
      </c>
      <c r="AE1640" t="str">
        <f t="shared" si="162"/>
        <v>Zone_Entry_Exit</v>
      </c>
      <c r="AF1640" t="str">
        <f t="shared" si="160"/>
        <v>Zone_Exit</v>
      </c>
      <c r="AG1640" t="str">
        <f t="shared" si="161"/>
        <v>ZoneExit-Rush</v>
      </c>
      <c r="AN1640" t="str">
        <f t="shared" si="163"/>
        <v>Offensive</v>
      </c>
      <c r="BD1640" s="23"/>
      <c r="BF1640" s="21"/>
    </row>
    <row r="1641" spans="1:58" x14ac:dyDescent="0.2">
      <c r="A1641">
        <v>826</v>
      </c>
      <c r="J1641">
        <v>13</v>
      </c>
      <c r="Q1641" t="s">
        <v>658</v>
      </c>
      <c r="T1641">
        <v>1</v>
      </c>
      <c r="U1641" s="8">
        <f t="shared" si="159"/>
        <v>2</v>
      </c>
      <c r="AD1641" t="str">
        <f t="shared" si="158"/>
        <v>o</v>
      </c>
      <c r="AE1641" t="str">
        <f t="shared" si="162"/>
        <v>Zone_Entry_Exit</v>
      </c>
      <c r="AF1641" t="str">
        <f t="shared" si="160"/>
        <v>Zone_Exit</v>
      </c>
      <c r="AG1641" t="str">
        <f t="shared" si="161"/>
        <v>ZoneExit-Rush</v>
      </c>
      <c r="AN1641" t="str">
        <f t="shared" si="163"/>
        <v>Defensive</v>
      </c>
      <c r="BD1641" s="23"/>
      <c r="BF1641" s="21"/>
    </row>
    <row r="1642" spans="1:58" x14ac:dyDescent="0.2">
      <c r="A1642">
        <v>827</v>
      </c>
      <c r="E1642" s="5" t="s">
        <v>891</v>
      </c>
      <c r="F1642" s="5" t="s">
        <v>892</v>
      </c>
      <c r="G1642" s="5" t="s">
        <v>891</v>
      </c>
      <c r="H1642" s="7" t="s">
        <v>893</v>
      </c>
      <c r="I1642" t="s">
        <v>835</v>
      </c>
      <c r="J1642">
        <v>84</v>
      </c>
      <c r="K1642">
        <v>1</v>
      </c>
      <c r="L1642" t="s">
        <v>839</v>
      </c>
      <c r="M1642" t="s">
        <v>15</v>
      </c>
      <c r="Q1642" t="s">
        <v>152</v>
      </c>
      <c r="S1642" t="s">
        <v>689</v>
      </c>
      <c r="T1642">
        <v>1</v>
      </c>
      <c r="U1642" s="8">
        <f t="shared" si="159"/>
        <v>2</v>
      </c>
      <c r="AD1642" t="str">
        <f t="shared" si="158"/>
        <v>e</v>
      </c>
      <c r="AE1642" t="str">
        <f t="shared" si="162"/>
        <v>Possession</v>
      </c>
      <c r="AF1642" t="str">
        <f t="shared" si="160"/>
        <v/>
      </c>
      <c r="AG1642" t="str">
        <f t="shared" si="161"/>
        <v/>
      </c>
      <c r="AN1642" t="str">
        <f t="shared" si="163"/>
        <v>Offensive</v>
      </c>
      <c r="BD1642" s="23"/>
      <c r="BF1642" s="21"/>
    </row>
    <row r="1643" spans="1:58" x14ac:dyDescent="0.2">
      <c r="A1643">
        <v>827</v>
      </c>
      <c r="J1643">
        <v>94</v>
      </c>
      <c r="Q1643" t="s">
        <v>166</v>
      </c>
      <c r="S1643" t="s">
        <v>688</v>
      </c>
      <c r="T1643">
        <v>1</v>
      </c>
      <c r="U1643" s="8">
        <f t="shared" si="159"/>
        <v>2</v>
      </c>
      <c r="AD1643" t="str">
        <f t="shared" si="158"/>
        <v>o</v>
      </c>
      <c r="AE1643" t="str">
        <f t="shared" si="162"/>
        <v>Possession</v>
      </c>
      <c r="AF1643" t="str">
        <f t="shared" si="160"/>
        <v/>
      </c>
      <c r="AG1643" t="str">
        <f t="shared" si="161"/>
        <v/>
      </c>
      <c r="AN1643" t="str">
        <f t="shared" si="163"/>
        <v>Defensive</v>
      </c>
      <c r="BD1643" s="23"/>
      <c r="BF1643" s="21"/>
    </row>
    <row r="1644" spans="1:58" x14ac:dyDescent="0.2">
      <c r="A1644">
        <v>828</v>
      </c>
      <c r="E1644" s="5" t="s">
        <v>891</v>
      </c>
      <c r="F1644" s="5" t="s">
        <v>893</v>
      </c>
      <c r="G1644" s="5" t="s">
        <v>891</v>
      </c>
      <c r="H1644" s="7" t="s">
        <v>869</v>
      </c>
      <c r="I1644" t="s">
        <v>835</v>
      </c>
      <c r="J1644">
        <v>84</v>
      </c>
      <c r="K1644">
        <v>1</v>
      </c>
      <c r="L1644" t="s">
        <v>401</v>
      </c>
      <c r="M1644" t="s">
        <v>257</v>
      </c>
      <c r="N1644" t="s">
        <v>191</v>
      </c>
      <c r="O1644" t="s">
        <v>87</v>
      </c>
      <c r="P1644" t="s">
        <v>689</v>
      </c>
      <c r="Q1644" t="s">
        <v>638</v>
      </c>
      <c r="R1644" t="s">
        <v>145</v>
      </c>
      <c r="T1644">
        <v>1</v>
      </c>
      <c r="U1644" s="8">
        <f t="shared" si="159"/>
        <v>2</v>
      </c>
      <c r="AD1644" t="str">
        <f t="shared" si="158"/>
        <v>e</v>
      </c>
      <c r="AE1644" t="str">
        <f t="shared" si="162"/>
        <v>Zone_Entry_Exit</v>
      </c>
      <c r="AF1644" t="str">
        <f t="shared" si="160"/>
        <v>Zone_Entry</v>
      </c>
      <c r="AG1644" t="str">
        <f t="shared" si="161"/>
        <v>ZoneEntry-Rush</v>
      </c>
      <c r="AN1644" t="str">
        <f t="shared" si="163"/>
        <v>Offensive</v>
      </c>
      <c r="BD1644" s="23"/>
      <c r="BF1644" s="21"/>
    </row>
    <row r="1645" spans="1:58" x14ac:dyDescent="0.2">
      <c r="A1645">
        <v>828</v>
      </c>
      <c r="J1645">
        <v>83</v>
      </c>
      <c r="Q1645" t="s">
        <v>936</v>
      </c>
      <c r="T1645">
        <v>1</v>
      </c>
      <c r="U1645" s="8">
        <f t="shared" si="159"/>
        <v>2</v>
      </c>
      <c r="AD1645" t="str">
        <f t="shared" si="158"/>
        <v>o</v>
      </c>
      <c r="AE1645" t="str">
        <f t="shared" si="162"/>
        <v>Zone_Entry_Exit</v>
      </c>
      <c r="AF1645" t="str">
        <f t="shared" si="160"/>
        <v>Zone_Entry</v>
      </c>
      <c r="AG1645" t="str">
        <f t="shared" si="161"/>
        <v>ZoneEntry-Rush</v>
      </c>
      <c r="AN1645" t="str">
        <f t="shared" si="163"/>
        <v>Defensive</v>
      </c>
      <c r="BD1645" s="23"/>
      <c r="BF1645" s="21"/>
    </row>
    <row r="1646" spans="1:58" s="31" customFormat="1" x14ac:dyDescent="0.2">
      <c r="A1646">
        <f t="shared" ref="A1646:A1652" si="164">IF(E1646&lt;&gt;"",A1645+1,A1645)</f>
        <v>829</v>
      </c>
      <c r="B1646" s="31">
        <v>139</v>
      </c>
      <c r="E1646" s="34" t="s">
        <v>891</v>
      </c>
      <c r="F1646" s="34" t="s">
        <v>869</v>
      </c>
      <c r="G1646" s="34"/>
      <c r="H1646" s="35"/>
      <c r="I1646" s="31" t="s">
        <v>835</v>
      </c>
      <c r="J1646" s="31">
        <v>84</v>
      </c>
      <c r="K1646" s="31">
        <v>1</v>
      </c>
      <c r="L1646" s="31" t="s">
        <v>401</v>
      </c>
      <c r="M1646" s="31" t="s">
        <v>7</v>
      </c>
      <c r="N1646" s="31" t="s">
        <v>222</v>
      </c>
      <c r="O1646" s="31" t="s">
        <v>53</v>
      </c>
      <c r="P1646" s="31" t="s">
        <v>689</v>
      </c>
      <c r="U1646" s="45">
        <f t="shared" si="159"/>
        <v>2</v>
      </c>
      <c r="Z1646"/>
      <c r="AA1646"/>
      <c r="AB1646"/>
      <c r="AC1646"/>
      <c r="AD1646" s="31" t="str">
        <f t="shared" si="158"/>
        <v>e</v>
      </c>
      <c r="AE1646" s="31" t="str">
        <f t="shared" si="162"/>
        <v>Shot</v>
      </c>
      <c r="AF1646" s="31" t="str">
        <f t="shared" si="160"/>
        <v>Shot_OnNetSaved</v>
      </c>
      <c r="AG1646" s="31" t="str">
        <f t="shared" si="161"/>
        <v>Shot-Wrist</v>
      </c>
      <c r="AN1646" s="31" t="str">
        <f t="shared" si="163"/>
        <v>Offensive</v>
      </c>
      <c r="AQ1646"/>
      <c r="AR1646" s="36"/>
      <c r="AS1646"/>
      <c r="AT1646"/>
      <c r="AU1646"/>
      <c r="AV1646" s="37"/>
      <c r="AZ1646" s="36"/>
      <c r="BB1646" s="37"/>
      <c r="BD1646" s="38"/>
      <c r="BF1646" s="39"/>
    </row>
    <row r="1647" spans="1:58" x14ac:dyDescent="0.2">
      <c r="A1647">
        <f t="shared" si="164"/>
        <v>829</v>
      </c>
      <c r="B1647">
        <f>IF(A1647=A1646,B1646,"")</f>
        <v>139</v>
      </c>
      <c r="J1647">
        <v>38</v>
      </c>
      <c r="U1647" s="8">
        <f t="shared" si="159"/>
        <v>2</v>
      </c>
      <c r="AD1647" t="str">
        <f t="shared" si="158"/>
        <v>o</v>
      </c>
      <c r="AE1647" t="str">
        <f t="shared" si="162"/>
        <v>Shot</v>
      </c>
      <c r="AF1647" t="str">
        <f t="shared" si="160"/>
        <v>Shot_OnNetSaved</v>
      </c>
      <c r="AG1647" t="str">
        <f t="shared" si="161"/>
        <v>Shot-Wrist</v>
      </c>
      <c r="AN1647" t="str">
        <f t="shared" si="163"/>
        <v>Defensive</v>
      </c>
      <c r="BD1647" s="23"/>
      <c r="BF1647" s="21"/>
    </row>
    <row r="1648" spans="1:58" x14ac:dyDescent="0.2">
      <c r="A1648">
        <f t="shared" si="164"/>
        <v>829</v>
      </c>
      <c r="B1648">
        <f t="shared" ref="B1648:B1711" si="165">IF(A1648=A1647,B1647,"")</f>
        <v>139</v>
      </c>
      <c r="J1648">
        <v>83</v>
      </c>
      <c r="Q1648" t="s">
        <v>658</v>
      </c>
      <c r="U1648" s="8">
        <f t="shared" si="159"/>
        <v>2</v>
      </c>
      <c r="AD1648" t="str">
        <f t="shared" si="158"/>
        <v>o</v>
      </c>
      <c r="AE1648" t="str">
        <f t="shared" si="162"/>
        <v>Shot</v>
      </c>
      <c r="AF1648" t="str">
        <f t="shared" si="160"/>
        <v>Shot_OnNetSaved</v>
      </c>
      <c r="AG1648" t="str">
        <f t="shared" si="161"/>
        <v>Shot-Wrist</v>
      </c>
      <c r="AN1648" t="str">
        <f t="shared" si="163"/>
        <v>Defensive</v>
      </c>
      <c r="BD1648" s="23"/>
      <c r="BF1648" s="21"/>
    </row>
    <row r="1649" spans="1:58" x14ac:dyDescent="0.2">
      <c r="A1649">
        <f t="shared" si="164"/>
        <v>829</v>
      </c>
      <c r="B1649">
        <v>139</v>
      </c>
      <c r="I1649" t="s">
        <v>840</v>
      </c>
      <c r="J1649">
        <v>38</v>
      </c>
      <c r="K1649">
        <v>1</v>
      </c>
      <c r="L1649" t="s">
        <v>845</v>
      </c>
      <c r="M1649" t="s">
        <v>17</v>
      </c>
      <c r="N1649" t="s">
        <v>196</v>
      </c>
      <c r="O1649" t="s">
        <v>99</v>
      </c>
      <c r="U1649" s="8">
        <f t="shared" si="159"/>
        <v>2</v>
      </c>
      <c r="AD1649" t="str">
        <f t="shared" si="158"/>
        <v>e</v>
      </c>
      <c r="AE1649" t="str">
        <f t="shared" si="162"/>
        <v>Save</v>
      </c>
      <c r="AF1649" t="str">
        <f t="shared" si="160"/>
        <v>Save_Rebound</v>
      </c>
      <c r="AG1649" t="str">
        <f t="shared" si="161"/>
        <v>Save-RightPad</v>
      </c>
      <c r="AN1649" t="str">
        <f t="shared" si="163"/>
        <v>Defensive</v>
      </c>
      <c r="BD1649" s="23"/>
      <c r="BF1649" s="21"/>
    </row>
    <row r="1650" spans="1:58" x14ac:dyDescent="0.2">
      <c r="A1650">
        <f t="shared" si="164"/>
        <v>829</v>
      </c>
      <c r="B1650">
        <f t="shared" si="165"/>
        <v>139</v>
      </c>
      <c r="J1650">
        <v>83</v>
      </c>
      <c r="K1650">
        <v>1</v>
      </c>
      <c r="Q1650" t="s">
        <v>658</v>
      </c>
      <c r="U1650" s="8">
        <f t="shared" si="159"/>
        <v>2</v>
      </c>
      <c r="AD1650" t="str">
        <f t="shared" si="158"/>
        <v>e</v>
      </c>
      <c r="AE1650" t="str">
        <f t="shared" si="162"/>
        <v>Save</v>
      </c>
      <c r="AF1650" t="str">
        <f t="shared" si="160"/>
        <v>Save_Rebound</v>
      </c>
      <c r="AG1650" t="str">
        <f t="shared" si="161"/>
        <v>Save-RightPad</v>
      </c>
      <c r="AN1650" t="str">
        <f t="shared" si="163"/>
        <v>Defensive</v>
      </c>
      <c r="BD1650" s="23"/>
      <c r="BF1650" s="21"/>
    </row>
    <row r="1651" spans="1:58" x14ac:dyDescent="0.2">
      <c r="A1651">
        <f t="shared" si="164"/>
        <v>829</v>
      </c>
      <c r="B1651">
        <f t="shared" si="165"/>
        <v>139</v>
      </c>
      <c r="J1651">
        <v>84</v>
      </c>
      <c r="U1651" s="8">
        <f t="shared" si="159"/>
        <v>2</v>
      </c>
      <c r="AD1651" t="str">
        <f t="shared" si="158"/>
        <v>o</v>
      </c>
      <c r="AE1651" t="str">
        <f t="shared" si="162"/>
        <v>Save</v>
      </c>
      <c r="AF1651" t="str">
        <f t="shared" si="160"/>
        <v>Save_Rebound</v>
      </c>
      <c r="AG1651" t="str">
        <f t="shared" si="161"/>
        <v>Save-RightPad</v>
      </c>
      <c r="AN1651" t="str">
        <f t="shared" si="163"/>
        <v>Offensive</v>
      </c>
      <c r="BD1651" s="23"/>
      <c r="BF1651" s="21"/>
    </row>
    <row r="1652" spans="1:58" x14ac:dyDescent="0.2">
      <c r="A1652">
        <f t="shared" si="164"/>
        <v>829</v>
      </c>
      <c r="B1652">
        <f t="shared" si="165"/>
        <v>139</v>
      </c>
      <c r="I1652" t="s">
        <v>840</v>
      </c>
      <c r="J1652">
        <v>38</v>
      </c>
      <c r="K1652">
        <v>1</v>
      </c>
      <c r="L1652" t="s">
        <v>845</v>
      </c>
      <c r="M1652" t="s">
        <v>250</v>
      </c>
      <c r="N1652" t="s">
        <v>252</v>
      </c>
      <c r="U1652" s="8">
        <f t="shared" si="159"/>
        <v>2</v>
      </c>
      <c r="AD1652" t="str">
        <f t="shared" si="158"/>
        <v>e</v>
      </c>
      <c r="AE1652" t="str">
        <f t="shared" si="162"/>
        <v>Rebound</v>
      </c>
      <c r="AF1652" t="str">
        <f t="shared" si="160"/>
        <v>Rebound_OppTeamRecovered</v>
      </c>
      <c r="AG1652" t="str">
        <f t="shared" si="161"/>
        <v>Save-RightPad</v>
      </c>
      <c r="AN1652" t="str">
        <f t="shared" si="163"/>
        <v>Offensive</v>
      </c>
      <c r="BD1652" s="23"/>
      <c r="BF1652" s="21"/>
    </row>
    <row r="1653" spans="1:58" x14ac:dyDescent="0.2">
      <c r="A1653">
        <v>832</v>
      </c>
      <c r="B1653" t="str">
        <f t="shared" si="165"/>
        <v/>
      </c>
      <c r="E1653" s="5" t="s">
        <v>891</v>
      </c>
      <c r="F1653" s="5" t="s">
        <v>870</v>
      </c>
      <c r="I1653" t="s">
        <v>835</v>
      </c>
      <c r="J1653">
        <v>84</v>
      </c>
      <c r="K1653">
        <v>1</v>
      </c>
      <c r="L1653" t="s">
        <v>401</v>
      </c>
      <c r="M1653" t="s">
        <v>15</v>
      </c>
      <c r="N1653" t="s">
        <v>681</v>
      </c>
      <c r="P1653" t="s">
        <v>688</v>
      </c>
      <c r="Q1653" t="s">
        <v>679</v>
      </c>
      <c r="S1653" t="s">
        <v>688</v>
      </c>
      <c r="U1653" s="8">
        <f t="shared" si="159"/>
        <v>2</v>
      </c>
      <c r="AD1653" t="str">
        <f t="shared" si="158"/>
        <v>e</v>
      </c>
      <c r="AE1653" t="str">
        <f t="shared" si="162"/>
        <v>Possession</v>
      </c>
      <c r="AF1653" t="str">
        <f t="shared" si="160"/>
        <v>PuckRecovery</v>
      </c>
      <c r="AG1653" t="str">
        <f t="shared" si="161"/>
        <v/>
      </c>
      <c r="AN1653" t="str">
        <f t="shared" si="163"/>
        <v>Offensive</v>
      </c>
      <c r="BD1653" s="23"/>
      <c r="BF1653" s="21"/>
    </row>
    <row r="1654" spans="1:58" x14ac:dyDescent="0.2">
      <c r="A1654">
        <v>833</v>
      </c>
      <c r="B1654">
        <v>140</v>
      </c>
      <c r="E1654" s="5" t="s">
        <v>891</v>
      </c>
      <c r="F1654" s="5" t="s">
        <v>870</v>
      </c>
      <c r="I1654" t="s">
        <v>835</v>
      </c>
      <c r="J1654">
        <v>84</v>
      </c>
      <c r="K1654">
        <v>1</v>
      </c>
      <c r="L1654" t="s">
        <v>401</v>
      </c>
      <c r="M1654" t="s">
        <v>8</v>
      </c>
      <c r="N1654" t="s">
        <v>199</v>
      </c>
      <c r="O1654" t="s">
        <v>70</v>
      </c>
      <c r="P1654" t="s">
        <v>688</v>
      </c>
      <c r="Q1654" t="s">
        <v>669</v>
      </c>
      <c r="S1654" t="s">
        <v>688</v>
      </c>
      <c r="U1654" s="8">
        <f t="shared" si="159"/>
        <v>2</v>
      </c>
      <c r="AD1654" t="str">
        <f t="shared" si="158"/>
        <v>e</v>
      </c>
      <c r="AE1654" t="str">
        <f t="shared" si="162"/>
        <v>Pass</v>
      </c>
      <c r="AF1654" t="str">
        <f t="shared" si="160"/>
        <v>Pass_Missed</v>
      </c>
      <c r="AG1654" t="str">
        <f t="shared" si="161"/>
        <v>Pass-Forehand</v>
      </c>
      <c r="AN1654" t="str">
        <f t="shared" si="163"/>
        <v>Offensive</v>
      </c>
      <c r="BD1654" s="23"/>
      <c r="BF1654" s="21"/>
    </row>
    <row r="1655" spans="1:58" x14ac:dyDescent="0.2">
      <c r="A1655">
        <f>IF(AND(E1655="",J1655=""),0,IF(E1655&lt;&gt;"",A1654+1,A1654))</f>
        <v>833</v>
      </c>
      <c r="B1655">
        <f>IF(A1655=A1654,B1654,"")</f>
        <v>140</v>
      </c>
      <c r="J1655">
        <v>75</v>
      </c>
      <c r="K1655">
        <v>1</v>
      </c>
      <c r="U1655" s="8">
        <f t="shared" si="159"/>
        <v>2</v>
      </c>
      <c r="AD1655" t="str">
        <f t="shared" si="158"/>
        <v>e</v>
      </c>
      <c r="AE1655" t="str">
        <f t="shared" si="162"/>
        <v>Pass</v>
      </c>
      <c r="AF1655" t="str">
        <f t="shared" si="160"/>
        <v>Pass_Missed</v>
      </c>
      <c r="AG1655" t="str">
        <f t="shared" si="161"/>
        <v>Pass-Forehand</v>
      </c>
      <c r="AN1655" t="str">
        <f t="shared" si="163"/>
        <v>Offensive</v>
      </c>
      <c r="BD1655" s="23"/>
      <c r="BF1655" s="21"/>
    </row>
    <row r="1656" spans="1:58" x14ac:dyDescent="0.2">
      <c r="A1656">
        <f>IF(E1656&lt;&gt;"",A1655+1,A1655)</f>
        <v>833</v>
      </c>
      <c r="B1656">
        <f t="shared" si="165"/>
        <v>140</v>
      </c>
      <c r="J1656">
        <v>71</v>
      </c>
      <c r="U1656" s="8">
        <f t="shared" si="159"/>
        <v>2</v>
      </c>
      <c r="AD1656" t="str">
        <f t="shared" si="158"/>
        <v>o</v>
      </c>
      <c r="AE1656" t="str">
        <f t="shared" si="162"/>
        <v>Pass</v>
      </c>
      <c r="AF1656" t="str">
        <f t="shared" si="160"/>
        <v>Pass_Missed</v>
      </c>
      <c r="AG1656" t="str">
        <f t="shared" si="161"/>
        <v>Pass-Forehand</v>
      </c>
      <c r="AN1656" t="str">
        <f t="shared" si="163"/>
        <v>Defensive</v>
      </c>
      <c r="BD1656" s="23"/>
      <c r="BF1656" s="21"/>
    </row>
    <row r="1657" spans="1:58" x14ac:dyDescent="0.2">
      <c r="A1657">
        <v>834</v>
      </c>
      <c r="B1657">
        <v>140</v>
      </c>
      <c r="I1657" t="s">
        <v>835</v>
      </c>
      <c r="J1657">
        <v>84</v>
      </c>
      <c r="K1657">
        <v>1</v>
      </c>
      <c r="L1657" t="s">
        <v>401</v>
      </c>
      <c r="M1657" t="s">
        <v>10</v>
      </c>
      <c r="N1657" t="s">
        <v>190</v>
      </c>
      <c r="O1657" t="s">
        <v>76</v>
      </c>
      <c r="P1657" t="s">
        <v>688</v>
      </c>
      <c r="Q1657" t="s">
        <v>669</v>
      </c>
      <c r="S1657" t="s">
        <v>688</v>
      </c>
      <c r="U1657" s="8">
        <f t="shared" si="159"/>
        <v>2</v>
      </c>
      <c r="AD1657" t="str">
        <f t="shared" si="158"/>
        <v>e</v>
      </c>
      <c r="AE1657" t="str">
        <f t="shared" si="162"/>
        <v>Turnover</v>
      </c>
      <c r="AF1657" t="str">
        <f t="shared" si="160"/>
        <v>Turnover_Giveaway</v>
      </c>
      <c r="AG1657" t="str">
        <f t="shared" si="161"/>
        <v>Giveaway-PassMissed</v>
      </c>
      <c r="AN1657" t="str">
        <f t="shared" si="163"/>
        <v>Offensive</v>
      </c>
    </row>
    <row r="1658" spans="1:58" x14ac:dyDescent="0.2">
      <c r="A1658">
        <v>834</v>
      </c>
      <c r="B1658">
        <f t="shared" si="165"/>
        <v>140</v>
      </c>
      <c r="J1658">
        <v>75</v>
      </c>
      <c r="K1658">
        <v>1</v>
      </c>
      <c r="U1658" s="8">
        <f t="shared" si="159"/>
        <v>2</v>
      </c>
      <c r="AD1658" t="str">
        <f t="shared" si="158"/>
        <v>e</v>
      </c>
      <c r="AE1658" t="str">
        <f t="shared" si="162"/>
        <v>Turnover</v>
      </c>
      <c r="AF1658" t="str">
        <f t="shared" si="160"/>
        <v>Turnover_Giveaway</v>
      </c>
      <c r="AG1658" t="str">
        <f t="shared" si="161"/>
        <v>Giveaway-PassMissed</v>
      </c>
      <c r="AN1658" t="str">
        <f>IF(AND(AD1658="e",OR(AE1658="Save",AF1658="Turnover_Takeaway",AF1658="Play_Defensive")),"Defensive",IF(AND(AD1658="o",OR(AE1658="Save",AF1658="Turnover_Takeaway",AF1658="Play_Defensive")),"Offensive",IF(OR(AE1658="Deadice",AE1658="Stoppage",AE1658="Intermission"),"",IF(AD1658="e","Offensive",IF(AD1658="o","Defensive","")))))</f>
        <v>Offensive</v>
      </c>
    </row>
    <row r="1659" spans="1:58" x14ac:dyDescent="0.2">
      <c r="A1659">
        <v>834</v>
      </c>
      <c r="B1659">
        <f t="shared" si="165"/>
        <v>140</v>
      </c>
      <c r="J1659">
        <v>71</v>
      </c>
      <c r="U1659" s="8">
        <f t="shared" si="159"/>
        <v>2</v>
      </c>
      <c r="AD1659" t="str">
        <f t="shared" si="158"/>
        <v>o</v>
      </c>
      <c r="AE1659" t="str">
        <f t="shared" si="162"/>
        <v>Turnover</v>
      </c>
      <c r="AF1659" t="str">
        <f t="shared" si="160"/>
        <v>Turnover_Giveaway</v>
      </c>
      <c r="AG1659" t="str">
        <f t="shared" si="161"/>
        <v>Giveaway-PassMissed</v>
      </c>
      <c r="AN1659" t="str">
        <f>IF(AND(AD1659="e",OR(AE1659="Save",AF1659="Turnover_Takeaway",AF1659="Play_Defensive")),"Defensive",IF(AND(AD1659="o",OR(AE1659="Save",AF1659="Turnover_Takeaway",AF1659="Play_Defensive")),"Offensive",IF(OR(AE1659="Deadice",AE1659="Stoppage",AE1659="Intermission"),"",IF(AD1659="e","Offensive",IF(AD1659="o","Defensive","")))))</f>
        <v>Defensive</v>
      </c>
    </row>
    <row r="1660" spans="1:58" x14ac:dyDescent="0.2">
      <c r="A1660">
        <v>835</v>
      </c>
      <c r="E1660" s="5" t="s">
        <v>903</v>
      </c>
      <c r="F1660" s="5" t="s">
        <v>837</v>
      </c>
      <c r="I1660" t="s">
        <v>840</v>
      </c>
      <c r="J1660">
        <v>71</v>
      </c>
      <c r="K1660">
        <v>1</v>
      </c>
      <c r="L1660" t="s">
        <v>845</v>
      </c>
      <c r="M1660" t="s">
        <v>15</v>
      </c>
      <c r="N1660" t="s">
        <v>680</v>
      </c>
      <c r="P1660" t="s">
        <v>688</v>
      </c>
      <c r="Q1660" t="s">
        <v>676</v>
      </c>
      <c r="S1660" t="s">
        <v>688</v>
      </c>
      <c r="U1660" s="8">
        <f t="shared" si="159"/>
        <v>2</v>
      </c>
      <c r="AD1660" t="str">
        <f t="shared" si="158"/>
        <v>e</v>
      </c>
      <c r="AE1660" t="str">
        <f t="shared" si="162"/>
        <v>Possession</v>
      </c>
      <c r="AF1660" t="str">
        <f t="shared" si="160"/>
        <v>PuckRetrieval</v>
      </c>
      <c r="AG1660" t="str">
        <f t="shared" si="161"/>
        <v/>
      </c>
      <c r="AN1660" t="str">
        <f t="shared" ref="AN1660:AN1720" si="166">IF(AND(AD1660="e",OR(AE1660="Save",AF1660="Turnover_Takeaway",AF1660="Play_Defensive")),"Defensive",IF(AND(AD1660="o",OR(AE1660="Save",AF1660="Turnover_Takeaway",AF1660="Play_Defensive")),"Offensive",IF(OR(AE1660="Deadice",AE1660="Stoppage",AE1660="Intermission"),"",IF(AD1660="e","Offensive",IF(AD1660="o","Defensive","")))))</f>
        <v>Offensive</v>
      </c>
    </row>
    <row r="1661" spans="1:58" x14ac:dyDescent="0.2">
      <c r="A1661">
        <v>836</v>
      </c>
      <c r="B1661">
        <v>141</v>
      </c>
      <c r="E1661" s="5" t="s">
        <v>903</v>
      </c>
      <c r="F1661" s="5" t="s">
        <v>872</v>
      </c>
      <c r="I1661" t="s">
        <v>840</v>
      </c>
      <c r="J1661">
        <v>71</v>
      </c>
      <c r="K1661">
        <v>1</v>
      </c>
      <c r="L1661" t="s">
        <v>845</v>
      </c>
      <c r="M1661" t="s">
        <v>8</v>
      </c>
      <c r="N1661" t="s">
        <v>199</v>
      </c>
      <c r="O1661" t="s">
        <v>70</v>
      </c>
      <c r="P1661" t="s">
        <v>688</v>
      </c>
      <c r="Q1661" t="s">
        <v>669</v>
      </c>
      <c r="R1661" t="s">
        <v>929</v>
      </c>
      <c r="S1661" t="s">
        <v>688</v>
      </c>
      <c r="U1661" s="8">
        <f t="shared" si="159"/>
        <v>2</v>
      </c>
      <c r="AD1661" t="str">
        <f t="shared" si="158"/>
        <v>e</v>
      </c>
      <c r="AE1661" t="str">
        <f t="shared" si="162"/>
        <v>Pass</v>
      </c>
      <c r="AF1661" t="str">
        <f t="shared" si="160"/>
        <v>Pass_Missed</v>
      </c>
      <c r="AG1661" t="str">
        <f t="shared" si="161"/>
        <v>Pass-Forehand</v>
      </c>
      <c r="AN1661" t="str">
        <f t="shared" si="166"/>
        <v>Offensive</v>
      </c>
    </row>
    <row r="1662" spans="1:58" x14ac:dyDescent="0.2">
      <c r="A1662">
        <v>837</v>
      </c>
      <c r="B1662">
        <v>141</v>
      </c>
      <c r="E1662" s="5" t="s">
        <v>903</v>
      </c>
      <c r="F1662" s="5" t="s">
        <v>872</v>
      </c>
      <c r="I1662" t="s">
        <v>840</v>
      </c>
      <c r="J1662">
        <v>71</v>
      </c>
      <c r="K1662">
        <v>1</v>
      </c>
      <c r="L1662" t="s">
        <v>845</v>
      </c>
      <c r="M1662" t="s">
        <v>257</v>
      </c>
      <c r="N1662" t="s">
        <v>201</v>
      </c>
      <c r="O1662" t="s">
        <v>91</v>
      </c>
      <c r="P1662" t="s">
        <v>688</v>
      </c>
      <c r="Q1662" t="s">
        <v>669</v>
      </c>
      <c r="R1662" t="s">
        <v>929</v>
      </c>
      <c r="S1662" t="s">
        <v>688</v>
      </c>
      <c r="U1662" s="8">
        <f t="shared" si="159"/>
        <v>2</v>
      </c>
      <c r="AD1662" t="str">
        <f t="shared" si="158"/>
        <v>e</v>
      </c>
      <c r="AE1662" t="str">
        <f t="shared" si="162"/>
        <v>Zone_Entry_Exit</v>
      </c>
      <c r="AF1662" t="str">
        <f t="shared" si="160"/>
        <v>Zone_Exit</v>
      </c>
      <c r="AG1662" t="str">
        <f t="shared" si="161"/>
        <v>ZoneExit-Pass</v>
      </c>
      <c r="AN1662" t="str">
        <f t="shared" si="166"/>
        <v>Offensive</v>
      </c>
    </row>
    <row r="1663" spans="1:58" x14ac:dyDescent="0.2">
      <c r="A1663">
        <v>838</v>
      </c>
      <c r="B1663">
        <v>142</v>
      </c>
      <c r="E1663" s="5" t="s">
        <v>903</v>
      </c>
      <c r="F1663" s="5" t="s">
        <v>885</v>
      </c>
      <c r="I1663" t="s">
        <v>840</v>
      </c>
      <c r="J1663">
        <v>5</v>
      </c>
      <c r="K1663">
        <v>1</v>
      </c>
      <c r="L1663" t="s">
        <v>839</v>
      </c>
      <c r="M1663" t="s">
        <v>15</v>
      </c>
      <c r="N1663" t="s">
        <v>681</v>
      </c>
      <c r="P1663" t="s">
        <v>688</v>
      </c>
      <c r="Q1663" t="s">
        <v>676</v>
      </c>
      <c r="S1663" t="s">
        <v>688</v>
      </c>
      <c r="T1663">
        <v>1</v>
      </c>
      <c r="U1663" s="8">
        <f t="shared" si="159"/>
        <v>2</v>
      </c>
      <c r="AD1663" t="str">
        <f t="shared" si="158"/>
        <v>e</v>
      </c>
      <c r="AE1663" t="str">
        <f t="shared" si="162"/>
        <v>Possession</v>
      </c>
      <c r="AF1663" t="str">
        <f t="shared" si="160"/>
        <v>PuckRecovery</v>
      </c>
      <c r="AG1663" t="str">
        <f t="shared" si="161"/>
        <v/>
      </c>
      <c r="AN1663" t="str">
        <f t="shared" si="166"/>
        <v>Offensive</v>
      </c>
    </row>
    <row r="1664" spans="1:58" x14ac:dyDescent="0.2">
      <c r="A1664">
        <v>838</v>
      </c>
      <c r="B1664">
        <f t="shared" si="165"/>
        <v>142</v>
      </c>
      <c r="J1664">
        <v>14</v>
      </c>
      <c r="T1664">
        <v>1</v>
      </c>
      <c r="U1664" s="8">
        <f t="shared" si="159"/>
        <v>2</v>
      </c>
      <c r="AD1664" t="str">
        <f t="shared" si="158"/>
        <v>o</v>
      </c>
      <c r="AE1664" t="str">
        <f t="shared" si="162"/>
        <v>Possession</v>
      </c>
      <c r="AF1664" t="str">
        <f t="shared" si="160"/>
        <v>PuckRecovery</v>
      </c>
      <c r="AG1664" t="str">
        <f t="shared" si="161"/>
        <v/>
      </c>
      <c r="AN1664" t="str">
        <f t="shared" si="166"/>
        <v>Defensive</v>
      </c>
    </row>
    <row r="1665" spans="1:40" x14ac:dyDescent="0.2">
      <c r="A1665">
        <v>839</v>
      </c>
      <c r="B1665">
        <v>142</v>
      </c>
      <c r="I1665" t="s">
        <v>840</v>
      </c>
      <c r="J1665">
        <v>5</v>
      </c>
      <c r="K1665">
        <v>1</v>
      </c>
      <c r="L1665" t="s">
        <v>839</v>
      </c>
      <c r="M1665" t="s">
        <v>8</v>
      </c>
      <c r="N1665" t="s">
        <v>216</v>
      </c>
      <c r="O1665" t="s">
        <v>70</v>
      </c>
      <c r="P1665" t="s">
        <v>688</v>
      </c>
      <c r="Q1665" t="s">
        <v>669</v>
      </c>
      <c r="S1665" t="s">
        <v>688</v>
      </c>
      <c r="T1665">
        <v>1</v>
      </c>
      <c r="U1665" s="8">
        <f t="shared" si="159"/>
        <v>2</v>
      </c>
      <c r="AD1665" t="str">
        <f t="shared" si="158"/>
        <v>e</v>
      </c>
      <c r="AE1665" t="str">
        <f t="shared" si="162"/>
        <v>Pass</v>
      </c>
      <c r="AF1665" t="str">
        <f t="shared" si="160"/>
        <v>Pass_Intercepted</v>
      </c>
      <c r="AG1665" t="str">
        <f t="shared" si="161"/>
        <v>Pass-Forehand</v>
      </c>
      <c r="AN1665" t="str">
        <f t="shared" si="166"/>
        <v>Offensive</v>
      </c>
    </row>
    <row r="1666" spans="1:40" x14ac:dyDescent="0.2">
      <c r="A1666">
        <v>839</v>
      </c>
      <c r="B1666">
        <f t="shared" si="165"/>
        <v>142</v>
      </c>
      <c r="J1666">
        <v>70</v>
      </c>
      <c r="Q1666" t="s">
        <v>648</v>
      </c>
      <c r="R1666" t="s">
        <v>657</v>
      </c>
      <c r="S1666" t="s">
        <v>689</v>
      </c>
      <c r="U1666" s="8">
        <f t="shared" si="159"/>
        <v>2</v>
      </c>
      <c r="AD1666" t="str">
        <f t="shared" ref="AD1666:AD1729" si="167">IF(K1666="x","",IF(K1666=1,"e","o"))</f>
        <v>o</v>
      </c>
      <c r="AE1666" t="str">
        <f t="shared" si="162"/>
        <v>Pass</v>
      </c>
      <c r="AF1666" t="str">
        <f t="shared" si="160"/>
        <v>Pass_Intercepted</v>
      </c>
      <c r="AG1666" t="str">
        <f t="shared" si="161"/>
        <v>Pass-Forehand</v>
      </c>
      <c r="AN1666" t="str">
        <f t="shared" si="166"/>
        <v>Defensive</v>
      </c>
    </row>
    <row r="1667" spans="1:40" x14ac:dyDescent="0.2">
      <c r="A1667">
        <v>839</v>
      </c>
      <c r="B1667">
        <v>142</v>
      </c>
      <c r="J1667">
        <v>14</v>
      </c>
      <c r="K1667">
        <v>1</v>
      </c>
      <c r="L1667" t="s">
        <v>839</v>
      </c>
      <c r="T1667">
        <v>1</v>
      </c>
      <c r="U1667" s="8">
        <f t="shared" ref="U1667:U1730" si="168">IF(M1667="Intermission",U1666+1,U1666)</f>
        <v>2</v>
      </c>
      <c r="AD1667" t="str">
        <f t="shared" si="167"/>
        <v>e</v>
      </c>
      <c r="AE1667" t="str">
        <f t="shared" si="162"/>
        <v>Pass</v>
      </c>
      <c r="AF1667" t="str">
        <f t="shared" ref="AF1667:AF1730" si="169">IF(N1667&lt;&gt;"",N1667,IF($A1667=$A1666,AF1666,""))</f>
        <v>Pass_Intercepted</v>
      </c>
      <c r="AG1667" t="str">
        <f t="shared" ref="AG1667:AG1730" si="170">IF(O1667&lt;&gt;"",O1667,IF($A1667=$A1666,AG1666,""))</f>
        <v>Pass-Forehand</v>
      </c>
      <c r="AN1667" t="str">
        <f t="shared" si="166"/>
        <v>Offensive</v>
      </c>
    </row>
    <row r="1668" spans="1:40" x14ac:dyDescent="0.2">
      <c r="A1668">
        <v>840</v>
      </c>
      <c r="B1668">
        <v>142</v>
      </c>
      <c r="I1668" t="s">
        <v>840</v>
      </c>
      <c r="J1668">
        <v>5</v>
      </c>
      <c r="K1668">
        <v>1</v>
      </c>
      <c r="M1668" t="s">
        <v>10</v>
      </c>
      <c r="N1668" t="s">
        <v>190</v>
      </c>
      <c r="O1668" t="s">
        <v>75</v>
      </c>
      <c r="P1668" t="s">
        <v>688</v>
      </c>
      <c r="Q1668" t="s">
        <v>669</v>
      </c>
      <c r="S1668" t="s">
        <v>688</v>
      </c>
      <c r="T1668">
        <v>1</v>
      </c>
      <c r="U1668" s="8">
        <f t="shared" si="168"/>
        <v>2</v>
      </c>
      <c r="AD1668" t="str">
        <f t="shared" si="167"/>
        <v>e</v>
      </c>
      <c r="AE1668" t="str">
        <f t="shared" ref="AE1668:AE1731" si="171">IF(M1668&lt;&gt;"",M1668,IF($A1668=$A1667,AE1667,""))</f>
        <v>Turnover</v>
      </c>
      <c r="AF1668" t="str">
        <f t="shared" si="169"/>
        <v>Turnover_Giveaway</v>
      </c>
      <c r="AG1668" t="str">
        <f t="shared" si="170"/>
        <v>Giveaway-PassIntercepted</v>
      </c>
      <c r="AN1668" t="str">
        <f t="shared" si="166"/>
        <v>Offensive</v>
      </c>
    </row>
    <row r="1669" spans="1:40" x14ac:dyDescent="0.2">
      <c r="A1669">
        <v>840</v>
      </c>
      <c r="B1669">
        <f t="shared" si="165"/>
        <v>142</v>
      </c>
      <c r="J1669">
        <v>70</v>
      </c>
      <c r="Q1669" t="s">
        <v>648</v>
      </c>
      <c r="R1669" t="s">
        <v>657</v>
      </c>
      <c r="S1669" t="s">
        <v>689</v>
      </c>
      <c r="U1669" s="8">
        <f t="shared" si="168"/>
        <v>2</v>
      </c>
      <c r="AD1669" t="str">
        <f t="shared" si="167"/>
        <v>o</v>
      </c>
      <c r="AE1669" t="str">
        <f t="shared" si="171"/>
        <v>Turnover</v>
      </c>
      <c r="AF1669" t="str">
        <f t="shared" si="169"/>
        <v>Turnover_Giveaway</v>
      </c>
      <c r="AG1669" t="str">
        <f t="shared" si="170"/>
        <v>Giveaway-PassIntercepted</v>
      </c>
      <c r="AN1669" t="str">
        <f t="shared" si="166"/>
        <v>Defensive</v>
      </c>
    </row>
    <row r="1670" spans="1:40" x14ac:dyDescent="0.2">
      <c r="A1670">
        <v>840</v>
      </c>
      <c r="B1670">
        <f t="shared" si="165"/>
        <v>142</v>
      </c>
      <c r="J1670">
        <v>14</v>
      </c>
      <c r="T1670">
        <v>1</v>
      </c>
      <c r="U1670" s="8">
        <f t="shared" si="168"/>
        <v>2</v>
      </c>
      <c r="AD1670" t="str">
        <f t="shared" si="167"/>
        <v>o</v>
      </c>
      <c r="AE1670" t="str">
        <f t="shared" si="171"/>
        <v>Turnover</v>
      </c>
      <c r="AF1670" t="str">
        <f t="shared" si="169"/>
        <v>Turnover_Giveaway</v>
      </c>
      <c r="AG1670" t="str">
        <f t="shared" si="170"/>
        <v>Giveaway-PassIntercepted</v>
      </c>
      <c r="AN1670" t="str">
        <f t="shared" si="166"/>
        <v>Defensive</v>
      </c>
    </row>
    <row r="1671" spans="1:40" x14ac:dyDescent="0.2">
      <c r="A1671">
        <v>841</v>
      </c>
      <c r="B1671" t="str">
        <f t="shared" si="165"/>
        <v/>
      </c>
      <c r="E1671" s="5" t="s">
        <v>903</v>
      </c>
      <c r="F1671" s="5" t="s">
        <v>874</v>
      </c>
      <c r="G1671" s="5" t="s">
        <v>903</v>
      </c>
      <c r="H1671" s="7" t="s">
        <v>842</v>
      </c>
      <c r="I1671" t="s">
        <v>835</v>
      </c>
      <c r="J1671">
        <v>70</v>
      </c>
      <c r="K1671">
        <v>1</v>
      </c>
      <c r="L1671" t="s">
        <v>401</v>
      </c>
      <c r="M1671" t="s">
        <v>257</v>
      </c>
      <c r="N1671" t="s">
        <v>191</v>
      </c>
      <c r="O1671" t="s">
        <v>87</v>
      </c>
      <c r="P1671" t="s">
        <v>688</v>
      </c>
      <c r="Q1671" t="s">
        <v>152</v>
      </c>
      <c r="S1671" t="s">
        <v>689</v>
      </c>
      <c r="T1671">
        <v>1</v>
      </c>
      <c r="U1671" s="8">
        <f t="shared" si="168"/>
        <v>2</v>
      </c>
      <c r="AD1671" t="str">
        <f t="shared" si="167"/>
        <v>e</v>
      </c>
      <c r="AE1671" t="str">
        <f t="shared" si="171"/>
        <v>Zone_Entry_Exit</v>
      </c>
      <c r="AF1671" t="str">
        <f t="shared" si="169"/>
        <v>Zone_Entry</v>
      </c>
      <c r="AG1671" t="str">
        <f t="shared" si="170"/>
        <v>ZoneEntry-Rush</v>
      </c>
      <c r="AN1671" t="str">
        <f t="shared" si="166"/>
        <v>Offensive</v>
      </c>
    </row>
    <row r="1672" spans="1:40" x14ac:dyDescent="0.2">
      <c r="A1672">
        <v>841</v>
      </c>
      <c r="B1672" t="str">
        <f t="shared" si="165"/>
        <v/>
      </c>
      <c r="J1672">
        <v>94</v>
      </c>
      <c r="Q1672" t="s">
        <v>166</v>
      </c>
      <c r="S1672" t="s">
        <v>688</v>
      </c>
      <c r="U1672" s="8">
        <f t="shared" si="168"/>
        <v>2</v>
      </c>
      <c r="AD1672" t="str">
        <f t="shared" si="167"/>
        <v>o</v>
      </c>
      <c r="AE1672" t="str">
        <f t="shared" si="171"/>
        <v>Zone_Entry_Exit</v>
      </c>
      <c r="AF1672" t="str">
        <f t="shared" si="169"/>
        <v>Zone_Entry</v>
      </c>
      <c r="AG1672" t="str">
        <f t="shared" si="170"/>
        <v>ZoneEntry-Rush</v>
      </c>
      <c r="AN1672" t="str">
        <f t="shared" si="166"/>
        <v>Defensive</v>
      </c>
    </row>
    <row r="1673" spans="1:40" x14ac:dyDescent="0.2">
      <c r="A1673">
        <v>842</v>
      </c>
      <c r="B1673">
        <v>143</v>
      </c>
      <c r="E1673" s="5" t="s">
        <v>903</v>
      </c>
      <c r="F1673" s="5" t="s">
        <v>842</v>
      </c>
      <c r="I1673" t="s">
        <v>835</v>
      </c>
      <c r="J1673">
        <v>70</v>
      </c>
      <c r="K1673">
        <v>1</v>
      </c>
      <c r="L1673" t="s">
        <v>401</v>
      </c>
      <c r="M1673" t="s">
        <v>7</v>
      </c>
      <c r="N1673" t="s">
        <v>208</v>
      </c>
      <c r="O1673" t="s">
        <v>53</v>
      </c>
      <c r="P1673" t="s">
        <v>688</v>
      </c>
      <c r="T1673">
        <v>1</v>
      </c>
      <c r="U1673" s="8">
        <f t="shared" si="168"/>
        <v>2</v>
      </c>
      <c r="AD1673" t="str">
        <f t="shared" si="167"/>
        <v>e</v>
      </c>
      <c r="AE1673" t="str">
        <f t="shared" si="171"/>
        <v>Shot</v>
      </c>
      <c r="AF1673" t="str">
        <f t="shared" si="169"/>
        <v>Shot_Blocked</v>
      </c>
      <c r="AG1673" t="str">
        <f t="shared" si="170"/>
        <v>Shot-Wrist</v>
      </c>
      <c r="AN1673" t="str">
        <f t="shared" si="166"/>
        <v>Offensive</v>
      </c>
    </row>
    <row r="1674" spans="1:40" x14ac:dyDescent="0.2">
      <c r="A1674">
        <v>842</v>
      </c>
      <c r="B1674">
        <f t="shared" si="165"/>
        <v>143</v>
      </c>
      <c r="J1674">
        <v>83</v>
      </c>
      <c r="Q1674" t="s">
        <v>646</v>
      </c>
      <c r="S1674" t="s">
        <v>689</v>
      </c>
      <c r="U1674" s="8">
        <f t="shared" si="168"/>
        <v>2</v>
      </c>
      <c r="AD1674" t="str">
        <f t="shared" si="167"/>
        <v>o</v>
      </c>
      <c r="AE1674" t="str">
        <f t="shared" si="171"/>
        <v>Shot</v>
      </c>
      <c r="AF1674" t="str">
        <f t="shared" si="169"/>
        <v>Shot_Blocked</v>
      </c>
      <c r="AG1674" t="str">
        <f t="shared" si="170"/>
        <v>Shot-Wrist</v>
      </c>
      <c r="AN1674" t="str">
        <f t="shared" si="166"/>
        <v>Defensive</v>
      </c>
    </row>
    <row r="1675" spans="1:40" x14ac:dyDescent="0.2">
      <c r="A1675">
        <v>843</v>
      </c>
      <c r="B1675">
        <v>143</v>
      </c>
      <c r="E1675" s="5" t="s">
        <v>903</v>
      </c>
      <c r="F1675" s="5" t="s">
        <v>842</v>
      </c>
      <c r="I1675" t="s">
        <v>835</v>
      </c>
      <c r="J1675">
        <v>70</v>
      </c>
      <c r="K1675">
        <v>1</v>
      </c>
      <c r="L1675" t="s">
        <v>401</v>
      </c>
      <c r="M1675" t="s">
        <v>10</v>
      </c>
      <c r="N1675" t="s">
        <v>190</v>
      </c>
      <c r="O1675" t="s">
        <v>78</v>
      </c>
      <c r="P1675" t="s">
        <v>688</v>
      </c>
      <c r="U1675" s="8">
        <f t="shared" si="168"/>
        <v>2</v>
      </c>
      <c r="AD1675" t="str">
        <f t="shared" si="167"/>
        <v>e</v>
      </c>
      <c r="AE1675" t="str">
        <f t="shared" si="171"/>
        <v>Turnover</v>
      </c>
      <c r="AF1675" t="str">
        <f t="shared" si="169"/>
        <v>Turnover_Giveaway</v>
      </c>
      <c r="AG1675" t="str">
        <f t="shared" si="170"/>
        <v>Giveaway-ShotBlocked</v>
      </c>
      <c r="AN1675" t="str">
        <f t="shared" si="166"/>
        <v>Offensive</v>
      </c>
    </row>
    <row r="1676" spans="1:40" x14ac:dyDescent="0.2">
      <c r="A1676">
        <v>843</v>
      </c>
      <c r="B1676">
        <f t="shared" si="165"/>
        <v>143</v>
      </c>
      <c r="J1676">
        <v>83</v>
      </c>
      <c r="Q1676" t="s">
        <v>646</v>
      </c>
      <c r="S1676" t="s">
        <v>689</v>
      </c>
      <c r="U1676" s="8">
        <f t="shared" si="168"/>
        <v>2</v>
      </c>
      <c r="AD1676" t="str">
        <f t="shared" si="167"/>
        <v>o</v>
      </c>
      <c r="AE1676" t="str">
        <f t="shared" si="171"/>
        <v>Turnover</v>
      </c>
      <c r="AF1676" t="str">
        <f t="shared" si="169"/>
        <v>Turnover_Giveaway</v>
      </c>
      <c r="AG1676" t="str">
        <f t="shared" si="170"/>
        <v>Giveaway-ShotBlocked</v>
      </c>
      <c r="AN1676" t="str">
        <f t="shared" si="166"/>
        <v>Defensive</v>
      </c>
    </row>
    <row r="1677" spans="1:40" x14ac:dyDescent="0.2">
      <c r="A1677">
        <v>844</v>
      </c>
      <c r="B1677" t="str">
        <f t="shared" si="165"/>
        <v/>
      </c>
      <c r="E1677" s="5" t="s">
        <v>903</v>
      </c>
      <c r="F1677" s="5" t="s">
        <v>843</v>
      </c>
      <c r="I1677" t="s">
        <v>840</v>
      </c>
      <c r="J1677">
        <v>94</v>
      </c>
      <c r="K1677">
        <v>1</v>
      </c>
      <c r="L1677" t="s">
        <v>845</v>
      </c>
      <c r="M1677" t="s">
        <v>15</v>
      </c>
      <c r="N1677" t="s">
        <v>680</v>
      </c>
      <c r="P1677" t="s">
        <v>689</v>
      </c>
      <c r="Q1677" t="s">
        <v>746</v>
      </c>
      <c r="S1677" t="s">
        <v>689</v>
      </c>
      <c r="T1677">
        <v>1</v>
      </c>
      <c r="U1677" s="8">
        <f t="shared" si="168"/>
        <v>2</v>
      </c>
      <c r="AD1677" t="str">
        <f t="shared" si="167"/>
        <v>e</v>
      </c>
      <c r="AE1677" t="str">
        <f t="shared" si="171"/>
        <v>Possession</v>
      </c>
      <c r="AF1677" t="str">
        <f t="shared" si="169"/>
        <v>PuckRetrieval</v>
      </c>
      <c r="AG1677" t="str">
        <f t="shared" si="170"/>
        <v/>
      </c>
      <c r="AN1677" t="str">
        <f t="shared" si="166"/>
        <v>Offensive</v>
      </c>
    </row>
    <row r="1678" spans="1:40" x14ac:dyDescent="0.2">
      <c r="A1678">
        <v>844</v>
      </c>
      <c r="B1678" t="str">
        <f t="shared" si="165"/>
        <v/>
      </c>
      <c r="J1678">
        <v>14</v>
      </c>
      <c r="Q1678" t="s">
        <v>673</v>
      </c>
      <c r="S1678" t="s">
        <v>688</v>
      </c>
      <c r="T1678">
        <v>1</v>
      </c>
      <c r="U1678" s="8">
        <f t="shared" si="168"/>
        <v>2</v>
      </c>
      <c r="AD1678" t="str">
        <f t="shared" si="167"/>
        <v>o</v>
      </c>
      <c r="AE1678" t="str">
        <f t="shared" si="171"/>
        <v>Possession</v>
      </c>
      <c r="AF1678" t="str">
        <f t="shared" si="169"/>
        <v>PuckRetrieval</v>
      </c>
      <c r="AG1678" t="str">
        <f t="shared" si="170"/>
        <v/>
      </c>
      <c r="AN1678" t="str">
        <f t="shared" si="166"/>
        <v>Defensive</v>
      </c>
    </row>
    <row r="1679" spans="1:40" x14ac:dyDescent="0.2">
      <c r="A1679">
        <v>845</v>
      </c>
      <c r="B1679" t="str">
        <f t="shared" si="165"/>
        <v/>
      </c>
      <c r="E1679" s="5" t="s">
        <v>903</v>
      </c>
      <c r="F1679" s="5" t="s">
        <v>843</v>
      </c>
      <c r="I1679" t="s">
        <v>840</v>
      </c>
      <c r="J1679">
        <v>94</v>
      </c>
      <c r="K1679">
        <v>1</v>
      </c>
      <c r="L1679" t="s">
        <v>845</v>
      </c>
      <c r="M1679" t="s">
        <v>8</v>
      </c>
      <c r="N1679" t="s">
        <v>189</v>
      </c>
      <c r="O1679" t="s">
        <v>68</v>
      </c>
      <c r="P1679" t="s">
        <v>689</v>
      </c>
      <c r="Q1679" t="s">
        <v>669</v>
      </c>
      <c r="S1679" t="s">
        <v>689</v>
      </c>
      <c r="T1679">
        <v>1</v>
      </c>
      <c r="U1679" s="8">
        <f t="shared" si="168"/>
        <v>2</v>
      </c>
      <c r="AD1679" t="str">
        <f t="shared" si="167"/>
        <v>e</v>
      </c>
      <c r="AE1679" t="str">
        <f t="shared" si="171"/>
        <v>Pass</v>
      </c>
      <c r="AF1679" t="str">
        <f t="shared" si="169"/>
        <v>Pass_Completed</v>
      </c>
      <c r="AG1679" t="str">
        <f t="shared" si="170"/>
        <v>Pass-Rim/Wrap</v>
      </c>
      <c r="AN1679" t="str">
        <f t="shared" si="166"/>
        <v>Offensive</v>
      </c>
    </row>
    <row r="1680" spans="1:40" x14ac:dyDescent="0.2">
      <c r="A1680">
        <v>845</v>
      </c>
      <c r="B1680" t="str">
        <f t="shared" si="165"/>
        <v/>
      </c>
      <c r="J1680">
        <v>5</v>
      </c>
      <c r="U1680" s="8">
        <f t="shared" si="168"/>
        <v>2</v>
      </c>
      <c r="AD1680" t="str">
        <f t="shared" si="167"/>
        <v>o</v>
      </c>
      <c r="AE1680" t="str">
        <f t="shared" si="171"/>
        <v>Pass</v>
      </c>
      <c r="AF1680" t="str">
        <f t="shared" si="169"/>
        <v>Pass_Completed</v>
      </c>
      <c r="AG1680" t="str">
        <f t="shared" si="170"/>
        <v>Pass-Rim/Wrap</v>
      </c>
      <c r="AN1680" t="str">
        <f t="shared" si="166"/>
        <v>Defensive</v>
      </c>
    </row>
    <row r="1681" spans="1:40" x14ac:dyDescent="0.2">
      <c r="A1681">
        <v>845</v>
      </c>
      <c r="B1681" t="str">
        <f t="shared" si="165"/>
        <v/>
      </c>
      <c r="J1681">
        <v>14</v>
      </c>
      <c r="T1681">
        <v>1</v>
      </c>
      <c r="U1681" s="8">
        <f t="shared" si="168"/>
        <v>2</v>
      </c>
      <c r="AD1681" t="str">
        <f t="shared" si="167"/>
        <v>o</v>
      </c>
      <c r="AE1681" t="str">
        <f t="shared" si="171"/>
        <v>Pass</v>
      </c>
      <c r="AF1681" t="str">
        <f t="shared" si="169"/>
        <v>Pass_Completed</v>
      </c>
      <c r="AG1681" t="str">
        <f t="shared" si="170"/>
        <v>Pass-Rim/Wrap</v>
      </c>
      <c r="AN1681" t="str">
        <f t="shared" si="166"/>
        <v>Defensive</v>
      </c>
    </row>
    <row r="1682" spans="1:40" x14ac:dyDescent="0.2">
      <c r="A1682">
        <v>846</v>
      </c>
      <c r="B1682">
        <v>144</v>
      </c>
      <c r="E1682" s="5" t="s">
        <v>903</v>
      </c>
      <c r="F1682" s="5" t="s">
        <v>846</v>
      </c>
      <c r="I1682" t="s">
        <v>840</v>
      </c>
      <c r="J1682">
        <v>5</v>
      </c>
      <c r="K1682">
        <v>1</v>
      </c>
      <c r="L1682" t="s">
        <v>845</v>
      </c>
      <c r="M1682" t="s">
        <v>257</v>
      </c>
      <c r="N1682" t="s">
        <v>201</v>
      </c>
      <c r="O1682" t="s">
        <v>407</v>
      </c>
      <c r="P1682" t="s">
        <v>688</v>
      </c>
      <c r="Q1682" t="s">
        <v>153</v>
      </c>
      <c r="R1682" t="s">
        <v>669</v>
      </c>
      <c r="S1682" t="s">
        <v>688</v>
      </c>
      <c r="U1682" s="8">
        <f t="shared" si="168"/>
        <v>2</v>
      </c>
      <c r="AD1682" t="str">
        <f t="shared" si="167"/>
        <v>e</v>
      </c>
      <c r="AE1682" t="str">
        <f t="shared" si="171"/>
        <v>Zone_Entry_Exit</v>
      </c>
      <c r="AF1682" t="str">
        <f t="shared" si="169"/>
        <v>Zone_Exit</v>
      </c>
      <c r="AG1682" t="str">
        <f t="shared" si="170"/>
        <v>ZoneExit-Chip</v>
      </c>
      <c r="AN1682" t="str">
        <f t="shared" si="166"/>
        <v>Offensive</v>
      </c>
    </row>
    <row r="1683" spans="1:40" x14ac:dyDescent="0.2">
      <c r="A1683">
        <v>846</v>
      </c>
      <c r="B1683">
        <v>144</v>
      </c>
      <c r="J1683">
        <v>9</v>
      </c>
      <c r="Q1683" t="s">
        <v>928</v>
      </c>
      <c r="R1683" t="s">
        <v>678</v>
      </c>
      <c r="S1683" t="s">
        <v>688</v>
      </c>
      <c r="U1683" s="8">
        <f t="shared" si="168"/>
        <v>2</v>
      </c>
      <c r="AD1683" t="str">
        <f t="shared" si="167"/>
        <v>o</v>
      </c>
      <c r="AE1683" t="str">
        <f t="shared" si="171"/>
        <v>Zone_Entry_Exit</v>
      </c>
      <c r="AF1683" t="str">
        <f t="shared" si="169"/>
        <v>Zone_Exit</v>
      </c>
      <c r="AG1683" t="str">
        <f t="shared" si="170"/>
        <v>ZoneExit-Chip</v>
      </c>
      <c r="AN1683" t="str">
        <f t="shared" si="166"/>
        <v>Defensive</v>
      </c>
    </row>
    <row r="1684" spans="1:40" x14ac:dyDescent="0.2">
      <c r="A1684">
        <v>847</v>
      </c>
      <c r="B1684">
        <v>144</v>
      </c>
      <c r="E1684" s="5" t="s">
        <v>903</v>
      </c>
      <c r="F1684" s="5" t="s">
        <v>846</v>
      </c>
      <c r="I1684" t="s">
        <v>835</v>
      </c>
      <c r="J1684">
        <v>9</v>
      </c>
      <c r="K1684">
        <v>1</v>
      </c>
      <c r="L1684" t="s">
        <v>401</v>
      </c>
      <c r="M1684" t="s">
        <v>257</v>
      </c>
      <c r="N1684" t="s">
        <v>753</v>
      </c>
      <c r="P1684" t="s">
        <v>688</v>
      </c>
      <c r="Q1684" t="s">
        <v>928</v>
      </c>
      <c r="R1684" t="s">
        <v>678</v>
      </c>
      <c r="S1684" t="s">
        <v>688</v>
      </c>
      <c r="U1684" s="8">
        <f t="shared" si="168"/>
        <v>2</v>
      </c>
      <c r="AD1684" t="str">
        <f t="shared" si="167"/>
        <v>e</v>
      </c>
      <c r="AE1684" t="str">
        <f t="shared" si="171"/>
        <v>Zone_Entry_Exit</v>
      </c>
      <c r="AF1684" t="str">
        <f t="shared" si="169"/>
        <v>Zone_KeepinFailed</v>
      </c>
      <c r="AG1684" t="str">
        <f t="shared" si="170"/>
        <v/>
      </c>
      <c r="AN1684" t="str">
        <f t="shared" si="166"/>
        <v>Offensive</v>
      </c>
    </row>
    <row r="1685" spans="1:40" x14ac:dyDescent="0.2">
      <c r="A1685">
        <v>847</v>
      </c>
      <c r="B1685">
        <f t="shared" si="165"/>
        <v>144</v>
      </c>
      <c r="J1685">
        <v>5</v>
      </c>
      <c r="U1685" s="8">
        <f t="shared" si="168"/>
        <v>2</v>
      </c>
      <c r="AD1685" t="str">
        <f t="shared" si="167"/>
        <v>o</v>
      </c>
      <c r="AE1685" t="str">
        <f t="shared" si="171"/>
        <v>Zone_Entry_Exit</v>
      </c>
      <c r="AF1685" t="str">
        <f t="shared" si="169"/>
        <v>Zone_KeepinFailed</v>
      </c>
      <c r="AG1685" t="str">
        <f t="shared" si="170"/>
        <v/>
      </c>
      <c r="AN1685" t="str">
        <f t="shared" si="166"/>
        <v>Defensive</v>
      </c>
    </row>
    <row r="1686" spans="1:40" x14ac:dyDescent="0.2">
      <c r="A1686">
        <v>848</v>
      </c>
      <c r="B1686">
        <v>144</v>
      </c>
      <c r="E1686" s="5" t="s">
        <v>903</v>
      </c>
      <c r="F1686" s="5" t="s">
        <v>846</v>
      </c>
      <c r="I1686" t="s">
        <v>840</v>
      </c>
      <c r="J1686">
        <v>5</v>
      </c>
      <c r="K1686">
        <v>1</v>
      </c>
      <c r="L1686" t="s">
        <v>845</v>
      </c>
      <c r="M1686" t="s">
        <v>257</v>
      </c>
      <c r="N1686" t="s">
        <v>191</v>
      </c>
      <c r="O1686" t="s">
        <v>408</v>
      </c>
      <c r="P1686" t="s">
        <v>688</v>
      </c>
      <c r="Q1686" t="s">
        <v>153</v>
      </c>
      <c r="R1686" t="s">
        <v>669</v>
      </c>
      <c r="S1686" t="s">
        <v>688</v>
      </c>
      <c r="U1686" s="8">
        <f t="shared" si="168"/>
        <v>2</v>
      </c>
      <c r="AD1686" t="str">
        <f t="shared" si="167"/>
        <v>e</v>
      </c>
      <c r="AE1686" t="str">
        <f t="shared" si="171"/>
        <v>Zone_Entry_Exit</v>
      </c>
      <c r="AF1686" t="str">
        <f t="shared" si="169"/>
        <v>Zone_Entry</v>
      </c>
      <c r="AG1686" t="str">
        <f t="shared" si="170"/>
        <v>ZoneEntry-FromExitClear</v>
      </c>
      <c r="AN1686" t="str">
        <f t="shared" si="166"/>
        <v>Offensive</v>
      </c>
    </row>
    <row r="1687" spans="1:40" x14ac:dyDescent="0.2">
      <c r="A1687">
        <v>848</v>
      </c>
      <c r="B1687">
        <f t="shared" si="165"/>
        <v>144</v>
      </c>
      <c r="J1687">
        <v>9</v>
      </c>
      <c r="Q1687" t="s">
        <v>928</v>
      </c>
      <c r="R1687" t="s">
        <v>678</v>
      </c>
      <c r="S1687" t="s">
        <v>688</v>
      </c>
      <c r="U1687" s="8">
        <f t="shared" si="168"/>
        <v>2</v>
      </c>
      <c r="AD1687" t="str">
        <f t="shared" si="167"/>
        <v>o</v>
      </c>
      <c r="AE1687" t="str">
        <f t="shared" si="171"/>
        <v>Zone_Entry_Exit</v>
      </c>
      <c r="AF1687" t="str">
        <f t="shared" si="169"/>
        <v>Zone_Entry</v>
      </c>
      <c r="AG1687" t="str">
        <f t="shared" si="170"/>
        <v>ZoneEntry-FromExitClear</v>
      </c>
      <c r="AN1687" t="str">
        <f t="shared" si="166"/>
        <v>Defensive</v>
      </c>
    </row>
    <row r="1688" spans="1:40" x14ac:dyDescent="0.2">
      <c r="A1688">
        <v>849</v>
      </c>
      <c r="B1688">
        <v>144</v>
      </c>
      <c r="E1688" s="5" t="s">
        <v>903</v>
      </c>
      <c r="F1688" s="5" t="s">
        <v>946</v>
      </c>
      <c r="I1688" t="s">
        <v>840</v>
      </c>
      <c r="J1688">
        <v>5</v>
      </c>
      <c r="K1688">
        <v>1</v>
      </c>
      <c r="L1688" t="s">
        <v>845</v>
      </c>
      <c r="M1688" t="s">
        <v>10</v>
      </c>
      <c r="N1688" t="s">
        <v>190</v>
      </c>
      <c r="O1688" t="s">
        <v>387</v>
      </c>
      <c r="P1688" t="s">
        <v>688</v>
      </c>
      <c r="Q1688" s="20" t="s">
        <v>153</v>
      </c>
      <c r="R1688" s="20" t="s">
        <v>669</v>
      </c>
      <c r="S1688" t="s">
        <v>688</v>
      </c>
      <c r="U1688" s="8">
        <f t="shared" si="168"/>
        <v>2</v>
      </c>
      <c r="AD1688" t="str">
        <f t="shared" si="167"/>
        <v>e</v>
      </c>
      <c r="AE1688" t="str">
        <f t="shared" si="171"/>
        <v>Turnover</v>
      </c>
      <c r="AF1688" t="str">
        <f t="shared" si="169"/>
        <v>Turnover_Giveaway</v>
      </c>
      <c r="AG1688" t="str">
        <f t="shared" si="170"/>
        <v>Giveaway-ZoneClear/Dump</v>
      </c>
      <c r="AN1688" t="str">
        <f t="shared" si="166"/>
        <v>Offensive</v>
      </c>
    </row>
    <row r="1689" spans="1:40" x14ac:dyDescent="0.2">
      <c r="A1689">
        <v>849</v>
      </c>
      <c r="B1689">
        <f t="shared" si="165"/>
        <v>144</v>
      </c>
      <c r="J1689">
        <v>9</v>
      </c>
      <c r="Q1689" t="s">
        <v>928</v>
      </c>
      <c r="R1689" t="s">
        <v>678</v>
      </c>
      <c r="S1689" t="s">
        <v>688</v>
      </c>
      <c r="U1689" s="8">
        <f t="shared" si="168"/>
        <v>2</v>
      </c>
      <c r="AD1689" t="str">
        <f t="shared" si="167"/>
        <v>o</v>
      </c>
      <c r="AE1689" t="str">
        <f t="shared" si="171"/>
        <v>Turnover</v>
      </c>
      <c r="AF1689" t="str">
        <f t="shared" si="169"/>
        <v>Turnover_Giveaway</v>
      </c>
      <c r="AG1689" t="str">
        <f t="shared" si="170"/>
        <v>Giveaway-ZoneClear/Dump</v>
      </c>
      <c r="AN1689" t="str">
        <f t="shared" si="166"/>
        <v>Defensive</v>
      </c>
    </row>
    <row r="1690" spans="1:40" x14ac:dyDescent="0.2">
      <c r="A1690">
        <v>850</v>
      </c>
      <c r="B1690" t="str">
        <f t="shared" si="165"/>
        <v/>
      </c>
      <c r="E1690" s="5" t="s">
        <v>903</v>
      </c>
      <c r="F1690" s="5" t="s">
        <v>878</v>
      </c>
      <c r="G1690" s="5" t="s">
        <v>903</v>
      </c>
      <c r="H1690" s="7" t="s">
        <v>879</v>
      </c>
      <c r="I1690" s="5" t="s">
        <v>835</v>
      </c>
      <c r="J1690">
        <v>70</v>
      </c>
      <c r="K1690">
        <v>1</v>
      </c>
      <c r="L1690" s="5" t="s">
        <v>845</v>
      </c>
      <c r="M1690" t="s">
        <v>15</v>
      </c>
      <c r="N1690" t="s">
        <v>680</v>
      </c>
      <c r="P1690" t="s">
        <v>688</v>
      </c>
      <c r="Q1690" t="s">
        <v>631</v>
      </c>
      <c r="S1690" t="s">
        <v>688</v>
      </c>
      <c r="U1690" s="8">
        <f t="shared" si="168"/>
        <v>2</v>
      </c>
      <c r="AD1690" t="str">
        <f t="shared" si="167"/>
        <v>e</v>
      </c>
      <c r="AE1690" t="str">
        <f t="shared" si="171"/>
        <v>Possession</v>
      </c>
      <c r="AF1690" t="str">
        <f t="shared" si="169"/>
        <v>PuckRetrieval</v>
      </c>
      <c r="AG1690" t="str">
        <f t="shared" si="170"/>
        <v/>
      </c>
      <c r="AN1690" t="str">
        <f t="shared" si="166"/>
        <v>Offensive</v>
      </c>
    </row>
    <row r="1691" spans="1:40" x14ac:dyDescent="0.2">
      <c r="A1691">
        <v>851</v>
      </c>
      <c r="B1691">
        <v>145</v>
      </c>
      <c r="E1691" s="5" t="s">
        <v>903</v>
      </c>
      <c r="F1691" s="5" t="s">
        <v>879</v>
      </c>
      <c r="I1691" t="s">
        <v>835</v>
      </c>
      <c r="J1691">
        <v>70</v>
      </c>
      <c r="K1691">
        <v>1</v>
      </c>
      <c r="L1691" t="s">
        <v>845</v>
      </c>
      <c r="M1691" t="s">
        <v>7</v>
      </c>
      <c r="N1691" t="s">
        <v>222</v>
      </c>
      <c r="O1691" t="s">
        <v>63</v>
      </c>
      <c r="P1691" t="s">
        <v>689</v>
      </c>
      <c r="Q1691" t="s">
        <v>485</v>
      </c>
      <c r="S1691" t="s">
        <v>689</v>
      </c>
      <c r="U1691" s="8">
        <f t="shared" si="168"/>
        <v>2</v>
      </c>
      <c r="AD1691" t="str">
        <f t="shared" si="167"/>
        <v>e</v>
      </c>
      <c r="AE1691" t="str">
        <f t="shared" si="171"/>
        <v>Shot</v>
      </c>
      <c r="AF1691" t="str">
        <f t="shared" si="169"/>
        <v>Shot_OnNetSaved</v>
      </c>
      <c r="AG1691" t="str">
        <f t="shared" si="170"/>
        <v>Shot-Dumpin</v>
      </c>
      <c r="AN1691" t="str">
        <f t="shared" si="166"/>
        <v>Offensive</v>
      </c>
    </row>
    <row r="1692" spans="1:40" x14ac:dyDescent="0.2">
      <c r="A1692">
        <v>851</v>
      </c>
      <c r="B1692">
        <f t="shared" si="165"/>
        <v>145</v>
      </c>
      <c r="J1692">
        <v>39</v>
      </c>
      <c r="U1692" s="8">
        <f t="shared" si="168"/>
        <v>2</v>
      </c>
      <c r="AD1692" t="str">
        <f t="shared" si="167"/>
        <v>o</v>
      </c>
      <c r="AE1692" t="str">
        <f t="shared" si="171"/>
        <v>Shot</v>
      </c>
      <c r="AF1692" t="str">
        <f t="shared" si="169"/>
        <v>Shot_OnNetSaved</v>
      </c>
      <c r="AG1692" t="str">
        <f t="shared" si="170"/>
        <v>Shot-Dumpin</v>
      </c>
      <c r="AN1692" t="str">
        <f t="shared" si="166"/>
        <v>Defensive</v>
      </c>
    </row>
    <row r="1693" spans="1:40" x14ac:dyDescent="0.2">
      <c r="A1693">
        <v>852</v>
      </c>
      <c r="B1693">
        <v>145</v>
      </c>
      <c r="E1693" s="5" t="s">
        <v>903</v>
      </c>
      <c r="F1693" s="5" t="s">
        <v>879</v>
      </c>
      <c r="I1693" t="s">
        <v>840</v>
      </c>
      <c r="J1693">
        <v>38</v>
      </c>
      <c r="K1693">
        <v>1</v>
      </c>
      <c r="L1693" t="s">
        <v>845</v>
      </c>
      <c r="M1693" t="s">
        <v>17</v>
      </c>
      <c r="N1693" t="s">
        <v>417</v>
      </c>
      <c r="O1693" t="s">
        <v>100</v>
      </c>
      <c r="U1693" s="8">
        <f t="shared" si="168"/>
        <v>2</v>
      </c>
      <c r="AD1693" t="str">
        <f t="shared" si="167"/>
        <v>e</v>
      </c>
      <c r="AE1693" t="str">
        <f t="shared" si="171"/>
        <v>Save</v>
      </c>
      <c r="AF1693" t="str">
        <f t="shared" si="169"/>
        <v>Save_Played</v>
      </c>
      <c r="AG1693" t="str">
        <f t="shared" si="170"/>
        <v>Save-Stick</v>
      </c>
      <c r="AN1693" t="str">
        <f t="shared" si="166"/>
        <v>Defensive</v>
      </c>
    </row>
    <row r="1694" spans="1:40" x14ac:dyDescent="0.2">
      <c r="A1694">
        <v>852</v>
      </c>
      <c r="B1694">
        <f t="shared" si="165"/>
        <v>145</v>
      </c>
      <c r="J1694">
        <v>70</v>
      </c>
      <c r="Q1694" t="s">
        <v>161</v>
      </c>
      <c r="S1694" t="s">
        <v>689</v>
      </c>
      <c r="U1694" s="8">
        <f t="shared" si="168"/>
        <v>2</v>
      </c>
      <c r="AD1694" t="str">
        <f t="shared" si="167"/>
        <v>o</v>
      </c>
      <c r="AE1694" t="str">
        <f t="shared" si="171"/>
        <v>Save</v>
      </c>
      <c r="AF1694" t="str">
        <f t="shared" si="169"/>
        <v>Save_Played</v>
      </c>
      <c r="AG1694" t="str">
        <f t="shared" si="170"/>
        <v>Save-Stick</v>
      </c>
      <c r="AN1694" t="str">
        <f t="shared" si="166"/>
        <v>Offensive</v>
      </c>
    </row>
    <row r="1695" spans="1:40" x14ac:dyDescent="0.2">
      <c r="A1695">
        <v>853</v>
      </c>
      <c r="B1695">
        <v>145</v>
      </c>
      <c r="E1695" s="5" t="s">
        <v>903</v>
      </c>
      <c r="F1695" s="5" t="s">
        <v>879</v>
      </c>
      <c r="I1695" t="s">
        <v>835</v>
      </c>
      <c r="J1695">
        <v>70</v>
      </c>
      <c r="K1695">
        <v>1</v>
      </c>
      <c r="L1695" t="s">
        <v>845</v>
      </c>
      <c r="M1695" t="s">
        <v>257</v>
      </c>
      <c r="N1695" t="s">
        <v>201</v>
      </c>
      <c r="O1695" t="s">
        <v>824</v>
      </c>
      <c r="P1695" t="s">
        <v>688</v>
      </c>
      <c r="U1695" s="8">
        <f t="shared" si="168"/>
        <v>2</v>
      </c>
      <c r="AD1695" t="str">
        <f t="shared" si="167"/>
        <v>e</v>
      </c>
      <c r="AE1695" t="str">
        <f t="shared" si="171"/>
        <v>Zone_Entry_Exit</v>
      </c>
      <c r="AF1695" t="str">
        <f t="shared" si="169"/>
        <v>Zone_Exit</v>
      </c>
      <c r="AG1695" t="str">
        <f t="shared" si="170"/>
        <v>ZoneExit-Shot</v>
      </c>
      <c r="AN1695" t="str">
        <f t="shared" si="166"/>
        <v>Offensive</v>
      </c>
    </row>
    <row r="1696" spans="1:40" x14ac:dyDescent="0.2">
      <c r="A1696">
        <v>854</v>
      </c>
      <c r="B1696">
        <v>145</v>
      </c>
      <c r="E1696" s="5" t="s">
        <v>903</v>
      </c>
      <c r="F1696" s="5" t="s">
        <v>879</v>
      </c>
      <c r="I1696" t="s">
        <v>835</v>
      </c>
      <c r="J1696">
        <v>70</v>
      </c>
      <c r="K1696">
        <v>1</v>
      </c>
      <c r="L1696" t="s">
        <v>845</v>
      </c>
      <c r="M1696" t="s">
        <v>257</v>
      </c>
      <c r="N1696" t="s">
        <v>191</v>
      </c>
      <c r="O1696" t="s">
        <v>823</v>
      </c>
      <c r="P1696" t="s">
        <v>688</v>
      </c>
      <c r="U1696" s="8">
        <f t="shared" si="168"/>
        <v>2</v>
      </c>
      <c r="AD1696" t="str">
        <f t="shared" si="167"/>
        <v>e</v>
      </c>
      <c r="AE1696" t="str">
        <f t="shared" si="171"/>
        <v>Zone_Entry_Exit</v>
      </c>
      <c r="AF1696" t="str">
        <f t="shared" si="169"/>
        <v>Zone_Entry</v>
      </c>
      <c r="AG1696" t="str">
        <f t="shared" si="170"/>
        <v>ZoneEntry-Shot</v>
      </c>
      <c r="AN1696" t="str">
        <f t="shared" si="166"/>
        <v>Offensive</v>
      </c>
    </row>
    <row r="1697" spans="1:40" x14ac:dyDescent="0.2">
      <c r="A1697">
        <v>855</v>
      </c>
      <c r="E1697" s="5" t="s">
        <v>903</v>
      </c>
      <c r="F1697" s="5" t="s">
        <v>851</v>
      </c>
      <c r="I1697" t="s">
        <v>840</v>
      </c>
      <c r="J1697">
        <v>38</v>
      </c>
      <c r="K1697">
        <v>1</v>
      </c>
      <c r="L1697" t="s">
        <v>845</v>
      </c>
      <c r="M1697" t="s">
        <v>8</v>
      </c>
      <c r="N1697" t="s">
        <v>189</v>
      </c>
      <c r="O1697" t="s">
        <v>72</v>
      </c>
      <c r="P1697" t="s">
        <v>689</v>
      </c>
      <c r="U1697" s="8">
        <f t="shared" si="168"/>
        <v>2</v>
      </c>
      <c r="AD1697" t="str">
        <f t="shared" si="167"/>
        <v>e</v>
      </c>
      <c r="AE1697" t="str">
        <f t="shared" si="171"/>
        <v>Pass</v>
      </c>
      <c r="AF1697" t="str">
        <f t="shared" si="169"/>
        <v>Pass_Completed</v>
      </c>
      <c r="AG1697" t="str">
        <f t="shared" si="170"/>
        <v>Pass-Other</v>
      </c>
      <c r="AN1697" t="str">
        <f t="shared" si="166"/>
        <v>Offensive</v>
      </c>
    </row>
    <row r="1698" spans="1:40" x14ac:dyDescent="0.2">
      <c r="A1698">
        <v>855</v>
      </c>
      <c r="J1698">
        <v>17</v>
      </c>
      <c r="U1698" s="8">
        <f t="shared" si="168"/>
        <v>2</v>
      </c>
      <c r="AD1698" t="str">
        <f t="shared" si="167"/>
        <v>o</v>
      </c>
      <c r="AE1698" t="str">
        <f t="shared" si="171"/>
        <v>Pass</v>
      </c>
      <c r="AF1698" t="str">
        <f t="shared" si="169"/>
        <v>Pass_Completed</v>
      </c>
      <c r="AG1698" t="str">
        <f t="shared" si="170"/>
        <v>Pass-Other</v>
      </c>
      <c r="AN1698" t="str">
        <f t="shared" si="166"/>
        <v>Defensive</v>
      </c>
    </row>
    <row r="1699" spans="1:40" x14ac:dyDescent="0.2">
      <c r="A1699">
        <v>856</v>
      </c>
      <c r="B1699" t="str">
        <f t="shared" si="165"/>
        <v/>
      </c>
      <c r="E1699" s="5" t="s">
        <v>903</v>
      </c>
      <c r="F1699" s="5" t="s">
        <v>851</v>
      </c>
      <c r="G1699" s="5" t="s">
        <v>903</v>
      </c>
      <c r="H1699" s="7" t="s">
        <v>853</v>
      </c>
      <c r="I1699" s="5" t="s">
        <v>840</v>
      </c>
      <c r="J1699">
        <v>17</v>
      </c>
      <c r="K1699">
        <v>1</v>
      </c>
      <c r="L1699" s="5" t="s">
        <v>845</v>
      </c>
      <c r="M1699" t="s">
        <v>15</v>
      </c>
      <c r="U1699" s="8">
        <f t="shared" si="168"/>
        <v>2</v>
      </c>
      <c r="AD1699" t="str">
        <f t="shared" si="167"/>
        <v>e</v>
      </c>
      <c r="AE1699" t="str">
        <f t="shared" si="171"/>
        <v>Possession</v>
      </c>
      <c r="AF1699" t="str">
        <f t="shared" si="169"/>
        <v/>
      </c>
      <c r="AG1699" t="str">
        <f t="shared" si="170"/>
        <v/>
      </c>
      <c r="AN1699" t="str">
        <f t="shared" si="166"/>
        <v>Offensive</v>
      </c>
    </row>
    <row r="1700" spans="1:40" x14ac:dyDescent="0.2">
      <c r="A1700">
        <v>857</v>
      </c>
      <c r="B1700">
        <v>146</v>
      </c>
      <c r="E1700" s="5" t="s">
        <v>903</v>
      </c>
      <c r="F1700" s="5" t="s">
        <v>853</v>
      </c>
      <c r="I1700" t="s">
        <v>840</v>
      </c>
      <c r="J1700">
        <v>17</v>
      </c>
      <c r="K1700">
        <v>1</v>
      </c>
      <c r="L1700" t="s">
        <v>845</v>
      </c>
      <c r="M1700" t="s">
        <v>8</v>
      </c>
      <c r="N1700" t="s">
        <v>199</v>
      </c>
      <c r="O1700" t="s">
        <v>70</v>
      </c>
      <c r="P1700" t="s">
        <v>688</v>
      </c>
      <c r="Q1700" t="s">
        <v>929</v>
      </c>
      <c r="S1700" t="s">
        <v>688</v>
      </c>
      <c r="T1700">
        <v>1</v>
      </c>
      <c r="U1700" s="8">
        <f t="shared" si="168"/>
        <v>2</v>
      </c>
      <c r="AD1700" t="str">
        <f t="shared" si="167"/>
        <v>e</v>
      </c>
      <c r="AE1700" t="str">
        <f t="shared" si="171"/>
        <v>Pass</v>
      </c>
      <c r="AF1700" t="str">
        <f t="shared" si="169"/>
        <v>Pass_Missed</v>
      </c>
      <c r="AG1700" t="str">
        <f t="shared" si="170"/>
        <v>Pass-Forehand</v>
      </c>
      <c r="AN1700" t="str">
        <f t="shared" si="166"/>
        <v>Offensive</v>
      </c>
    </row>
    <row r="1701" spans="1:40" x14ac:dyDescent="0.2">
      <c r="A1701">
        <v>857</v>
      </c>
      <c r="B1701">
        <f t="shared" si="165"/>
        <v>146</v>
      </c>
      <c r="J1701">
        <v>26</v>
      </c>
      <c r="K1701">
        <v>1</v>
      </c>
      <c r="U1701" s="8">
        <f t="shared" si="168"/>
        <v>2</v>
      </c>
      <c r="AD1701" t="str">
        <f t="shared" si="167"/>
        <v>e</v>
      </c>
      <c r="AE1701" t="str">
        <f t="shared" si="171"/>
        <v>Pass</v>
      </c>
      <c r="AF1701" t="str">
        <f t="shared" si="169"/>
        <v>Pass_Missed</v>
      </c>
      <c r="AG1701" t="str">
        <f t="shared" si="170"/>
        <v>Pass-Forehand</v>
      </c>
      <c r="AN1701" t="str">
        <f t="shared" si="166"/>
        <v>Offensive</v>
      </c>
    </row>
    <row r="1702" spans="1:40" x14ac:dyDescent="0.2">
      <c r="A1702">
        <v>857</v>
      </c>
      <c r="B1702">
        <f t="shared" si="165"/>
        <v>146</v>
      </c>
      <c r="J1702">
        <v>70</v>
      </c>
      <c r="T1702">
        <v>1</v>
      </c>
      <c r="U1702" s="8">
        <f t="shared" si="168"/>
        <v>2</v>
      </c>
      <c r="AD1702" t="str">
        <f t="shared" si="167"/>
        <v>o</v>
      </c>
      <c r="AE1702" t="str">
        <f t="shared" si="171"/>
        <v>Pass</v>
      </c>
      <c r="AF1702" t="str">
        <f t="shared" si="169"/>
        <v>Pass_Missed</v>
      </c>
      <c r="AG1702" t="str">
        <f t="shared" si="170"/>
        <v>Pass-Forehand</v>
      </c>
      <c r="AN1702" t="str">
        <f t="shared" si="166"/>
        <v>Defensive</v>
      </c>
    </row>
    <row r="1703" spans="1:40" x14ac:dyDescent="0.2">
      <c r="A1703">
        <v>858</v>
      </c>
      <c r="B1703">
        <v>146</v>
      </c>
      <c r="E1703" s="5" t="s">
        <v>903</v>
      </c>
      <c r="F1703" s="5" t="s">
        <v>853</v>
      </c>
      <c r="I1703" t="s">
        <v>840</v>
      </c>
      <c r="J1703">
        <v>17</v>
      </c>
      <c r="K1703">
        <v>1</v>
      </c>
      <c r="L1703" t="s">
        <v>845</v>
      </c>
      <c r="M1703" t="s">
        <v>257</v>
      </c>
      <c r="N1703" t="s">
        <v>201</v>
      </c>
      <c r="O1703" t="s">
        <v>409</v>
      </c>
      <c r="P1703" t="s">
        <v>688</v>
      </c>
      <c r="Q1703" t="s">
        <v>929</v>
      </c>
      <c r="S1703" t="s">
        <v>688</v>
      </c>
      <c r="T1703">
        <v>1</v>
      </c>
      <c r="U1703" s="8">
        <f t="shared" si="168"/>
        <v>2</v>
      </c>
      <c r="AD1703" t="str">
        <f t="shared" si="167"/>
        <v>e</v>
      </c>
      <c r="AE1703" t="str">
        <f t="shared" si="171"/>
        <v>Zone_Entry_Exit</v>
      </c>
      <c r="AF1703" t="str">
        <f t="shared" si="169"/>
        <v>Zone_Exit</v>
      </c>
      <c r="AG1703" t="str">
        <f t="shared" si="170"/>
        <v>ZoneExit-PassMiss/Misplay</v>
      </c>
      <c r="AN1703" t="str">
        <f t="shared" si="166"/>
        <v>Offensive</v>
      </c>
    </row>
    <row r="1704" spans="1:40" x14ac:dyDescent="0.2">
      <c r="A1704">
        <v>858</v>
      </c>
      <c r="B1704">
        <f t="shared" si="165"/>
        <v>146</v>
      </c>
      <c r="J1704">
        <v>26</v>
      </c>
      <c r="K1704">
        <v>1</v>
      </c>
      <c r="U1704" s="8">
        <f t="shared" si="168"/>
        <v>2</v>
      </c>
      <c r="AD1704" t="str">
        <f t="shared" si="167"/>
        <v>e</v>
      </c>
      <c r="AE1704" t="str">
        <f t="shared" si="171"/>
        <v>Zone_Entry_Exit</v>
      </c>
      <c r="AF1704" t="str">
        <f t="shared" si="169"/>
        <v>Zone_Exit</v>
      </c>
      <c r="AG1704" t="str">
        <f t="shared" si="170"/>
        <v>ZoneExit-PassMiss/Misplay</v>
      </c>
      <c r="AN1704" t="str">
        <f t="shared" si="166"/>
        <v>Offensive</v>
      </c>
    </row>
    <row r="1705" spans="1:40" x14ac:dyDescent="0.2">
      <c r="A1705">
        <v>858</v>
      </c>
      <c r="B1705">
        <f t="shared" si="165"/>
        <v>146</v>
      </c>
      <c r="J1705">
        <v>70</v>
      </c>
      <c r="T1705">
        <v>1</v>
      </c>
      <c r="U1705" s="8">
        <f t="shared" si="168"/>
        <v>2</v>
      </c>
      <c r="AD1705" t="str">
        <f t="shared" si="167"/>
        <v>o</v>
      </c>
      <c r="AE1705" t="str">
        <f t="shared" si="171"/>
        <v>Zone_Entry_Exit</v>
      </c>
      <c r="AF1705" t="str">
        <f t="shared" si="169"/>
        <v>Zone_Exit</v>
      </c>
      <c r="AG1705" t="str">
        <f t="shared" si="170"/>
        <v>ZoneExit-PassMiss/Misplay</v>
      </c>
      <c r="AN1705" t="str">
        <f t="shared" si="166"/>
        <v>Defensive</v>
      </c>
    </row>
    <row r="1706" spans="1:40" x14ac:dyDescent="0.2">
      <c r="A1706">
        <v>859</v>
      </c>
      <c r="B1706">
        <v>146</v>
      </c>
      <c r="E1706" s="5" t="s">
        <v>903</v>
      </c>
      <c r="F1706" s="5" t="s">
        <v>853</v>
      </c>
      <c r="I1706" t="s">
        <v>840</v>
      </c>
      <c r="J1706">
        <v>17</v>
      </c>
      <c r="K1706">
        <v>1</v>
      </c>
      <c r="L1706" t="s">
        <v>845</v>
      </c>
      <c r="M1706" t="s">
        <v>257</v>
      </c>
      <c r="N1706" t="s">
        <v>191</v>
      </c>
      <c r="O1706" t="s">
        <v>423</v>
      </c>
      <c r="P1706" t="s">
        <v>688</v>
      </c>
      <c r="Q1706" t="s">
        <v>929</v>
      </c>
      <c r="S1706" t="s">
        <v>688</v>
      </c>
      <c r="T1706">
        <v>1</v>
      </c>
      <c r="U1706" s="8">
        <f t="shared" si="168"/>
        <v>2</v>
      </c>
      <c r="AD1706" t="str">
        <f t="shared" si="167"/>
        <v>e</v>
      </c>
      <c r="AE1706" t="str">
        <f t="shared" si="171"/>
        <v>Zone_Entry_Exit</v>
      </c>
      <c r="AF1706" t="str">
        <f t="shared" si="169"/>
        <v>Zone_Entry</v>
      </c>
      <c r="AG1706" t="str">
        <f t="shared" si="170"/>
        <v>ZoneEntry-PassMiss/Misplay</v>
      </c>
      <c r="AN1706" t="str">
        <f t="shared" si="166"/>
        <v>Offensive</v>
      </c>
    </row>
    <row r="1707" spans="1:40" x14ac:dyDescent="0.2">
      <c r="A1707">
        <v>859</v>
      </c>
      <c r="B1707">
        <f t="shared" si="165"/>
        <v>146</v>
      </c>
      <c r="J1707">
        <v>26</v>
      </c>
      <c r="K1707">
        <v>1</v>
      </c>
      <c r="U1707" s="8">
        <f t="shared" si="168"/>
        <v>2</v>
      </c>
      <c r="AD1707" t="str">
        <f t="shared" si="167"/>
        <v>e</v>
      </c>
      <c r="AE1707" t="str">
        <f t="shared" si="171"/>
        <v>Zone_Entry_Exit</v>
      </c>
      <c r="AF1707" t="str">
        <f t="shared" si="169"/>
        <v>Zone_Entry</v>
      </c>
      <c r="AG1707" t="str">
        <f t="shared" si="170"/>
        <v>ZoneEntry-PassMiss/Misplay</v>
      </c>
      <c r="AN1707" t="str">
        <f t="shared" si="166"/>
        <v>Offensive</v>
      </c>
    </row>
    <row r="1708" spans="1:40" x14ac:dyDescent="0.2">
      <c r="A1708">
        <v>859</v>
      </c>
      <c r="B1708">
        <f t="shared" si="165"/>
        <v>146</v>
      </c>
      <c r="J1708">
        <v>70</v>
      </c>
      <c r="T1708">
        <v>1</v>
      </c>
      <c r="U1708" s="8">
        <f t="shared" si="168"/>
        <v>2</v>
      </c>
      <c r="AD1708" t="str">
        <f t="shared" si="167"/>
        <v>o</v>
      </c>
      <c r="AE1708" t="str">
        <f t="shared" si="171"/>
        <v>Zone_Entry_Exit</v>
      </c>
      <c r="AF1708" t="str">
        <f t="shared" si="169"/>
        <v>Zone_Entry</v>
      </c>
      <c r="AG1708" t="str">
        <f t="shared" si="170"/>
        <v>ZoneEntry-PassMiss/Misplay</v>
      </c>
      <c r="AN1708" t="str">
        <f t="shared" si="166"/>
        <v>Defensive</v>
      </c>
    </row>
    <row r="1709" spans="1:40" x14ac:dyDescent="0.2">
      <c r="A1709">
        <v>860</v>
      </c>
      <c r="B1709">
        <v>146</v>
      </c>
      <c r="E1709" s="5" t="s">
        <v>903</v>
      </c>
      <c r="F1709" s="5" t="s">
        <v>853</v>
      </c>
      <c r="I1709" t="s">
        <v>840</v>
      </c>
      <c r="J1709">
        <v>17</v>
      </c>
      <c r="K1709">
        <v>1</v>
      </c>
      <c r="L1709" t="s">
        <v>845</v>
      </c>
      <c r="M1709" t="s">
        <v>10</v>
      </c>
      <c r="N1709" t="s">
        <v>190</v>
      </c>
      <c r="O1709" t="s">
        <v>76</v>
      </c>
      <c r="Q1709" t="s">
        <v>929</v>
      </c>
      <c r="S1709" t="s">
        <v>688</v>
      </c>
      <c r="T1709">
        <v>1</v>
      </c>
      <c r="U1709" s="8">
        <f t="shared" si="168"/>
        <v>2</v>
      </c>
      <c r="AD1709" t="str">
        <f t="shared" si="167"/>
        <v>e</v>
      </c>
      <c r="AE1709" t="str">
        <f t="shared" si="171"/>
        <v>Turnover</v>
      </c>
      <c r="AF1709" t="str">
        <f t="shared" si="169"/>
        <v>Turnover_Giveaway</v>
      </c>
      <c r="AG1709" t="str">
        <f t="shared" si="170"/>
        <v>Giveaway-PassMissed</v>
      </c>
      <c r="AN1709" t="str">
        <f t="shared" si="166"/>
        <v>Offensive</v>
      </c>
    </row>
    <row r="1710" spans="1:40" x14ac:dyDescent="0.2">
      <c r="A1710">
        <v>860</v>
      </c>
      <c r="B1710">
        <f t="shared" si="165"/>
        <v>146</v>
      </c>
      <c r="J1710">
        <v>26</v>
      </c>
      <c r="K1710">
        <v>1</v>
      </c>
      <c r="U1710" s="8">
        <f t="shared" si="168"/>
        <v>2</v>
      </c>
      <c r="AD1710" t="str">
        <f t="shared" si="167"/>
        <v>e</v>
      </c>
      <c r="AE1710" t="str">
        <f t="shared" si="171"/>
        <v>Turnover</v>
      </c>
      <c r="AF1710" t="str">
        <f t="shared" si="169"/>
        <v>Turnover_Giveaway</v>
      </c>
      <c r="AG1710" t="str">
        <f t="shared" si="170"/>
        <v>Giveaway-PassMissed</v>
      </c>
      <c r="AN1710" t="str">
        <f t="shared" si="166"/>
        <v>Offensive</v>
      </c>
    </row>
    <row r="1711" spans="1:40" x14ac:dyDescent="0.2">
      <c r="A1711">
        <v>860</v>
      </c>
      <c r="B1711">
        <f t="shared" si="165"/>
        <v>146</v>
      </c>
      <c r="J1711">
        <v>70</v>
      </c>
      <c r="T1711">
        <v>1</v>
      </c>
      <c r="U1711" s="8">
        <f t="shared" si="168"/>
        <v>2</v>
      </c>
      <c r="AD1711" t="str">
        <f t="shared" si="167"/>
        <v>o</v>
      </c>
      <c r="AE1711" t="str">
        <f t="shared" si="171"/>
        <v>Turnover</v>
      </c>
      <c r="AF1711" t="str">
        <f t="shared" si="169"/>
        <v>Turnover_Giveaway</v>
      </c>
      <c r="AG1711" t="str">
        <f t="shared" si="170"/>
        <v>Giveaway-PassMissed</v>
      </c>
      <c r="AN1711" t="str">
        <f t="shared" si="166"/>
        <v>Defensive</v>
      </c>
    </row>
    <row r="1712" spans="1:40" x14ac:dyDescent="0.2">
      <c r="A1712">
        <v>861</v>
      </c>
      <c r="B1712" t="str">
        <f t="shared" ref="B1712:B1775" si="172">IF(A1712=A1711,B1711,"")</f>
        <v/>
      </c>
      <c r="E1712" s="5" t="s">
        <v>903</v>
      </c>
      <c r="F1712" s="5" t="s">
        <v>856</v>
      </c>
      <c r="I1712" t="s">
        <v>835</v>
      </c>
      <c r="J1712">
        <v>39</v>
      </c>
      <c r="K1712">
        <v>1</v>
      </c>
      <c r="L1712" t="s">
        <v>845</v>
      </c>
      <c r="M1712" t="s">
        <v>15</v>
      </c>
      <c r="N1712" t="s">
        <v>680</v>
      </c>
      <c r="P1712" t="s">
        <v>689</v>
      </c>
      <c r="Q1712" t="s">
        <v>672</v>
      </c>
      <c r="S1712" t="s">
        <v>689</v>
      </c>
      <c r="U1712" s="8">
        <f t="shared" si="168"/>
        <v>2</v>
      </c>
      <c r="AD1712" t="str">
        <f t="shared" si="167"/>
        <v>e</v>
      </c>
      <c r="AE1712" t="str">
        <f t="shared" si="171"/>
        <v>Possession</v>
      </c>
      <c r="AF1712" t="str">
        <f t="shared" si="169"/>
        <v>PuckRetrieval</v>
      </c>
      <c r="AG1712" t="str">
        <f t="shared" si="170"/>
        <v/>
      </c>
      <c r="AN1712" t="str">
        <f t="shared" si="166"/>
        <v>Offensive</v>
      </c>
    </row>
    <row r="1713" spans="1:40" x14ac:dyDescent="0.2">
      <c r="A1713">
        <v>862</v>
      </c>
      <c r="B1713" t="str">
        <f t="shared" si="172"/>
        <v/>
      </c>
      <c r="E1713" s="5" t="s">
        <v>903</v>
      </c>
      <c r="F1713" s="5" t="s">
        <v>856</v>
      </c>
      <c r="I1713" t="s">
        <v>835</v>
      </c>
      <c r="J1713">
        <v>39</v>
      </c>
      <c r="K1713">
        <v>1</v>
      </c>
      <c r="L1713" t="s">
        <v>845</v>
      </c>
      <c r="M1713" t="s">
        <v>8</v>
      </c>
      <c r="N1713" t="s">
        <v>189</v>
      </c>
      <c r="O1713" t="s">
        <v>70</v>
      </c>
      <c r="P1713" t="s">
        <v>689</v>
      </c>
      <c r="U1713" s="8">
        <f t="shared" si="168"/>
        <v>2</v>
      </c>
      <c r="AD1713" t="str">
        <f t="shared" si="167"/>
        <v>e</v>
      </c>
      <c r="AE1713" t="str">
        <f t="shared" si="171"/>
        <v>Pass</v>
      </c>
      <c r="AF1713" t="str">
        <f t="shared" si="169"/>
        <v>Pass_Completed</v>
      </c>
      <c r="AG1713" t="str">
        <f t="shared" si="170"/>
        <v>Pass-Forehand</v>
      </c>
      <c r="AN1713" t="str">
        <f t="shared" si="166"/>
        <v>Offensive</v>
      </c>
    </row>
    <row r="1714" spans="1:40" x14ac:dyDescent="0.2">
      <c r="A1714">
        <v>862</v>
      </c>
      <c r="B1714" t="str">
        <f t="shared" si="172"/>
        <v/>
      </c>
      <c r="J1714">
        <v>9</v>
      </c>
      <c r="U1714" s="8">
        <f t="shared" si="168"/>
        <v>2</v>
      </c>
      <c r="AD1714" t="str">
        <f t="shared" si="167"/>
        <v>o</v>
      </c>
      <c r="AE1714" t="str">
        <f t="shared" si="171"/>
        <v>Pass</v>
      </c>
      <c r="AF1714" t="str">
        <f t="shared" si="169"/>
        <v>Pass_Completed</v>
      </c>
      <c r="AG1714" t="str">
        <f t="shared" si="170"/>
        <v>Pass-Forehand</v>
      </c>
      <c r="AN1714" t="str">
        <f t="shared" si="166"/>
        <v>Defensive</v>
      </c>
    </row>
    <row r="1715" spans="1:40" x14ac:dyDescent="0.2">
      <c r="A1715">
        <v>863</v>
      </c>
      <c r="B1715" t="str">
        <f t="shared" si="172"/>
        <v/>
      </c>
      <c r="E1715" s="5" t="s">
        <v>903</v>
      </c>
      <c r="F1715" s="5" t="s">
        <v>883</v>
      </c>
      <c r="G1715" s="5" t="s">
        <v>903</v>
      </c>
      <c r="H1715" s="7" t="s">
        <v>859</v>
      </c>
      <c r="I1715" s="5" t="s">
        <v>835</v>
      </c>
      <c r="J1715">
        <v>9</v>
      </c>
      <c r="K1715">
        <v>1</v>
      </c>
      <c r="L1715" s="5" t="s">
        <v>845</v>
      </c>
      <c r="M1715" t="s">
        <v>15</v>
      </c>
      <c r="U1715" s="8">
        <f t="shared" si="168"/>
        <v>2</v>
      </c>
      <c r="AD1715" t="str">
        <f t="shared" si="167"/>
        <v>e</v>
      </c>
      <c r="AE1715" t="str">
        <f t="shared" si="171"/>
        <v>Possession</v>
      </c>
      <c r="AF1715" t="str">
        <f t="shared" si="169"/>
        <v/>
      </c>
      <c r="AG1715" t="str">
        <f t="shared" si="170"/>
        <v/>
      </c>
      <c r="AN1715" t="str">
        <f t="shared" si="166"/>
        <v>Offensive</v>
      </c>
    </row>
    <row r="1716" spans="1:40" x14ac:dyDescent="0.2">
      <c r="A1716">
        <v>864</v>
      </c>
      <c r="B1716">
        <v>147</v>
      </c>
      <c r="E1716" s="5" t="s">
        <v>903</v>
      </c>
      <c r="F1716" s="5" t="s">
        <v>859</v>
      </c>
      <c r="I1716" t="s">
        <v>835</v>
      </c>
      <c r="J1716">
        <v>9</v>
      </c>
      <c r="K1716">
        <v>1</v>
      </c>
      <c r="L1716" t="s">
        <v>845</v>
      </c>
      <c r="M1716" t="s">
        <v>8</v>
      </c>
      <c r="N1716" t="s">
        <v>189</v>
      </c>
      <c r="O1716" t="s">
        <v>71</v>
      </c>
      <c r="P1716" t="s">
        <v>689</v>
      </c>
      <c r="Q1716" t="s">
        <v>485</v>
      </c>
      <c r="S1716" t="s">
        <v>689</v>
      </c>
      <c r="T1716">
        <v>1</v>
      </c>
      <c r="U1716" s="8">
        <f t="shared" si="168"/>
        <v>2</v>
      </c>
      <c r="AD1716" t="str">
        <f t="shared" si="167"/>
        <v>e</v>
      </c>
      <c r="AE1716" t="str">
        <f t="shared" si="171"/>
        <v>Pass</v>
      </c>
      <c r="AF1716" t="str">
        <f t="shared" si="169"/>
        <v>Pass_Completed</v>
      </c>
      <c r="AG1716" t="str">
        <f t="shared" si="170"/>
        <v>Pass-Bank</v>
      </c>
      <c r="AN1716" t="str">
        <f t="shared" si="166"/>
        <v>Offensive</v>
      </c>
    </row>
    <row r="1717" spans="1:40" x14ac:dyDescent="0.2">
      <c r="A1717">
        <v>864</v>
      </c>
      <c r="B1717">
        <f t="shared" si="172"/>
        <v>147</v>
      </c>
      <c r="J1717">
        <v>14</v>
      </c>
      <c r="K1717">
        <v>1</v>
      </c>
      <c r="U1717" s="8">
        <f t="shared" si="168"/>
        <v>2</v>
      </c>
      <c r="AD1717" t="str">
        <f t="shared" si="167"/>
        <v>e</v>
      </c>
      <c r="AE1717" t="str">
        <f t="shared" si="171"/>
        <v>Pass</v>
      </c>
      <c r="AF1717" t="str">
        <f t="shared" si="169"/>
        <v>Pass_Completed</v>
      </c>
      <c r="AG1717" t="str">
        <f t="shared" si="170"/>
        <v>Pass-Bank</v>
      </c>
      <c r="AN1717" t="str">
        <f t="shared" si="166"/>
        <v>Offensive</v>
      </c>
    </row>
    <row r="1718" spans="1:40" x14ac:dyDescent="0.2">
      <c r="A1718">
        <v>864</v>
      </c>
      <c r="B1718">
        <f t="shared" si="172"/>
        <v>147</v>
      </c>
      <c r="J1718">
        <v>19</v>
      </c>
      <c r="T1718">
        <v>1</v>
      </c>
      <c r="U1718" s="8">
        <f t="shared" si="168"/>
        <v>2</v>
      </c>
      <c r="AD1718" t="str">
        <f t="shared" si="167"/>
        <v>o</v>
      </c>
      <c r="AE1718" t="str">
        <f t="shared" si="171"/>
        <v>Pass</v>
      </c>
      <c r="AF1718" t="str">
        <f t="shared" si="169"/>
        <v>Pass_Completed</v>
      </c>
      <c r="AG1718" t="str">
        <f t="shared" si="170"/>
        <v>Pass-Bank</v>
      </c>
      <c r="AN1718" t="str">
        <f t="shared" si="166"/>
        <v>Defensive</v>
      </c>
    </row>
    <row r="1719" spans="1:40" x14ac:dyDescent="0.2">
      <c r="A1719">
        <v>865</v>
      </c>
      <c r="B1719">
        <v>147</v>
      </c>
      <c r="E1719" s="5" t="s">
        <v>903</v>
      </c>
      <c r="F1719" s="5" t="s">
        <v>859</v>
      </c>
      <c r="I1719" t="s">
        <v>835</v>
      </c>
      <c r="J1719">
        <v>9</v>
      </c>
      <c r="K1719">
        <v>1</v>
      </c>
      <c r="L1719" t="s">
        <v>845</v>
      </c>
      <c r="M1719" t="s">
        <v>257</v>
      </c>
      <c r="N1719" t="s">
        <v>201</v>
      </c>
      <c r="O1719" t="s">
        <v>91</v>
      </c>
      <c r="Q1719" t="s">
        <v>485</v>
      </c>
      <c r="S1719" t="s">
        <v>689</v>
      </c>
      <c r="T1719">
        <v>1</v>
      </c>
      <c r="U1719" s="8">
        <f t="shared" si="168"/>
        <v>2</v>
      </c>
      <c r="AD1719" t="str">
        <f t="shared" si="167"/>
        <v>e</v>
      </c>
      <c r="AE1719" t="str">
        <f t="shared" si="171"/>
        <v>Zone_Entry_Exit</v>
      </c>
      <c r="AF1719" t="str">
        <f t="shared" si="169"/>
        <v>Zone_Exit</v>
      </c>
      <c r="AG1719" t="str">
        <f t="shared" si="170"/>
        <v>ZoneExit-Pass</v>
      </c>
      <c r="AN1719" t="str">
        <f t="shared" si="166"/>
        <v>Offensive</v>
      </c>
    </row>
    <row r="1720" spans="1:40" x14ac:dyDescent="0.2">
      <c r="A1720">
        <v>865</v>
      </c>
      <c r="B1720">
        <f>IF(A1720=A1719,B1719,"")</f>
        <v>147</v>
      </c>
      <c r="J1720">
        <v>14</v>
      </c>
      <c r="K1720">
        <v>1</v>
      </c>
      <c r="U1720" s="8">
        <f t="shared" si="168"/>
        <v>2</v>
      </c>
      <c r="AD1720" t="str">
        <f t="shared" si="167"/>
        <v>e</v>
      </c>
      <c r="AE1720" t="str">
        <f t="shared" si="171"/>
        <v>Zone_Entry_Exit</v>
      </c>
      <c r="AF1720" t="str">
        <f t="shared" si="169"/>
        <v>Zone_Exit</v>
      </c>
      <c r="AG1720" t="str">
        <f t="shared" si="170"/>
        <v>ZoneExit-Pass</v>
      </c>
      <c r="AN1720" t="str">
        <f t="shared" si="166"/>
        <v>Offensive</v>
      </c>
    </row>
    <row r="1721" spans="1:40" x14ac:dyDescent="0.2">
      <c r="A1721">
        <v>865</v>
      </c>
      <c r="B1721">
        <f>IF(A1721=A1720,B1720,"")</f>
        <v>147</v>
      </c>
      <c r="J1721">
        <v>19</v>
      </c>
      <c r="T1721">
        <v>1</v>
      </c>
      <c r="U1721" s="8">
        <f t="shared" si="168"/>
        <v>2</v>
      </c>
      <c r="AD1721" t="str">
        <f t="shared" si="167"/>
        <v>o</v>
      </c>
      <c r="AE1721" t="str">
        <f t="shared" si="171"/>
        <v>Zone_Entry_Exit</v>
      </c>
      <c r="AF1721" t="str">
        <f t="shared" si="169"/>
        <v>Zone_Exit</v>
      </c>
      <c r="AG1721" t="str">
        <f t="shared" si="170"/>
        <v>ZoneExit-Pass</v>
      </c>
      <c r="AN1721" t="str">
        <f t="shared" ref="AN1721:AN1784" si="173">IF(AND(AD1721="e",OR(AE1721="Save",AF1721="Turnover_Takeaway",AF1721="Play_Defensive")),"Defensive",IF(AND(AD1721="o",OR(AE1721="Save",AF1721="Turnover_Takeaway",AF1721="Play_Defensive")),"Offensive",IF(OR(AE1721="Deadice",AE1721="Stoppage",AE1721="Intermission"),"",IF(AD1721="e","Offensive",IF(AD1721="o","Defensive","")))))</f>
        <v>Defensive</v>
      </c>
    </row>
    <row r="1722" spans="1:40" x14ac:dyDescent="0.2">
      <c r="A1722">
        <v>866</v>
      </c>
      <c r="B1722" t="str">
        <f t="shared" si="172"/>
        <v/>
      </c>
      <c r="E1722" s="5" t="s">
        <v>903</v>
      </c>
      <c r="F1722" s="5" t="s">
        <v>860</v>
      </c>
      <c r="I1722" t="s">
        <v>835</v>
      </c>
      <c r="J1722">
        <v>14</v>
      </c>
      <c r="K1722">
        <v>1</v>
      </c>
      <c r="L1722" t="s">
        <v>839</v>
      </c>
      <c r="M1722" t="s">
        <v>8</v>
      </c>
      <c r="N1722" t="s">
        <v>189</v>
      </c>
      <c r="O1722" t="s">
        <v>682</v>
      </c>
      <c r="P1722" t="s">
        <v>689</v>
      </c>
      <c r="Q1722" t="s">
        <v>639</v>
      </c>
      <c r="S1722" t="s">
        <v>689</v>
      </c>
      <c r="U1722" s="8">
        <f t="shared" si="168"/>
        <v>2</v>
      </c>
      <c r="AD1722" t="str">
        <f t="shared" si="167"/>
        <v>e</v>
      </c>
      <c r="AE1722" t="str">
        <f t="shared" si="171"/>
        <v>Pass</v>
      </c>
      <c r="AF1722" t="str">
        <f t="shared" si="169"/>
        <v>Pass_Completed</v>
      </c>
      <c r="AG1722" t="str">
        <f t="shared" si="170"/>
        <v>Pass-OneTouch</v>
      </c>
      <c r="AN1722" t="str">
        <f t="shared" si="173"/>
        <v>Offensive</v>
      </c>
    </row>
    <row r="1723" spans="1:40" x14ac:dyDescent="0.2">
      <c r="A1723">
        <v>866</v>
      </c>
      <c r="B1723" t="str">
        <f t="shared" si="172"/>
        <v/>
      </c>
      <c r="J1723">
        <v>70</v>
      </c>
      <c r="U1723" s="8">
        <f t="shared" si="168"/>
        <v>2</v>
      </c>
      <c r="AD1723" t="str">
        <f t="shared" si="167"/>
        <v>o</v>
      </c>
      <c r="AE1723" t="str">
        <f t="shared" si="171"/>
        <v>Pass</v>
      </c>
      <c r="AF1723" t="str">
        <f t="shared" si="169"/>
        <v>Pass_Completed</v>
      </c>
      <c r="AG1723" t="str">
        <f t="shared" si="170"/>
        <v>Pass-OneTouch</v>
      </c>
      <c r="AN1723" t="str">
        <f t="shared" si="173"/>
        <v>Defensive</v>
      </c>
    </row>
    <row r="1724" spans="1:40" x14ac:dyDescent="0.2">
      <c r="A1724">
        <v>867</v>
      </c>
      <c r="B1724" t="str">
        <f t="shared" si="172"/>
        <v/>
      </c>
      <c r="E1724" s="5" t="s">
        <v>903</v>
      </c>
      <c r="F1724" s="5" t="s">
        <v>909</v>
      </c>
      <c r="G1724" s="5" t="s">
        <v>903</v>
      </c>
      <c r="H1724" s="7" t="s">
        <v>863</v>
      </c>
      <c r="I1724" t="s">
        <v>835</v>
      </c>
      <c r="J1724">
        <v>70</v>
      </c>
      <c r="K1724">
        <v>1</v>
      </c>
      <c r="L1724" t="s">
        <v>839</v>
      </c>
      <c r="M1724" t="s">
        <v>15</v>
      </c>
      <c r="Q1724" t="s">
        <v>152</v>
      </c>
      <c r="S1724" t="s">
        <v>689</v>
      </c>
      <c r="T1724">
        <v>1</v>
      </c>
      <c r="U1724" s="8">
        <f t="shared" si="168"/>
        <v>2</v>
      </c>
      <c r="AD1724" t="str">
        <f t="shared" si="167"/>
        <v>e</v>
      </c>
      <c r="AE1724" t="str">
        <f t="shared" si="171"/>
        <v>Possession</v>
      </c>
      <c r="AF1724" t="str">
        <f t="shared" si="169"/>
        <v/>
      </c>
      <c r="AG1724" t="str">
        <f t="shared" si="170"/>
        <v/>
      </c>
      <c r="AN1724" t="str">
        <f t="shared" si="173"/>
        <v>Offensive</v>
      </c>
    </row>
    <row r="1725" spans="1:40" x14ac:dyDescent="0.2">
      <c r="A1725">
        <v>867</v>
      </c>
      <c r="B1725" t="str">
        <f t="shared" si="172"/>
        <v/>
      </c>
      <c r="J1725">
        <v>8</v>
      </c>
      <c r="Q1725" t="s">
        <v>658</v>
      </c>
      <c r="R1725" t="s">
        <v>161</v>
      </c>
      <c r="S1725" t="s">
        <v>689</v>
      </c>
      <c r="T1725">
        <v>1</v>
      </c>
      <c r="U1725" s="8">
        <f t="shared" si="168"/>
        <v>2</v>
      </c>
      <c r="AD1725" t="str">
        <f t="shared" si="167"/>
        <v>o</v>
      </c>
      <c r="AE1725" t="str">
        <f t="shared" si="171"/>
        <v>Possession</v>
      </c>
      <c r="AF1725" t="str">
        <f t="shared" si="169"/>
        <v/>
      </c>
      <c r="AG1725" t="str">
        <f t="shared" si="170"/>
        <v/>
      </c>
      <c r="AN1725" t="str">
        <f t="shared" si="173"/>
        <v>Defensive</v>
      </c>
    </row>
    <row r="1726" spans="1:40" x14ac:dyDescent="0.2">
      <c r="A1726">
        <v>867</v>
      </c>
      <c r="B1726" t="str">
        <f t="shared" si="172"/>
        <v/>
      </c>
      <c r="J1726">
        <v>94</v>
      </c>
      <c r="Q1726" t="s">
        <v>166</v>
      </c>
      <c r="S1726" t="s">
        <v>688</v>
      </c>
      <c r="T1726">
        <v>1</v>
      </c>
      <c r="U1726" s="8">
        <f t="shared" si="168"/>
        <v>2</v>
      </c>
      <c r="AD1726" t="str">
        <f t="shared" si="167"/>
        <v>o</v>
      </c>
      <c r="AE1726" t="str">
        <f t="shared" si="171"/>
        <v>Possession</v>
      </c>
      <c r="AF1726" t="str">
        <f t="shared" si="169"/>
        <v/>
      </c>
      <c r="AG1726" t="str">
        <f t="shared" si="170"/>
        <v/>
      </c>
      <c r="AN1726" t="str">
        <f t="shared" si="173"/>
        <v>Defensive</v>
      </c>
    </row>
    <row r="1727" spans="1:40" x14ac:dyDescent="0.2">
      <c r="A1727">
        <v>868</v>
      </c>
      <c r="B1727" t="str">
        <f t="shared" si="172"/>
        <v/>
      </c>
      <c r="E1727" s="5" t="s">
        <v>903</v>
      </c>
      <c r="F1727" s="5" t="s">
        <v>863</v>
      </c>
      <c r="I1727" t="s">
        <v>840</v>
      </c>
      <c r="J1727">
        <v>8</v>
      </c>
      <c r="K1727">
        <v>1</v>
      </c>
      <c r="L1727" t="s">
        <v>839</v>
      </c>
      <c r="M1727" t="s">
        <v>10</v>
      </c>
      <c r="N1727" t="s">
        <v>200</v>
      </c>
      <c r="O1727" t="s">
        <v>82</v>
      </c>
      <c r="P1727" t="s">
        <v>689</v>
      </c>
      <c r="Q1727" t="s">
        <v>658</v>
      </c>
      <c r="S1727" t="s">
        <v>689</v>
      </c>
      <c r="T1727">
        <v>1</v>
      </c>
      <c r="U1727" s="8">
        <f t="shared" si="168"/>
        <v>2</v>
      </c>
      <c r="AD1727" t="str">
        <f t="shared" si="167"/>
        <v>e</v>
      </c>
      <c r="AE1727" t="str">
        <f t="shared" si="171"/>
        <v>Turnover</v>
      </c>
      <c r="AF1727" t="str">
        <f t="shared" si="169"/>
        <v>Turnover_Takeaway</v>
      </c>
      <c r="AG1727" t="str">
        <f t="shared" si="170"/>
        <v>Takeaway-PokeCheck</v>
      </c>
      <c r="AN1727" t="str">
        <f t="shared" si="173"/>
        <v>Defensive</v>
      </c>
    </row>
    <row r="1728" spans="1:40" x14ac:dyDescent="0.2">
      <c r="A1728">
        <v>868</v>
      </c>
      <c r="B1728" t="str">
        <f t="shared" si="172"/>
        <v/>
      </c>
      <c r="J1728">
        <v>94</v>
      </c>
      <c r="K1728">
        <v>1</v>
      </c>
      <c r="U1728" s="8">
        <f t="shared" si="168"/>
        <v>2</v>
      </c>
      <c r="AD1728" t="str">
        <f t="shared" si="167"/>
        <v>e</v>
      </c>
      <c r="AE1728" t="str">
        <f t="shared" si="171"/>
        <v>Turnover</v>
      </c>
      <c r="AF1728" t="str">
        <f t="shared" si="169"/>
        <v>Turnover_Takeaway</v>
      </c>
      <c r="AG1728" t="str">
        <f t="shared" si="170"/>
        <v>Takeaway-PokeCheck</v>
      </c>
      <c r="AN1728" t="str">
        <f t="shared" si="173"/>
        <v>Defensive</v>
      </c>
    </row>
    <row r="1729" spans="1:40" x14ac:dyDescent="0.2">
      <c r="A1729">
        <v>868</v>
      </c>
      <c r="B1729" t="str">
        <f t="shared" si="172"/>
        <v/>
      </c>
      <c r="J1729">
        <v>70</v>
      </c>
      <c r="T1729">
        <v>1</v>
      </c>
      <c r="U1729" s="8">
        <f t="shared" si="168"/>
        <v>2</v>
      </c>
      <c r="AD1729" t="str">
        <f t="shared" si="167"/>
        <v>o</v>
      </c>
      <c r="AE1729" t="str">
        <f t="shared" si="171"/>
        <v>Turnover</v>
      </c>
      <c r="AF1729" t="str">
        <f t="shared" si="169"/>
        <v>Turnover_Takeaway</v>
      </c>
      <c r="AG1729" t="str">
        <f t="shared" si="170"/>
        <v>Takeaway-PokeCheck</v>
      </c>
      <c r="AN1729" t="str">
        <f t="shared" si="173"/>
        <v>Offensive</v>
      </c>
    </row>
    <row r="1730" spans="1:40" x14ac:dyDescent="0.2">
      <c r="A1730">
        <v>869</v>
      </c>
      <c r="B1730" t="str">
        <f t="shared" si="172"/>
        <v/>
      </c>
      <c r="E1730" s="5" t="s">
        <v>903</v>
      </c>
      <c r="F1730" s="5" t="s">
        <v>863</v>
      </c>
      <c r="I1730" t="s">
        <v>840</v>
      </c>
      <c r="J1730">
        <v>17</v>
      </c>
      <c r="K1730">
        <v>1</v>
      </c>
      <c r="L1730" t="s">
        <v>839</v>
      </c>
      <c r="M1730" t="s">
        <v>15</v>
      </c>
      <c r="N1730" t="s">
        <v>680</v>
      </c>
      <c r="P1730" t="s">
        <v>689</v>
      </c>
      <c r="Q1730" t="s">
        <v>633</v>
      </c>
      <c r="S1730" t="s">
        <v>689</v>
      </c>
      <c r="U1730" s="8">
        <f t="shared" si="168"/>
        <v>2</v>
      </c>
      <c r="AD1730" t="str">
        <f t="shared" ref="AD1730:AD1793" si="174">IF(K1730="x","",IF(K1730=1,"e","o"))</f>
        <v>e</v>
      </c>
      <c r="AE1730" t="str">
        <f t="shared" si="171"/>
        <v>Possession</v>
      </c>
      <c r="AF1730" t="str">
        <f t="shared" si="169"/>
        <v>PuckRetrieval</v>
      </c>
      <c r="AG1730" t="str">
        <f t="shared" si="170"/>
        <v/>
      </c>
      <c r="AN1730" t="str">
        <f t="shared" si="173"/>
        <v>Offensive</v>
      </c>
    </row>
    <row r="1731" spans="1:40" x14ac:dyDescent="0.2">
      <c r="A1731">
        <v>870</v>
      </c>
      <c r="B1731">
        <v>148</v>
      </c>
      <c r="E1731" s="5" t="s">
        <v>903</v>
      </c>
      <c r="F1731" s="5" t="s">
        <v>863</v>
      </c>
      <c r="I1731" t="s">
        <v>840</v>
      </c>
      <c r="J1731">
        <v>17</v>
      </c>
      <c r="K1731">
        <v>1</v>
      </c>
      <c r="L1731" t="s">
        <v>839</v>
      </c>
      <c r="M1731" t="s">
        <v>8</v>
      </c>
      <c r="N1731" t="s">
        <v>189</v>
      </c>
      <c r="O1731" t="s">
        <v>71</v>
      </c>
      <c r="Q1731" t="s">
        <v>485</v>
      </c>
      <c r="R1731" t="s">
        <v>669</v>
      </c>
      <c r="S1731" t="s">
        <v>689</v>
      </c>
      <c r="U1731" s="8">
        <f t="shared" ref="U1731:U1794" si="175">IF(M1731="Intermission",U1730+1,U1730)</f>
        <v>2</v>
      </c>
      <c r="AD1731" t="str">
        <f t="shared" si="174"/>
        <v>e</v>
      </c>
      <c r="AE1731" t="str">
        <f t="shared" si="171"/>
        <v>Pass</v>
      </c>
      <c r="AF1731" t="str">
        <f t="shared" ref="AF1731:AF1794" si="176">IF(N1731&lt;&gt;"",N1731,IF($A1731=$A1730,AF1730,""))</f>
        <v>Pass_Completed</v>
      </c>
      <c r="AG1731" t="str">
        <f t="shared" ref="AG1731:AG1794" si="177">IF(O1731&lt;&gt;"",O1731,IF($A1731=$A1730,AG1730,""))</f>
        <v>Pass-Bank</v>
      </c>
      <c r="AN1731" t="str">
        <f t="shared" si="173"/>
        <v>Offensive</v>
      </c>
    </row>
    <row r="1732" spans="1:40" x14ac:dyDescent="0.2">
      <c r="A1732">
        <v>870</v>
      </c>
      <c r="B1732">
        <f t="shared" si="172"/>
        <v>148</v>
      </c>
      <c r="J1732">
        <v>19</v>
      </c>
      <c r="K1732">
        <v>1</v>
      </c>
      <c r="U1732" s="8">
        <f t="shared" si="175"/>
        <v>2</v>
      </c>
      <c r="AD1732" t="str">
        <f t="shared" si="174"/>
        <v>e</v>
      </c>
      <c r="AE1732" t="str">
        <f t="shared" ref="AE1732:AE1795" si="178">IF(M1732&lt;&gt;"",M1732,IF($A1732=$A1731,AE1731,""))</f>
        <v>Pass</v>
      </c>
      <c r="AF1732" t="str">
        <f t="shared" si="176"/>
        <v>Pass_Completed</v>
      </c>
      <c r="AG1732" t="str">
        <f t="shared" si="177"/>
        <v>Pass-Bank</v>
      </c>
      <c r="AN1732" t="str">
        <f t="shared" si="173"/>
        <v>Offensive</v>
      </c>
    </row>
    <row r="1733" spans="1:40" x14ac:dyDescent="0.2">
      <c r="A1733">
        <v>871</v>
      </c>
      <c r="B1733">
        <v>148</v>
      </c>
      <c r="E1733" s="5" t="s">
        <v>903</v>
      </c>
      <c r="F1733" s="5" t="s">
        <v>863</v>
      </c>
      <c r="I1733" t="s">
        <v>840</v>
      </c>
      <c r="J1733">
        <v>17</v>
      </c>
      <c r="K1733">
        <v>1</v>
      </c>
      <c r="L1733" t="s">
        <v>839</v>
      </c>
      <c r="M1733" t="s">
        <v>257</v>
      </c>
      <c r="N1733" t="s">
        <v>201</v>
      </c>
      <c r="O1733" t="s">
        <v>91</v>
      </c>
      <c r="Q1733" t="s">
        <v>485</v>
      </c>
      <c r="R1733" t="s">
        <v>669</v>
      </c>
      <c r="S1733" t="s">
        <v>689</v>
      </c>
      <c r="U1733" s="8">
        <f t="shared" si="175"/>
        <v>2</v>
      </c>
      <c r="AD1733" t="str">
        <f t="shared" si="174"/>
        <v>e</v>
      </c>
      <c r="AE1733" t="str">
        <f t="shared" si="178"/>
        <v>Zone_Entry_Exit</v>
      </c>
      <c r="AF1733" t="str">
        <f t="shared" si="176"/>
        <v>Zone_Exit</v>
      </c>
      <c r="AG1733" t="str">
        <f t="shared" si="177"/>
        <v>ZoneExit-Pass</v>
      </c>
      <c r="AN1733" t="str">
        <f t="shared" si="173"/>
        <v>Offensive</v>
      </c>
    </row>
    <row r="1734" spans="1:40" x14ac:dyDescent="0.2">
      <c r="A1734">
        <v>871</v>
      </c>
      <c r="B1734">
        <f>IF(A1734=A1733,B1733,"")</f>
        <v>148</v>
      </c>
      <c r="J1734">
        <v>19</v>
      </c>
      <c r="K1734">
        <v>1</v>
      </c>
      <c r="U1734" s="8">
        <f t="shared" si="175"/>
        <v>2</v>
      </c>
      <c r="AD1734" t="str">
        <f t="shared" si="174"/>
        <v>e</v>
      </c>
      <c r="AE1734" t="str">
        <f t="shared" si="178"/>
        <v>Zone_Entry_Exit</v>
      </c>
      <c r="AF1734" t="str">
        <f t="shared" si="176"/>
        <v>Zone_Exit</v>
      </c>
      <c r="AG1734" t="str">
        <f t="shared" si="177"/>
        <v>ZoneExit-Pass</v>
      </c>
      <c r="AN1734" t="str">
        <f t="shared" si="173"/>
        <v>Offensive</v>
      </c>
    </row>
    <row r="1735" spans="1:40" x14ac:dyDescent="0.2">
      <c r="A1735">
        <v>872</v>
      </c>
      <c r="B1735" t="str">
        <f t="shared" si="172"/>
        <v/>
      </c>
      <c r="E1735" s="5" t="s">
        <v>903</v>
      </c>
      <c r="F1735" s="5" t="s">
        <v>871</v>
      </c>
      <c r="G1735" s="5" t="s">
        <v>903</v>
      </c>
      <c r="H1735" s="7" t="s">
        <v>865</v>
      </c>
      <c r="I1735" s="5" t="s">
        <v>840</v>
      </c>
      <c r="J1735">
        <v>19</v>
      </c>
      <c r="K1735">
        <v>1</v>
      </c>
      <c r="L1735" s="5" t="s">
        <v>839</v>
      </c>
      <c r="M1735" t="s">
        <v>15</v>
      </c>
      <c r="U1735" s="8">
        <f t="shared" si="175"/>
        <v>2</v>
      </c>
      <c r="AD1735" t="str">
        <f t="shared" si="174"/>
        <v>e</v>
      </c>
      <c r="AE1735" t="str">
        <f t="shared" si="178"/>
        <v>Possession</v>
      </c>
      <c r="AF1735" t="str">
        <f t="shared" si="176"/>
        <v/>
      </c>
      <c r="AG1735" t="str">
        <f t="shared" si="177"/>
        <v/>
      </c>
      <c r="AN1735" t="str">
        <f t="shared" si="173"/>
        <v>Offensive</v>
      </c>
    </row>
    <row r="1736" spans="1:40" x14ac:dyDescent="0.2">
      <c r="A1736">
        <v>873</v>
      </c>
      <c r="B1736" t="str">
        <f t="shared" si="172"/>
        <v/>
      </c>
      <c r="E1736" s="5" t="s">
        <v>903</v>
      </c>
      <c r="F1736" s="5" t="s">
        <v>865</v>
      </c>
      <c r="G1736" s="5" t="s">
        <v>903</v>
      </c>
      <c r="H1736" s="7" t="s">
        <v>899</v>
      </c>
      <c r="I1736" t="s">
        <v>840</v>
      </c>
      <c r="J1736">
        <v>19</v>
      </c>
      <c r="K1736">
        <v>1</v>
      </c>
      <c r="L1736" t="s">
        <v>401</v>
      </c>
      <c r="M1736" t="s">
        <v>257</v>
      </c>
      <c r="N1736" t="s">
        <v>191</v>
      </c>
      <c r="O1736" t="s">
        <v>87</v>
      </c>
      <c r="P1736" t="s">
        <v>688</v>
      </c>
      <c r="Q1736" t="s">
        <v>947</v>
      </c>
      <c r="S1736" t="s">
        <v>688</v>
      </c>
      <c r="U1736" s="8">
        <f t="shared" si="175"/>
        <v>2</v>
      </c>
      <c r="AD1736" t="str">
        <f t="shared" si="174"/>
        <v>e</v>
      </c>
      <c r="AE1736" t="str">
        <f t="shared" si="178"/>
        <v>Zone_Entry_Exit</v>
      </c>
      <c r="AF1736" t="str">
        <f t="shared" si="176"/>
        <v>Zone_Entry</v>
      </c>
      <c r="AG1736" t="str">
        <f t="shared" si="177"/>
        <v>ZoneEntry-Rush</v>
      </c>
      <c r="AN1736" t="str">
        <f t="shared" si="173"/>
        <v>Offensive</v>
      </c>
    </row>
    <row r="1737" spans="1:40" x14ac:dyDescent="0.2">
      <c r="A1737">
        <v>873</v>
      </c>
      <c r="B1737" t="str">
        <f t="shared" si="172"/>
        <v/>
      </c>
      <c r="J1737">
        <v>84</v>
      </c>
      <c r="U1737" s="8">
        <f t="shared" si="175"/>
        <v>2</v>
      </c>
      <c r="AD1737" t="str">
        <f t="shared" si="174"/>
        <v>o</v>
      </c>
      <c r="AE1737" t="str">
        <f t="shared" si="178"/>
        <v>Zone_Entry_Exit</v>
      </c>
      <c r="AF1737" t="str">
        <f t="shared" si="176"/>
        <v>Zone_Entry</v>
      </c>
      <c r="AG1737" t="str">
        <f t="shared" si="177"/>
        <v>ZoneEntry-Rush</v>
      </c>
      <c r="AN1737" t="str">
        <f t="shared" si="173"/>
        <v>Defensive</v>
      </c>
    </row>
    <row r="1738" spans="1:40" x14ac:dyDescent="0.2">
      <c r="A1738">
        <v>874</v>
      </c>
      <c r="B1738">
        <v>149</v>
      </c>
      <c r="E1738" s="5" t="s">
        <v>903</v>
      </c>
      <c r="F1738" s="5" t="s">
        <v>899</v>
      </c>
      <c r="I1738" t="s">
        <v>840</v>
      </c>
      <c r="J1738">
        <v>19</v>
      </c>
      <c r="K1738">
        <v>1</v>
      </c>
      <c r="L1738" t="s">
        <v>401</v>
      </c>
      <c r="M1738" t="s">
        <v>8</v>
      </c>
      <c r="N1738" t="s">
        <v>199</v>
      </c>
      <c r="O1738" t="s">
        <v>69</v>
      </c>
      <c r="P1738" t="s">
        <v>688</v>
      </c>
      <c r="U1738" s="8">
        <f t="shared" si="175"/>
        <v>2</v>
      </c>
      <c r="AD1738" t="str">
        <f t="shared" si="174"/>
        <v>e</v>
      </c>
      <c r="AE1738" t="str">
        <f t="shared" si="178"/>
        <v>Pass</v>
      </c>
      <c r="AF1738" t="str">
        <f t="shared" si="176"/>
        <v>Pass_Missed</v>
      </c>
      <c r="AG1738" t="str">
        <f t="shared" si="177"/>
        <v>Pass-Backhand</v>
      </c>
      <c r="AN1738" t="str">
        <f t="shared" si="173"/>
        <v>Offensive</v>
      </c>
    </row>
    <row r="1739" spans="1:40" x14ac:dyDescent="0.2">
      <c r="A1739">
        <v>874</v>
      </c>
      <c r="B1739">
        <f t="shared" si="172"/>
        <v>149</v>
      </c>
      <c r="J1739">
        <v>8</v>
      </c>
      <c r="K1739">
        <v>1</v>
      </c>
      <c r="U1739" s="8">
        <f t="shared" si="175"/>
        <v>2</v>
      </c>
      <c r="AD1739" t="str">
        <f t="shared" si="174"/>
        <v>e</v>
      </c>
      <c r="AE1739" t="str">
        <f t="shared" si="178"/>
        <v>Pass</v>
      </c>
      <c r="AF1739" t="str">
        <f t="shared" si="176"/>
        <v>Pass_Missed</v>
      </c>
      <c r="AG1739" t="str">
        <f t="shared" si="177"/>
        <v>Pass-Backhand</v>
      </c>
      <c r="AN1739" t="str">
        <f t="shared" si="173"/>
        <v>Offensive</v>
      </c>
    </row>
    <row r="1740" spans="1:40" x14ac:dyDescent="0.2">
      <c r="A1740">
        <v>874</v>
      </c>
      <c r="B1740">
        <f t="shared" si="172"/>
        <v>149</v>
      </c>
      <c r="J1740">
        <v>84</v>
      </c>
      <c r="Q1740" t="s">
        <v>658</v>
      </c>
      <c r="U1740" s="8">
        <f t="shared" si="175"/>
        <v>2</v>
      </c>
      <c r="AD1740" t="str">
        <f t="shared" si="174"/>
        <v>o</v>
      </c>
      <c r="AE1740" t="str">
        <f t="shared" si="178"/>
        <v>Pass</v>
      </c>
      <c r="AF1740" t="str">
        <f t="shared" si="176"/>
        <v>Pass_Missed</v>
      </c>
      <c r="AG1740" t="str">
        <f t="shared" si="177"/>
        <v>Pass-Backhand</v>
      </c>
      <c r="AN1740" t="str">
        <f t="shared" si="173"/>
        <v>Defensive</v>
      </c>
    </row>
    <row r="1741" spans="1:40" x14ac:dyDescent="0.2">
      <c r="A1741">
        <v>875</v>
      </c>
      <c r="B1741">
        <v>149</v>
      </c>
      <c r="E1741" s="5" t="s">
        <v>903</v>
      </c>
      <c r="F1741" s="5" t="s">
        <v>899</v>
      </c>
      <c r="I1741" t="s">
        <v>840</v>
      </c>
      <c r="J1741">
        <v>19</v>
      </c>
      <c r="K1741">
        <v>1</v>
      </c>
      <c r="L1741" t="s">
        <v>401</v>
      </c>
      <c r="M1741" t="s">
        <v>10</v>
      </c>
      <c r="N1741" t="s">
        <v>190</v>
      </c>
      <c r="O1741" t="s">
        <v>76</v>
      </c>
      <c r="P1741" t="s">
        <v>688</v>
      </c>
      <c r="U1741" s="8">
        <f t="shared" si="175"/>
        <v>2</v>
      </c>
      <c r="AD1741" t="str">
        <f t="shared" si="174"/>
        <v>e</v>
      </c>
      <c r="AE1741" t="str">
        <f t="shared" si="178"/>
        <v>Turnover</v>
      </c>
      <c r="AF1741" t="str">
        <f t="shared" si="176"/>
        <v>Turnover_Giveaway</v>
      </c>
      <c r="AG1741" t="str">
        <f t="shared" si="177"/>
        <v>Giveaway-PassMissed</v>
      </c>
      <c r="AN1741" t="str">
        <f t="shared" si="173"/>
        <v>Offensive</v>
      </c>
    </row>
    <row r="1742" spans="1:40" x14ac:dyDescent="0.2">
      <c r="A1742">
        <v>875</v>
      </c>
      <c r="B1742">
        <f>IF(A1742=A1741,B1741,"")</f>
        <v>149</v>
      </c>
      <c r="J1742">
        <v>8</v>
      </c>
      <c r="K1742">
        <v>1</v>
      </c>
      <c r="U1742" s="8">
        <f t="shared" si="175"/>
        <v>2</v>
      </c>
      <c r="AD1742" t="str">
        <f t="shared" si="174"/>
        <v>e</v>
      </c>
      <c r="AE1742" t="str">
        <f t="shared" si="178"/>
        <v>Turnover</v>
      </c>
      <c r="AF1742" t="str">
        <f t="shared" si="176"/>
        <v>Turnover_Giveaway</v>
      </c>
      <c r="AG1742" t="str">
        <f t="shared" si="177"/>
        <v>Giveaway-PassMissed</v>
      </c>
      <c r="AN1742" t="str">
        <f t="shared" si="173"/>
        <v>Offensive</v>
      </c>
    </row>
    <row r="1743" spans="1:40" x14ac:dyDescent="0.2">
      <c r="A1743">
        <v>875</v>
      </c>
      <c r="B1743">
        <f>IF(A1743=A1742,B1742,"")</f>
        <v>149</v>
      </c>
      <c r="J1743">
        <v>84</v>
      </c>
      <c r="Q1743" t="s">
        <v>658</v>
      </c>
      <c r="U1743" s="8">
        <f t="shared" si="175"/>
        <v>2</v>
      </c>
      <c r="AD1743" t="str">
        <f t="shared" si="174"/>
        <v>o</v>
      </c>
      <c r="AE1743" t="str">
        <f t="shared" si="178"/>
        <v>Turnover</v>
      </c>
      <c r="AF1743" t="str">
        <f t="shared" si="176"/>
        <v>Turnover_Giveaway</v>
      </c>
      <c r="AG1743" t="str">
        <f t="shared" si="177"/>
        <v>Giveaway-PassMissed</v>
      </c>
      <c r="AN1743" t="str">
        <f t="shared" si="173"/>
        <v>Defensive</v>
      </c>
    </row>
    <row r="1744" spans="1:40" x14ac:dyDescent="0.2">
      <c r="A1744">
        <v>876</v>
      </c>
      <c r="B1744" t="str">
        <f t="shared" si="172"/>
        <v/>
      </c>
      <c r="E1744" s="5" t="s">
        <v>903</v>
      </c>
      <c r="F1744" s="5" t="s">
        <v>867</v>
      </c>
      <c r="G1744" s="5" t="s">
        <v>903</v>
      </c>
      <c r="H1744" s="7" t="s">
        <v>868</v>
      </c>
      <c r="I1744" t="s">
        <v>835</v>
      </c>
      <c r="J1744">
        <v>70</v>
      </c>
      <c r="K1744">
        <v>1</v>
      </c>
      <c r="L1744" t="s">
        <v>845</v>
      </c>
      <c r="M1744" t="s">
        <v>15</v>
      </c>
      <c r="N1744" t="s">
        <v>680</v>
      </c>
      <c r="P1744" t="s">
        <v>689</v>
      </c>
      <c r="Q1744" t="s">
        <v>634</v>
      </c>
      <c r="R1744" t="s">
        <v>667</v>
      </c>
      <c r="S1744" t="s">
        <v>689</v>
      </c>
      <c r="U1744" s="8">
        <f t="shared" si="175"/>
        <v>2</v>
      </c>
      <c r="AD1744" t="str">
        <f t="shared" si="174"/>
        <v>e</v>
      </c>
      <c r="AE1744" t="str">
        <f t="shared" si="178"/>
        <v>Possession</v>
      </c>
      <c r="AF1744" t="str">
        <f t="shared" si="176"/>
        <v>PuckRetrieval</v>
      </c>
      <c r="AG1744" t="str">
        <f t="shared" si="177"/>
        <v/>
      </c>
      <c r="AN1744" t="str">
        <f t="shared" si="173"/>
        <v>Offensive</v>
      </c>
    </row>
    <row r="1745" spans="1:40" x14ac:dyDescent="0.2">
      <c r="A1745">
        <v>877</v>
      </c>
      <c r="B1745" t="str">
        <f t="shared" si="172"/>
        <v/>
      </c>
      <c r="E1745" s="5" t="s">
        <v>903</v>
      </c>
      <c r="F1745" s="5" t="s">
        <v>868</v>
      </c>
      <c r="G1745" s="5" t="s">
        <v>903</v>
      </c>
      <c r="H1745" s="7" t="s">
        <v>894</v>
      </c>
      <c r="I1745" s="5" t="s">
        <v>835</v>
      </c>
      <c r="J1745">
        <v>70</v>
      </c>
      <c r="K1745">
        <v>1</v>
      </c>
      <c r="L1745" s="5" t="s">
        <v>845</v>
      </c>
      <c r="M1745" t="s">
        <v>15</v>
      </c>
      <c r="U1745" s="8">
        <f t="shared" si="175"/>
        <v>2</v>
      </c>
      <c r="AD1745" t="str">
        <f t="shared" si="174"/>
        <v>e</v>
      </c>
      <c r="AE1745" t="str">
        <f t="shared" si="178"/>
        <v>Possession</v>
      </c>
      <c r="AF1745" t="str">
        <f t="shared" si="176"/>
        <v/>
      </c>
      <c r="AG1745" t="str">
        <f t="shared" si="177"/>
        <v/>
      </c>
      <c r="AN1745" t="str">
        <f t="shared" si="173"/>
        <v>Offensive</v>
      </c>
    </row>
    <row r="1746" spans="1:40" x14ac:dyDescent="0.2">
      <c r="A1746">
        <v>878</v>
      </c>
      <c r="B1746">
        <v>150</v>
      </c>
      <c r="E1746" s="5" t="s">
        <v>903</v>
      </c>
      <c r="F1746" s="5" t="s">
        <v>894</v>
      </c>
      <c r="I1746" t="s">
        <v>835</v>
      </c>
      <c r="J1746">
        <v>70</v>
      </c>
      <c r="K1746">
        <v>1</v>
      </c>
      <c r="L1746" t="s">
        <v>845</v>
      </c>
      <c r="M1746" t="s">
        <v>8</v>
      </c>
      <c r="N1746" t="s">
        <v>199</v>
      </c>
      <c r="O1746" t="s">
        <v>67</v>
      </c>
      <c r="P1746" t="s">
        <v>688</v>
      </c>
      <c r="Q1746" t="s">
        <v>929</v>
      </c>
      <c r="S1746" t="s">
        <v>688</v>
      </c>
      <c r="T1746">
        <v>1</v>
      </c>
      <c r="U1746" s="8">
        <f t="shared" si="175"/>
        <v>2</v>
      </c>
      <c r="AD1746" t="str">
        <f t="shared" si="174"/>
        <v>e</v>
      </c>
      <c r="AE1746" t="str">
        <f t="shared" si="178"/>
        <v>Pass</v>
      </c>
      <c r="AF1746" t="str">
        <f t="shared" si="176"/>
        <v>Pass_Missed</v>
      </c>
      <c r="AG1746" t="str">
        <f t="shared" si="177"/>
        <v>Pass-Stretch</v>
      </c>
      <c r="AN1746" t="str">
        <f t="shared" si="173"/>
        <v>Offensive</v>
      </c>
    </row>
    <row r="1747" spans="1:40" x14ac:dyDescent="0.2">
      <c r="A1747">
        <v>878</v>
      </c>
      <c r="B1747">
        <f t="shared" si="172"/>
        <v>150</v>
      </c>
      <c r="J1747">
        <v>75</v>
      </c>
      <c r="K1747">
        <v>1</v>
      </c>
      <c r="Q1747" t="s">
        <v>687</v>
      </c>
      <c r="S1747" t="s">
        <v>688</v>
      </c>
      <c r="U1747" s="8">
        <f t="shared" si="175"/>
        <v>2</v>
      </c>
      <c r="AD1747" t="str">
        <f t="shared" si="174"/>
        <v>e</v>
      </c>
      <c r="AE1747" t="str">
        <f t="shared" si="178"/>
        <v>Pass</v>
      </c>
      <c r="AF1747" t="str">
        <f t="shared" si="176"/>
        <v>Pass_Missed</v>
      </c>
      <c r="AG1747" t="str">
        <f t="shared" si="177"/>
        <v>Pass-Stretch</v>
      </c>
      <c r="AN1747" t="str">
        <f t="shared" si="173"/>
        <v>Offensive</v>
      </c>
    </row>
    <row r="1748" spans="1:40" x14ac:dyDescent="0.2">
      <c r="A1748">
        <v>878</v>
      </c>
      <c r="B1748">
        <f t="shared" si="172"/>
        <v>150</v>
      </c>
      <c r="J1748">
        <v>19</v>
      </c>
      <c r="Q1748" t="s">
        <v>658</v>
      </c>
      <c r="T1748">
        <v>1</v>
      </c>
      <c r="U1748" s="8">
        <f t="shared" si="175"/>
        <v>2</v>
      </c>
      <c r="AD1748" t="str">
        <f t="shared" si="174"/>
        <v>o</v>
      </c>
      <c r="AE1748" t="str">
        <f t="shared" si="178"/>
        <v>Pass</v>
      </c>
      <c r="AF1748" t="str">
        <f t="shared" si="176"/>
        <v>Pass_Missed</v>
      </c>
      <c r="AG1748" t="str">
        <f t="shared" si="177"/>
        <v>Pass-Stretch</v>
      </c>
      <c r="AN1748" t="str">
        <f t="shared" si="173"/>
        <v>Defensive</v>
      </c>
    </row>
    <row r="1749" spans="1:40" x14ac:dyDescent="0.2">
      <c r="A1749">
        <v>879</v>
      </c>
      <c r="B1749">
        <v>150</v>
      </c>
      <c r="E1749" s="5" t="s">
        <v>903</v>
      </c>
      <c r="F1749" s="5" t="s">
        <v>894</v>
      </c>
      <c r="I1749" t="s">
        <v>835</v>
      </c>
      <c r="J1749">
        <v>70</v>
      </c>
      <c r="K1749">
        <v>1</v>
      </c>
      <c r="L1749" t="s">
        <v>845</v>
      </c>
      <c r="M1749" t="s">
        <v>257</v>
      </c>
      <c r="N1749" t="s">
        <v>201</v>
      </c>
      <c r="O1749" t="s">
        <v>91</v>
      </c>
      <c r="P1749" t="s">
        <v>688</v>
      </c>
      <c r="Q1749" t="s">
        <v>929</v>
      </c>
      <c r="S1749" t="s">
        <v>688</v>
      </c>
      <c r="T1749">
        <v>1</v>
      </c>
      <c r="U1749" s="8">
        <f t="shared" si="175"/>
        <v>2</v>
      </c>
      <c r="AD1749" t="str">
        <f t="shared" si="174"/>
        <v>e</v>
      </c>
      <c r="AE1749" t="str">
        <f t="shared" si="178"/>
        <v>Zone_Entry_Exit</v>
      </c>
      <c r="AF1749" t="str">
        <f t="shared" si="176"/>
        <v>Zone_Exit</v>
      </c>
      <c r="AG1749" t="str">
        <f t="shared" si="177"/>
        <v>ZoneExit-Pass</v>
      </c>
      <c r="AN1749" t="str">
        <f t="shared" si="173"/>
        <v>Offensive</v>
      </c>
    </row>
    <row r="1750" spans="1:40" x14ac:dyDescent="0.2">
      <c r="A1750">
        <v>879</v>
      </c>
      <c r="B1750">
        <f>IF(A1750=A1749,B1749,"")</f>
        <v>150</v>
      </c>
      <c r="J1750">
        <v>75</v>
      </c>
      <c r="K1750">
        <v>1</v>
      </c>
      <c r="Q1750" t="s">
        <v>687</v>
      </c>
      <c r="S1750" t="s">
        <v>688</v>
      </c>
      <c r="U1750" s="8">
        <f t="shared" si="175"/>
        <v>2</v>
      </c>
      <c r="AD1750" t="str">
        <f t="shared" si="174"/>
        <v>e</v>
      </c>
      <c r="AE1750" t="str">
        <f t="shared" si="178"/>
        <v>Zone_Entry_Exit</v>
      </c>
      <c r="AF1750" t="str">
        <f t="shared" si="176"/>
        <v>Zone_Exit</v>
      </c>
      <c r="AG1750" t="str">
        <f t="shared" si="177"/>
        <v>ZoneExit-Pass</v>
      </c>
      <c r="AN1750" t="str">
        <f t="shared" si="173"/>
        <v>Offensive</v>
      </c>
    </row>
    <row r="1751" spans="1:40" x14ac:dyDescent="0.2">
      <c r="A1751">
        <v>879</v>
      </c>
      <c r="B1751">
        <f>IF(A1751=A1750,B1750,"")</f>
        <v>150</v>
      </c>
      <c r="J1751">
        <v>19</v>
      </c>
      <c r="Q1751" t="s">
        <v>658</v>
      </c>
      <c r="T1751">
        <v>1</v>
      </c>
      <c r="U1751" s="8">
        <f t="shared" si="175"/>
        <v>2</v>
      </c>
      <c r="AD1751" t="str">
        <f t="shared" si="174"/>
        <v>o</v>
      </c>
      <c r="AE1751" t="str">
        <f t="shared" si="178"/>
        <v>Zone_Entry_Exit</v>
      </c>
      <c r="AF1751" t="str">
        <f t="shared" si="176"/>
        <v>Zone_Exit</v>
      </c>
      <c r="AG1751" t="str">
        <f t="shared" si="177"/>
        <v>ZoneExit-Pass</v>
      </c>
      <c r="AN1751" t="str">
        <f t="shared" si="173"/>
        <v>Defensive</v>
      </c>
    </row>
    <row r="1752" spans="1:40" x14ac:dyDescent="0.2">
      <c r="A1752">
        <v>880</v>
      </c>
      <c r="B1752">
        <v>150</v>
      </c>
      <c r="E1752" s="5" t="s">
        <v>903</v>
      </c>
      <c r="F1752" s="5" t="s">
        <v>894</v>
      </c>
      <c r="I1752" t="s">
        <v>835</v>
      </c>
      <c r="J1752">
        <v>70</v>
      </c>
      <c r="K1752">
        <v>1</v>
      </c>
      <c r="L1752" t="s">
        <v>845</v>
      </c>
      <c r="M1752" t="s">
        <v>10</v>
      </c>
      <c r="N1752" t="s">
        <v>190</v>
      </c>
      <c r="O1752" t="s">
        <v>76</v>
      </c>
      <c r="Q1752" t="s">
        <v>929</v>
      </c>
      <c r="S1752" t="s">
        <v>688</v>
      </c>
      <c r="T1752">
        <v>1</v>
      </c>
      <c r="U1752" s="8">
        <f t="shared" si="175"/>
        <v>2</v>
      </c>
      <c r="AD1752" t="str">
        <f t="shared" si="174"/>
        <v>e</v>
      </c>
      <c r="AE1752" t="str">
        <f t="shared" si="178"/>
        <v>Turnover</v>
      </c>
      <c r="AF1752" t="str">
        <f t="shared" si="176"/>
        <v>Turnover_Giveaway</v>
      </c>
      <c r="AG1752" t="str">
        <f t="shared" si="177"/>
        <v>Giveaway-PassMissed</v>
      </c>
      <c r="AN1752" t="str">
        <f t="shared" si="173"/>
        <v>Offensive</v>
      </c>
    </row>
    <row r="1753" spans="1:40" x14ac:dyDescent="0.2">
      <c r="A1753">
        <v>880</v>
      </c>
      <c r="B1753">
        <f>IF(A1753=A1752,B1752,"")</f>
        <v>150</v>
      </c>
      <c r="J1753">
        <v>75</v>
      </c>
      <c r="K1753">
        <v>1</v>
      </c>
      <c r="Q1753" t="s">
        <v>687</v>
      </c>
      <c r="S1753" t="s">
        <v>688</v>
      </c>
      <c r="U1753" s="8">
        <f t="shared" si="175"/>
        <v>2</v>
      </c>
      <c r="AD1753" t="str">
        <f t="shared" si="174"/>
        <v>e</v>
      </c>
      <c r="AE1753" t="str">
        <f t="shared" si="178"/>
        <v>Turnover</v>
      </c>
      <c r="AF1753" t="str">
        <f t="shared" si="176"/>
        <v>Turnover_Giveaway</v>
      </c>
      <c r="AG1753" t="str">
        <f t="shared" si="177"/>
        <v>Giveaway-PassMissed</v>
      </c>
      <c r="AN1753" t="str">
        <f t="shared" si="173"/>
        <v>Offensive</v>
      </c>
    </row>
    <row r="1754" spans="1:40" x14ac:dyDescent="0.2">
      <c r="A1754">
        <v>880</v>
      </c>
      <c r="B1754">
        <f>IF(A1754=A1753,B1753,"")</f>
        <v>150</v>
      </c>
      <c r="J1754">
        <v>19</v>
      </c>
      <c r="Q1754" t="s">
        <v>658</v>
      </c>
      <c r="T1754">
        <v>1</v>
      </c>
      <c r="U1754" s="8">
        <f t="shared" si="175"/>
        <v>2</v>
      </c>
      <c r="AD1754" t="str">
        <f t="shared" si="174"/>
        <v>o</v>
      </c>
      <c r="AE1754" t="str">
        <f t="shared" si="178"/>
        <v>Turnover</v>
      </c>
      <c r="AF1754" t="str">
        <f t="shared" si="176"/>
        <v>Turnover_Giveaway</v>
      </c>
      <c r="AG1754" t="str">
        <f t="shared" si="177"/>
        <v>Giveaway-PassMissed</v>
      </c>
      <c r="AN1754" t="str">
        <f t="shared" si="173"/>
        <v>Defensive</v>
      </c>
    </row>
    <row r="1755" spans="1:40" x14ac:dyDescent="0.2">
      <c r="A1755">
        <v>881</v>
      </c>
      <c r="B1755" t="str">
        <f t="shared" si="172"/>
        <v/>
      </c>
      <c r="E1755" s="5" t="s">
        <v>906</v>
      </c>
      <c r="F1755" s="5" t="s">
        <v>837</v>
      </c>
      <c r="I1755" t="s">
        <v>840</v>
      </c>
      <c r="J1755">
        <v>17</v>
      </c>
      <c r="K1755">
        <v>1</v>
      </c>
      <c r="L1755" t="s">
        <v>839</v>
      </c>
      <c r="M1755" t="s">
        <v>15</v>
      </c>
      <c r="N1755" t="s">
        <v>680</v>
      </c>
      <c r="P1755" t="s">
        <v>688</v>
      </c>
      <c r="Q1755" t="s">
        <v>634</v>
      </c>
      <c r="S1755" t="s">
        <v>688</v>
      </c>
      <c r="U1755" s="8">
        <f t="shared" si="175"/>
        <v>2</v>
      </c>
      <c r="AD1755" t="str">
        <f t="shared" si="174"/>
        <v>e</v>
      </c>
      <c r="AE1755" t="str">
        <f t="shared" si="178"/>
        <v>Possession</v>
      </c>
      <c r="AF1755" t="str">
        <f t="shared" si="176"/>
        <v>PuckRetrieval</v>
      </c>
      <c r="AG1755" t="str">
        <f t="shared" si="177"/>
        <v/>
      </c>
      <c r="AN1755" t="str">
        <f t="shared" si="173"/>
        <v>Offensive</v>
      </c>
    </row>
    <row r="1756" spans="1:40" x14ac:dyDescent="0.2">
      <c r="A1756">
        <v>882</v>
      </c>
      <c r="B1756" t="str">
        <f t="shared" si="172"/>
        <v/>
      </c>
      <c r="E1756" s="5" t="s">
        <v>906</v>
      </c>
      <c r="F1756" s="5" t="s">
        <v>872</v>
      </c>
      <c r="I1756" t="s">
        <v>840</v>
      </c>
      <c r="J1756">
        <v>17</v>
      </c>
      <c r="K1756">
        <v>1</v>
      </c>
      <c r="L1756" t="s">
        <v>839</v>
      </c>
      <c r="M1756" t="s">
        <v>8</v>
      </c>
      <c r="N1756" t="s">
        <v>199</v>
      </c>
      <c r="O1756" t="s">
        <v>71</v>
      </c>
      <c r="P1756" t="s">
        <v>688</v>
      </c>
      <c r="Q1756" t="s">
        <v>669</v>
      </c>
      <c r="S1756" t="s">
        <v>688</v>
      </c>
      <c r="U1756" s="8">
        <f t="shared" si="175"/>
        <v>2</v>
      </c>
      <c r="AD1756" t="str">
        <f t="shared" si="174"/>
        <v>e</v>
      </c>
      <c r="AE1756" t="str">
        <f t="shared" si="178"/>
        <v>Pass</v>
      </c>
      <c r="AF1756" t="str">
        <f t="shared" si="176"/>
        <v>Pass_Missed</v>
      </c>
      <c r="AG1756" t="str">
        <f t="shared" si="177"/>
        <v>Pass-Bank</v>
      </c>
      <c r="AN1756" t="str">
        <f t="shared" si="173"/>
        <v>Offensive</v>
      </c>
    </row>
    <row r="1757" spans="1:40" x14ac:dyDescent="0.2">
      <c r="A1757">
        <v>882</v>
      </c>
      <c r="B1757" t="str">
        <f t="shared" si="172"/>
        <v/>
      </c>
      <c r="J1757">
        <v>26</v>
      </c>
      <c r="K1757">
        <v>1</v>
      </c>
      <c r="U1757" s="8">
        <f t="shared" si="175"/>
        <v>2</v>
      </c>
      <c r="AD1757" t="str">
        <f t="shared" si="174"/>
        <v>e</v>
      </c>
      <c r="AE1757" t="str">
        <f t="shared" si="178"/>
        <v>Pass</v>
      </c>
      <c r="AF1757" t="str">
        <f t="shared" si="176"/>
        <v>Pass_Missed</v>
      </c>
      <c r="AG1757" t="str">
        <f t="shared" si="177"/>
        <v>Pass-Bank</v>
      </c>
      <c r="AN1757" t="str">
        <f t="shared" si="173"/>
        <v>Offensive</v>
      </c>
    </row>
    <row r="1758" spans="1:40" x14ac:dyDescent="0.2">
      <c r="A1758">
        <v>883</v>
      </c>
      <c r="B1758" t="str">
        <f t="shared" si="172"/>
        <v/>
      </c>
      <c r="E1758" s="5" t="s">
        <v>906</v>
      </c>
      <c r="F1758" s="5" t="s">
        <v>895</v>
      </c>
      <c r="I1758" t="s">
        <v>840</v>
      </c>
      <c r="J1758">
        <v>26</v>
      </c>
      <c r="K1758">
        <v>1</v>
      </c>
      <c r="L1758" t="s">
        <v>839</v>
      </c>
      <c r="M1758" t="s">
        <v>15</v>
      </c>
      <c r="N1758" t="s">
        <v>681</v>
      </c>
      <c r="P1758" t="s">
        <v>688</v>
      </c>
      <c r="Q1758" t="s">
        <v>676</v>
      </c>
      <c r="S1758" t="s">
        <v>688</v>
      </c>
      <c r="U1758" s="8">
        <f t="shared" si="175"/>
        <v>2</v>
      </c>
      <c r="AD1758" t="str">
        <f t="shared" si="174"/>
        <v>e</v>
      </c>
      <c r="AE1758" t="str">
        <f t="shared" si="178"/>
        <v>Possession</v>
      </c>
      <c r="AF1758" t="str">
        <f t="shared" si="176"/>
        <v>PuckRecovery</v>
      </c>
      <c r="AG1758" t="str">
        <f t="shared" si="177"/>
        <v/>
      </c>
      <c r="AN1758" t="str">
        <f t="shared" si="173"/>
        <v>Offensive</v>
      </c>
    </row>
    <row r="1759" spans="1:40" x14ac:dyDescent="0.2">
      <c r="A1759">
        <v>884</v>
      </c>
      <c r="B1759">
        <v>151</v>
      </c>
      <c r="E1759" s="5" t="s">
        <v>906</v>
      </c>
      <c r="F1759" s="5" t="s">
        <v>895</v>
      </c>
      <c r="I1759" t="s">
        <v>840</v>
      </c>
      <c r="J1759">
        <v>26</v>
      </c>
      <c r="K1759">
        <v>1</v>
      </c>
      <c r="L1759" t="s">
        <v>839</v>
      </c>
      <c r="M1759" t="s">
        <v>8</v>
      </c>
      <c r="N1759" t="s">
        <v>199</v>
      </c>
      <c r="O1759" t="s">
        <v>70</v>
      </c>
      <c r="P1759" t="s">
        <v>688</v>
      </c>
      <c r="Q1759" t="s">
        <v>669</v>
      </c>
      <c r="S1759" t="s">
        <v>688</v>
      </c>
      <c r="U1759" s="8">
        <f t="shared" si="175"/>
        <v>2</v>
      </c>
      <c r="AD1759" t="str">
        <f t="shared" si="174"/>
        <v>e</v>
      </c>
      <c r="AE1759" t="str">
        <f t="shared" si="178"/>
        <v>Pass</v>
      </c>
      <c r="AF1759" t="str">
        <f t="shared" si="176"/>
        <v>Pass_Missed</v>
      </c>
      <c r="AG1759" t="str">
        <f t="shared" si="177"/>
        <v>Pass-Forehand</v>
      </c>
      <c r="AN1759" t="str">
        <f t="shared" si="173"/>
        <v>Offensive</v>
      </c>
    </row>
    <row r="1760" spans="1:40" x14ac:dyDescent="0.2">
      <c r="A1760">
        <v>884</v>
      </c>
      <c r="B1760">
        <f t="shared" si="172"/>
        <v>151</v>
      </c>
      <c r="J1760">
        <v>8</v>
      </c>
      <c r="K1760">
        <v>1</v>
      </c>
      <c r="U1760" s="8">
        <f t="shared" si="175"/>
        <v>2</v>
      </c>
      <c r="AD1760" t="str">
        <f t="shared" si="174"/>
        <v>e</v>
      </c>
      <c r="AE1760" t="str">
        <f t="shared" si="178"/>
        <v>Pass</v>
      </c>
      <c r="AF1760" t="str">
        <f t="shared" si="176"/>
        <v>Pass_Missed</v>
      </c>
      <c r="AG1760" t="str">
        <f t="shared" si="177"/>
        <v>Pass-Forehand</v>
      </c>
      <c r="AN1760" t="str">
        <f t="shared" si="173"/>
        <v>Offensive</v>
      </c>
    </row>
    <row r="1761" spans="1:40" x14ac:dyDescent="0.2">
      <c r="A1761">
        <v>885</v>
      </c>
      <c r="B1761">
        <v>151</v>
      </c>
      <c r="E1761" s="5" t="s">
        <v>906</v>
      </c>
      <c r="F1761" s="5" t="s">
        <v>895</v>
      </c>
      <c r="I1761" t="s">
        <v>840</v>
      </c>
      <c r="J1761">
        <v>26</v>
      </c>
      <c r="K1761">
        <v>1</v>
      </c>
      <c r="L1761" t="s">
        <v>839</v>
      </c>
      <c r="M1761" t="s">
        <v>257</v>
      </c>
      <c r="N1761" t="s">
        <v>191</v>
      </c>
      <c r="O1761" t="s">
        <v>423</v>
      </c>
      <c r="P1761" t="s">
        <v>688</v>
      </c>
      <c r="Q1761" t="s">
        <v>669</v>
      </c>
      <c r="S1761" t="s">
        <v>688</v>
      </c>
      <c r="U1761" s="8">
        <f t="shared" si="175"/>
        <v>2</v>
      </c>
      <c r="AD1761" t="str">
        <f t="shared" si="174"/>
        <v>e</v>
      </c>
      <c r="AE1761" t="str">
        <f t="shared" si="178"/>
        <v>Zone_Entry_Exit</v>
      </c>
      <c r="AF1761" t="str">
        <f t="shared" si="176"/>
        <v>Zone_Entry</v>
      </c>
      <c r="AG1761" t="str">
        <f t="shared" si="177"/>
        <v>ZoneEntry-PassMiss/Misplay</v>
      </c>
      <c r="AN1761" t="str">
        <f t="shared" si="173"/>
        <v>Offensive</v>
      </c>
    </row>
    <row r="1762" spans="1:40" x14ac:dyDescent="0.2">
      <c r="A1762">
        <v>885</v>
      </c>
      <c r="B1762">
        <f t="shared" si="172"/>
        <v>151</v>
      </c>
      <c r="J1762">
        <v>8</v>
      </c>
      <c r="K1762">
        <v>1</v>
      </c>
      <c r="U1762" s="8">
        <f t="shared" si="175"/>
        <v>2</v>
      </c>
      <c r="AD1762" t="str">
        <f t="shared" si="174"/>
        <v>e</v>
      </c>
      <c r="AE1762" t="str">
        <f t="shared" si="178"/>
        <v>Zone_Entry_Exit</v>
      </c>
      <c r="AF1762" t="str">
        <f t="shared" si="176"/>
        <v>Zone_Entry</v>
      </c>
      <c r="AG1762" t="str">
        <f t="shared" si="177"/>
        <v>ZoneEntry-PassMiss/Misplay</v>
      </c>
      <c r="AN1762" t="str">
        <f t="shared" si="173"/>
        <v>Offensive</v>
      </c>
    </row>
    <row r="1763" spans="1:40" x14ac:dyDescent="0.2">
      <c r="A1763">
        <v>886</v>
      </c>
      <c r="B1763" t="str">
        <f t="shared" si="172"/>
        <v/>
      </c>
      <c r="E1763" s="5" t="s">
        <v>906</v>
      </c>
      <c r="F1763" s="5" t="s">
        <v>875</v>
      </c>
      <c r="G1763" s="5" t="s">
        <v>906</v>
      </c>
      <c r="H1763" s="7" t="s">
        <v>886</v>
      </c>
      <c r="I1763" s="5" t="s">
        <v>840</v>
      </c>
      <c r="J1763">
        <v>8</v>
      </c>
      <c r="K1763">
        <v>1</v>
      </c>
      <c r="L1763" s="5" t="s">
        <v>401</v>
      </c>
      <c r="M1763" t="s">
        <v>15</v>
      </c>
      <c r="N1763" t="s">
        <v>681</v>
      </c>
      <c r="P1763" t="s">
        <v>688</v>
      </c>
      <c r="Q1763" t="s">
        <v>676</v>
      </c>
      <c r="S1763" t="s">
        <v>688</v>
      </c>
      <c r="T1763">
        <v>1</v>
      </c>
      <c r="U1763" s="8">
        <f t="shared" si="175"/>
        <v>2</v>
      </c>
      <c r="AD1763" t="str">
        <f t="shared" si="174"/>
        <v>e</v>
      </c>
      <c r="AE1763" t="str">
        <f t="shared" si="178"/>
        <v>Possession</v>
      </c>
      <c r="AF1763" t="str">
        <f t="shared" si="176"/>
        <v>PuckRecovery</v>
      </c>
      <c r="AG1763" t="str">
        <f t="shared" si="177"/>
        <v/>
      </c>
      <c r="AN1763" t="str">
        <f t="shared" si="173"/>
        <v>Offensive</v>
      </c>
    </row>
    <row r="1764" spans="1:40" x14ac:dyDescent="0.2">
      <c r="A1764">
        <v>886</v>
      </c>
      <c r="B1764" t="str">
        <f t="shared" si="172"/>
        <v/>
      </c>
      <c r="J1764">
        <v>84</v>
      </c>
      <c r="T1764">
        <v>1</v>
      </c>
      <c r="U1764" s="8">
        <f t="shared" si="175"/>
        <v>2</v>
      </c>
      <c r="AD1764" t="str">
        <f t="shared" si="174"/>
        <v>o</v>
      </c>
      <c r="AE1764" t="str">
        <f t="shared" si="178"/>
        <v>Possession</v>
      </c>
      <c r="AF1764" t="str">
        <f t="shared" si="176"/>
        <v>PuckRecovery</v>
      </c>
      <c r="AG1764" t="str">
        <f t="shared" si="177"/>
        <v/>
      </c>
      <c r="AN1764" t="str">
        <f t="shared" si="173"/>
        <v>Defensive</v>
      </c>
    </row>
    <row r="1765" spans="1:40" x14ac:dyDescent="0.2">
      <c r="A1765">
        <v>887</v>
      </c>
      <c r="B1765" t="str">
        <f t="shared" si="172"/>
        <v/>
      </c>
      <c r="E1765" s="5" t="s">
        <v>906</v>
      </c>
      <c r="F1765" s="5" t="s">
        <v>886</v>
      </c>
      <c r="I1765" t="s">
        <v>835</v>
      </c>
      <c r="J1765">
        <v>9</v>
      </c>
      <c r="K1765">
        <v>1</v>
      </c>
      <c r="L1765" t="s">
        <v>845</v>
      </c>
      <c r="M1765" t="s">
        <v>247</v>
      </c>
      <c r="N1765" t="s">
        <v>422</v>
      </c>
      <c r="O1765" t="s">
        <v>465</v>
      </c>
      <c r="P1765" t="s">
        <v>689</v>
      </c>
      <c r="Q1765" t="s">
        <v>158</v>
      </c>
      <c r="S1765" t="s">
        <v>689</v>
      </c>
      <c r="T1765">
        <v>1</v>
      </c>
      <c r="U1765" s="8">
        <f t="shared" si="175"/>
        <v>2</v>
      </c>
      <c r="AD1765" t="str">
        <f t="shared" si="174"/>
        <v>e</v>
      </c>
      <c r="AE1765" t="str">
        <f t="shared" si="178"/>
        <v>Play</v>
      </c>
      <c r="AF1765" t="str">
        <f t="shared" si="176"/>
        <v>Play_Defensive</v>
      </c>
      <c r="AG1765" t="str">
        <f t="shared" si="177"/>
        <v>Play-PokeCheck</v>
      </c>
      <c r="AN1765" t="str">
        <f t="shared" si="173"/>
        <v>Defensive</v>
      </c>
    </row>
    <row r="1766" spans="1:40" x14ac:dyDescent="0.2">
      <c r="A1766">
        <v>887</v>
      </c>
      <c r="B1766" t="str">
        <f t="shared" si="172"/>
        <v/>
      </c>
      <c r="J1766">
        <v>84</v>
      </c>
      <c r="K1766">
        <v>1</v>
      </c>
      <c r="Q1766" t="s">
        <v>658</v>
      </c>
      <c r="T1766">
        <v>1</v>
      </c>
      <c r="U1766" s="8">
        <f t="shared" si="175"/>
        <v>2</v>
      </c>
      <c r="AD1766" t="str">
        <f t="shared" si="174"/>
        <v>e</v>
      </c>
      <c r="AE1766" t="str">
        <f t="shared" si="178"/>
        <v>Play</v>
      </c>
      <c r="AF1766" t="str">
        <f t="shared" si="176"/>
        <v>Play_Defensive</v>
      </c>
      <c r="AG1766" t="str">
        <f t="shared" si="177"/>
        <v>Play-PokeCheck</v>
      </c>
      <c r="AN1766" t="str">
        <f t="shared" si="173"/>
        <v>Defensive</v>
      </c>
    </row>
    <row r="1767" spans="1:40" x14ac:dyDescent="0.2">
      <c r="A1767">
        <v>887</v>
      </c>
      <c r="B1767" t="str">
        <f t="shared" si="172"/>
        <v/>
      </c>
      <c r="J1767">
        <v>8</v>
      </c>
      <c r="Q1767" t="s">
        <v>948</v>
      </c>
      <c r="S1767" t="s">
        <v>688</v>
      </c>
      <c r="T1767">
        <v>1</v>
      </c>
      <c r="U1767" s="8">
        <f t="shared" si="175"/>
        <v>2</v>
      </c>
      <c r="AD1767" t="str">
        <f t="shared" si="174"/>
        <v>o</v>
      </c>
      <c r="AE1767" t="str">
        <f t="shared" si="178"/>
        <v>Play</v>
      </c>
      <c r="AF1767" t="str">
        <f t="shared" si="176"/>
        <v>Play_Defensive</v>
      </c>
      <c r="AG1767" t="str">
        <f t="shared" si="177"/>
        <v>Play-PokeCheck</v>
      </c>
      <c r="AN1767" t="str">
        <f t="shared" si="173"/>
        <v>Offensive</v>
      </c>
    </row>
    <row r="1768" spans="1:40" x14ac:dyDescent="0.2">
      <c r="A1768">
        <v>888</v>
      </c>
      <c r="B1768" t="str">
        <f t="shared" si="172"/>
        <v/>
      </c>
      <c r="E1768" s="5" t="s">
        <v>906</v>
      </c>
      <c r="F1768" s="5" t="s">
        <v>846</v>
      </c>
      <c r="I1768" t="s">
        <v>840</v>
      </c>
      <c r="J1768">
        <v>8</v>
      </c>
      <c r="K1768">
        <v>1</v>
      </c>
      <c r="L1768" t="s">
        <v>401</v>
      </c>
      <c r="M1768" t="s">
        <v>15</v>
      </c>
      <c r="N1768" t="s">
        <v>681</v>
      </c>
      <c r="P1768" t="s">
        <v>688</v>
      </c>
      <c r="Q1768" t="s">
        <v>674</v>
      </c>
      <c r="S1768" t="s">
        <v>688</v>
      </c>
      <c r="T1768">
        <v>1</v>
      </c>
      <c r="U1768" s="8">
        <f t="shared" si="175"/>
        <v>2</v>
      </c>
      <c r="AD1768" t="str">
        <f t="shared" si="174"/>
        <v>e</v>
      </c>
      <c r="AE1768" t="str">
        <f t="shared" si="178"/>
        <v>Possession</v>
      </c>
      <c r="AF1768" t="str">
        <f t="shared" si="176"/>
        <v>PuckRecovery</v>
      </c>
      <c r="AG1768" t="str">
        <f t="shared" si="177"/>
        <v/>
      </c>
      <c r="AN1768" t="str">
        <f t="shared" si="173"/>
        <v>Offensive</v>
      </c>
    </row>
    <row r="1769" spans="1:40" x14ac:dyDescent="0.2">
      <c r="A1769">
        <v>888</v>
      </c>
      <c r="B1769" t="str">
        <f t="shared" si="172"/>
        <v/>
      </c>
      <c r="J1769">
        <v>9</v>
      </c>
      <c r="T1769">
        <v>1</v>
      </c>
      <c r="U1769" s="8">
        <f t="shared" si="175"/>
        <v>2</v>
      </c>
      <c r="AD1769" t="str">
        <f t="shared" si="174"/>
        <v>o</v>
      </c>
      <c r="AE1769" t="str">
        <f t="shared" si="178"/>
        <v>Possession</v>
      </c>
      <c r="AF1769" t="str">
        <f t="shared" si="176"/>
        <v>PuckRecovery</v>
      </c>
      <c r="AG1769" t="str">
        <f t="shared" si="177"/>
        <v/>
      </c>
      <c r="AN1769" t="str">
        <f t="shared" si="173"/>
        <v>Defensive</v>
      </c>
    </row>
    <row r="1770" spans="1:40" x14ac:dyDescent="0.2">
      <c r="A1770">
        <v>888</v>
      </c>
      <c r="B1770" t="str">
        <f t="shared" si="172"/>
        <v/>
      </c>
      <c r="J1770">
        <v>75</v>
      </c>
      <c r="T1770">
        <v>1</v>
      </c>
      <c r="U1770" s="8">
        <f t="shared" si="175"/>
        <v>2</v>
      </c>
      <c r="AD1770" t="str">
        <f t="shared" si="174"/>
        <v>o</v>
      </c>
      <c r="AE1770" t="str">
        <f t="shared" si="178"/>
        <v>Possession</v>
      </c>
      <c r="AF1770" t="str">
        <f t="shared" si="176"/>
        <v>PuckRecovery</v>
      </c>
      <c r="AG1770" t="str">
        <f t="shared" si="177"/>
        <v/>
      </c>
      <c r="AN1770" t="str">
        <f t="shared" si="173"/>
        <v>Defensive</v>
      </c>
    </row>
    <row r="1771" spans="1:40" x14ac:dyDescent="0.2">
      <c r="A1771">
        <v>889</v>
      </c>
      <c r="B1771" t="str">
        <f t="shared" si="172"/>
        <v/>
      </c>
      <c r="E1771" s="5" t="s">
        <v>906</v>
      </c>
      <c r="F1771" s="5" t="s">
        <v>888</v>
      </c>
      <c r="I1771" t="s">
        <v>840</v>
      </c>
      <c r="J1771">
        <v>8</v>
      </c>
      <c r="K1771">
        <v>1</v>
      </c>
      <c r="L1771" t="s">
        <v>401</v>
      </c>
      <c r="M1771" t="s">
        <v>8</v>
      </c>
      <c r="N1771" t="s">
        <v>189</v>
      </c>
      <c r="O1771" t="s">
        <v>68</v>
      </c>
      <c r="P1771" t="s">
        <v>689</v>
      </c>
      <c r="Q1771" t="s">
        <v>669</v>
      </c>
      <c r="R1771" t="s">
        <v>627</v>
      </c>
      <c r="S1771" t="s">
        <v>689</v>
      </c>
      <c r="T1771">
        <v>1</v>
      </c>
      <c r="U1771" s="8">
        <f t="shared" si="175"/>
        <v>2</v>
      </c>
      <c r="AD1771" t="str">
        <f t="shared" si="174"/>
        <v>e</v>
      </c>
      <c r="AE1771" t="str">
        <f t="shared" si="178"/>
        <v>Pass</v>
      </c>
      <c r="AF1771" t="str">
        <f t="shared" si="176"/>
        <v>Pass_Completed</v>
      </c>
      <c r="AG1771" t="str">
        <f t="shared" si="177"/>
        <v>Pass-Rim/Wrap</v>
      </c>
      <c r="AN1771" t="str">
        <f t="shared" si="173"/>
        <v>Offensive</v>
      </c>
    </row>
    <row r="1772" spans="1:40" x14ac:dyDescent="0.2">
      <c r="A1772">
        <v>889</v>
      </c>
      <c r="B1772" t="str">
        <f t="shared" si="172"/>
        <v/>
      </c>
      <c r="J1772">
        <v>17</v>
      </c>
      <c r="K1772">
        <v>1</v>
      </c>
      <c r="U1772" s="8">
        <f t="shared" si="175"/>
        <v>2</v>
      </c>
      <c r="AD1772" t="str">
        <f t="shared" si="174"/>
        <v>e</v>
      </c>
      <c r="AE1772" t="str">
        <f t="shared" si="178"/>
        <v>Pass</v>
      </c>
      <c r="AF1772" t="str">
        <f t="shared" si="176"/>
        <v>Pass_Completed</v>
      </c>
      <c r="AG1772" t="str">
        <f t="shared" si="177"/>
        <v>Pass-Rim/Wrap</v>
      </c>
      <c r="AN1772" t="str">
        <f t="shared" si="173"/>
        <v>Offensive</v>
      </c>
    </row>
    <row r="1773" spans="1:40" x14ac:dyDescent="0.2">
      <c r="A1773">
        <v>889</v>
      </c>
      <c r="B1773" t="str">
        <f t="shared" si="172"/>
        <v/>
      </c>
      <c r="J1773">
        <v>9</v>
      </c>
      <c r="T1773">
        <v>1</v>
      </c>
      <c r="U1773" s="8">
        <f t="shared" si="175"/>
        <v>2</v>
      </c>
      <c r="AD1773" t="str">
        <f t="shared" si="174"/>
        <v>o</v>
      </c>
      <c r="AE1773" t="str">
        <f t="shared" si="178"/>
        <v>Pass</v>
      </c>
      <c r="AF1773" t="str">
        <f t="shared" si="176"/>
        <v>Pass_Completed</v>
      </c>
      <c r="AG1773" t="str">
        <f t="shared" si="177"/>
        <v>Pass-Rim/Wrap</v>
      </c>
      <c r="AN1773" t="str">
        <f t="shared" si="173"/>
        <v>Defensive</v>
      </c>
    </row>
    <row r="1774" spans="1:40" x14ac:dyDescent="0.2">
      <c r="A1774">
        <v>890</v>
      </c>
      <c r="B1774" t="str">
        <f t="shared" si="172"/>
        <v/>
      </c>
      <c r="E1774" s="5" t="s">
        <v>906</v>
      </c>
      <c r="F1774" s="5" t="s">
        <v>888</v>
      </c>
      <c r="I1774" t="s">
        <v>840</v>
      </c>
      <c r="J1774">
        <v>17</v>
      </c>
      <c r="K1774">
        <v>1</v>
      </c>
      <c r="L1774" t="s">
        <v>401</v>
      </c>
      <c r="M1774" t="s">
        <v>10</v>
      </c>
      <c r="N1774" t="s">
        <v>190</v>
      </c>
      <c r="O1774" t="s">
        <v>424</v>
      </c>
      <c r="P1774" t="s">
        <v>688</v>
      </c>
      <c r="Q1774" t="s">
        <v>669</v>
      </c>
      <c r="R1774" t="s">
        <v>627</v>
      </c>
      <c r="S1774" t="s">
        <v>688</v>
      </c>
      <c r="T1774">
        <v>1</v>
      </c>
      <c r="U1774" s="8">
        <f t="shared" si="175"/>
        <v>2</v>
      </c>
      <c r="AD1774" t="str">
        <f t="shared" si="174"/>
        <v>e</v>
      </c>
      <c r="AE1774" t="str">
        <f t="shared" si="178"/>
        <v>Turnover</v>
      </c>
      <c r="AF1774" t="str">
        <f t="shared" si="176"/>
        <v>Turnover_Giveaway</v>
      </c>
      <c r="AG1774" t="str">
        <f t="shared" si="177"/>
        <v>Giveaway-DumpInZone</v>
      </c>
      <c r="AN1774" t="str">
        <f t="shared" si="173"/>
        <v>Offensive</v>
      </c>
    </row>
    <row r="1775" spans="1:40" x14ac:dyDescent="0.2">
      <c r="A1775">
        <v>890</v>
      </c>
      <c r="B1775" t="str">
        <f t="shared" si="172"/>
        <v/>
      </c>
      <c r="J1775">
        <v>87</v>
      </c>
      <c r="Q1775" t="s">
        <v>658</v>
      </c>
      <c r="T1775">
        <v>1</v>
      </c>
      <c r="U1775" s="8">
        <f t="shared" si="175"/>
        <v>2</v>
      </c>
      <c r="AD1775" t="str">
        <f t="shared" si="174"/>
        <v>o</v>
      </c>
      <c r="AE1775" t="str">
        <f t="shared" si="178"/>
        <v>Turnover</v>
      </c>
      <c r="AF1775" t="str">
        <f t="shared" si="176"/>
        <v>Turnover_Giveaway</v>
      </c>
      <c r="AG1775" t="str">
        <f t="shared" si="177"/>
        <v>Giveaway-DumpInZone</v>
      </c>
      <c r="AN1775" t="str">
        <f t="shared" si="173"/>
        <v>Defensive</v>
      </c>
    </row>
    <row r="1776" spans="1:40" x14ac:dyDescent="0.2">
      <c r="A1776">
        <v>891</v>
      </c>
      <c r="B1776" t="str">
        <f t="shared" ref="B1776:B1839" si="179">IF(A1776=A1775,B1775,"")</f>
        <v/>
      </c>
      <c r="E1776" s="5" t="s">
        <v>906</v>
      </c>
      <c r="F1776" s="5" t="s">
        <v>889</v>
      </c>
      <c r="I1776" t="s">
        <v>835</v>
      </c>
      <c r="J1776">
        <v>84</v>
      </c>
      <c r="K1776">
        <v>1</v>
      </c>
      <c r="L1776" t="s">
        <v>845</v>
      </c>
      <c r="M1776" t="s">
        <v>15</v>
      </c>
      <c r="N1776" t="s">
        <v>680</v>
      </c>
      <c r="P1776" t="s">
        <v>689</v>
      </c>
      <c r="Q1776" t="s">
        <v>631</v>
      </c>
      <c r="S1776" t="s">
        <v>689</v>
      </c>
      <c r="U1776" s="8">
        <f t="shared" si="175"/>
        <v>2</v>
      </c>
      <c r="AD1776" t="str">
        <f t="shared" si="174"/>
        <v>e</v>
      </c>
      <c r="AE1776" t="str">
        <f t="shared" si="178"/>
        <v>Possession</v>
      </c>
      <c r="AF1776" t="str">
        <f t="shared" si="176"/>
        <v>PuckRetrieval</v>
      </c>
      <c r="AG1776" t="str">
        <f t="shared" si="177"/>
        <v/>
      </c>
      <c r="AN1776" t="str">
        <f t="shared" si="173"/>
        <v>Offensive</v>
      </c>
    </row>
    <row r="1777" spans="1:40" x14ac:dyDescent="0.2">
      <c r="A1777">
        <v>892</v>
      </c>
      <c r="B1777" t="str">
        <f t="shared" si="179"/>
        <v/>
      </c>
      <c r="E1777" s="5" t="s">
        <v>906</v>
      </c>
      <c r="F1777" s="5" t="s">
        <v>889</v>
      </c>
      <c r="G1777" s="5" t="s">
        <v>906</v>
      </c>
      <c r="H1777" s="7" t="s">
        <v>848</v>
      </c>
      <c r="I1777" s="5" t="s">
        <v>835</v>
      </c>
      <c r="J1777">
        <v>84</v>
      </c>
      <c r="K1777">
        <v>1</v>
      </c>
      <c r="L1777" s="5" t="s">
        <v>845</v>
      </c>
      <c r="M1777" t="s">
        <v>257</v>
      </c>
      <c r="N1777" t="s">
        <v>201</v>
      </c>
      <c r="O1777" t="s">
        <v>90</v>
      </c>
      <c r="P1777" t="s">
        <v>689</v>
      </c>
      <c r="U1777" s="8">
        <f t="shared" si="175"/>
        <v>2</v>
      </c>
      <c r="AD1777" t="str">
        <f t="shared" si="174"/>
        <v>e</v>
      </c>
      <c r="AE1777" t="str">
        <f t="shared" si="178"/>
        <v>Zone_Entry_Exit</v>
      </c>
      <c r="AF1777" t="str">
        <f t="shared" si="176"/>
        <v>Zone_Exit</v>
      </c>
      <c r="AG1777" t="str">
        <f t="shared" si="177"/>
        <v>ZoneExit-Rush</v>
      </c>
      <c r="AN1777" t="str">
        <f t="shared" si="173"/>
        <v>Offensive</v>
      </c>
    </row>
    <row r="1778" spans="1:40" x14ac:dyDescent="0.2">
      <c r="A1778">
        <v>893</v>
      </c>
      <c r="B1778">
        <v>152</v>
      </c>
      <c r="E1778" s="5" t="s">
        <v>906</v>
      </c>
      <c r="F1778" s="5" t="s">
        <v>878</v>
      </c>
      <c r="I1778" t="s">
        <v>835</v>
      </c>
      <c r="J1778">
        <v>84</v>
      </c>
      <c r="K1778">
        <v>1</v>
      </c>
      <c r="L1778" t="s">
        <v>845</v>
      </c>
      <c r="M1778" t="s">
        <v>8</v>
      </c>
      <c r="N1778" t="s">
        <v>189</v>
      </c>
      <c r="O1778" t="s">
        <v>70</v>
      </c>
      <c r="P1778" t="s">
        <v>689</v>
      </c>
      <c r="Q1778" t="s">
        <v>628</v>
      </c>
      <c r="U1778" s="8">
        <f t="shared" si="175"/>
        <v>2</v>
      </c>
      <c r="AD1778" t="str">
        <f t="shared" si="174"/>
        <v>e</v>
      </c>
      <c r="AE1778" t="str">
        <f t="shared" si="178"/>
        <v>Pass</v>
      </c>
      <c r="AF1778" t="str">
        <f t="shared" si="176"/>
        <v>Pass_Completed</v>
      </c>
      <c r="AG1778" t="str">
        <f t="shared" si="177"/>
        <v>Pass-Forehand</v>
      </c>
      <c r="AN1778" t="str">
        <f t="shared" si="173"/>
        <v>Offensive</v>
      </c>
    </row>
    <row r="1779" spans="1:40" x14ac:dyDescent="0.2">
      <c r="A1779">
        <v>893</v>
      </c>
      <c r="B1779">
        <f t="shared" si="179"/>
        <v>152</v>
      </c>
      <c r="J1779">
        <v>87</v>
      </c>
      <c r="K1779">
        <v>1</v>
      </c>
      <c r="U1779" s="8">
        <f t="shared" si="175"/>
        <v>2</v>
      </c>
      <c r="AD1779" t="str">
        <f t="shared" si="174"/>
        <v>e</v>
      </c>
      <c r="AE1779" t="str">
        <f t="shared" si="178"/>
        <v>Pass</v>
      </c>
      <c r="AF1779" t="str">
        <f t="shared" si="176"/>
        <v>Pass_Completed</v>
      </c>
      <c r="AG1779" t="str">
        <f t="shared" si="177"/>
        <v>Pass-Forehand</v>
      </c>
      <c r="AN1779" t="str">
        <f t="shared" si="173"/>
        <v>Offensive</v>
      </c>
    </row>
    <row r="1780" spans="1:40" x14ac:dyDescent="0.2">
      <c r="A1780">
        <v>894</v>
      </c>
      <c r="B1780">
        <v>152</v>
      </c>
      <c r="E1780" s="5" t="s">
        <v>906</v>
      </c>
      <c r="F1780" s="5" t="s">
        <v>878</v>
      </c>
      <c r="I1780" t="s">
        <v>835</v>
      </c>
      <c r="J1780">
        <v>84</v>
      </c>
      <c r="K1780">
        <v>1</v>
      </c>
      <c r="L1780" t="s">
        <v>845</v>
      </c>
      <c r="M1780" t="s">
        <v>257</v>
      </c>
      <c r="N1780" t="s">
        <v>191</v>
      </c>
      <c r="O1780" t="s">
        <v>423</v>
      </c>
      <c r="P1780" t="s">
        <v>689</v>
      </c>
      <c r="U1780" s="8">
        <f t="shared" si="175"/>
        <v>2</v>
      </c>
      <c r="AD1780" t="str">
        <f t="shared" si="174"/>
        <v>e</v>
      </c>
      <c r="AE1780" t="str">
        <f t="shared" si="178"/>
        <v>Zone_Entry_Exit</v>
      </c>
      <c r="AF1780" t="str">
        <f t="shared" si="176"/>
        <v>Zone_Entry</v>
      </c>
      <c r="AG1780" t="str">
        <f t="shared" si="177"/>
        <v>ZoneEntry-PassMiss/Misplay</v>
      </c>
      <c r="AN1780" t="str">
        <f t="shared" si="173"/>
        <v>Offensive</v>
      </c>
    </row>
    <row r="1781" spans="1:40" x14ac:dyDescent="0.2">
      <c r="A1781">
        <v>894</v>
      </c>
      <c r="B1781">
        <f t="shared" si="179"/>
        <v>152</v>
      </c>
      <c r="J1781">
        <v>87</v>
      </c>
      <c r="K1781">
        <v>1</v>
      </c>
      <c r="U1781" s="8">
        <f t="shared" si="175"/>
        <v>2</v>
      </c>
      <c r="AD1781" t="str">
        <f t="shared" si="174"/>
        <v>e</v>
      </c>
      <c r="AE1781" t="str">
        <f t="shared" si="178"/>
        <v>Zone_Entry_Exit</v>
      </c>
      <c r="AF1781" t="str">
        <f t="shared" si="176"/>
        <v>Zone_Entry</v>
      </c>
      <c r="AG1781" t="str">
        <f t="shared" si="177"/>
        <v>ZoneEntry-PassMiss/Misplay</v>
      </c>
      <c r="AN1781" t="str">
        <f t="shared" si="173"/>
        <v>Offensive</v>
      </c>
    </row>
    <row r="1782" spans="1:40" x14ac:dyDescent="0.2">
      <c r="A1782">
        <v>895</v>
      </c>
      <c r="B1782" t="str">
        <f t="shared" si="179"/>
        <v/>
      </c>
      <c r="E1782" s="5" t="s">
        <v>906</v>
      </c>
      <c r="F1782" s="5" t="s">
        <v>897</v>
      </c>
      <c r="G1782" s="5" t="s">
        <v>906</v>
      </c>
      <c r="H1782" s="7" t="s">
        <v>880</v>
      </c>
      <c r="I1782" t="s">
        <v>835</v>
      </c>
      <c r="J1782">
        <v>70</v>
      </c>
      <c r="K1782">
        <v>1</v>
      </c>
      <c r="L1782" t="s">
        <v>401</v>
      </c>
      <c r="M1782" t="s">
        <v>15</v>
      </c>
      <c r="N1782" t="s">
        <v>451</v>
      </c>
      <c r="Q1782" t="s">
        <v>145</v>
      </c>
      <c r="U1782" s="8">
        <f t="shared" si="175"/>
        <v>2</v>
      </c>
      <c r="AD1782" t="str">
        <f t="shared" si="174"/>
        <v>e</v>
      </c>
      <c r="AE1782" t="str">
        <f t="shared" si="178"/>
        <v>Possession</v>
      </c>
      <c r="AF1782" t="str">
        <f t="shared" si="176"/>
        <v>Breakaway</v>
      </c>
      <c r="AG1782" t="str">
        <f t="shared" si="177"/>
        <v/>
      </c>
      <c r="AN1782" t="str">
        <f t="shared" si="173"/>
        <v>Offensive</v>
      </c>
    </row>
    <row r="1783" spans="1:40" x14ac:dyDescent="0.2">
      <c r="A1783">
        <v>896</v>
      </c>
      <c r="B1783">
        <v>153</v>
      </c>
      <c r="E1783" s="5" t="s">
        <v>906</v>
      </c>
      <c r="F1783" s="5" t="s">
        <v>880</v>
      </c>
      <c r="I1783" t="s">
        <v>835</v>
      </c>
      <c r="J1783">
        <v>70</v>
      </c>
      <c r="K1783">
        <v>1</v>
      </c>
      <c r="L1783" t="s">
        <v>401</v>
      </c>
      <c r="M1783" t="s">
        <v>7</v>
      </c>
      <c r="N1783" t="s">
        <v>261</v>
      </c>
      <c r="Q1783" t="s">
        <v>152</v>
      </c>
      <c r="S1783" t="s">
        <v>689</v>
      </c>
      <c r="U1783" s="8">
        <f t="shared" si="175"/>
        <v>2</v>
      </c>
      <c r="AD1783" t="str">
        <f t="shared" si="174"/>
        <v>e</v>
      </c>
      <c r="AE1783" t="str">
        <f t="shared" si="178"/>
        <v>Shot</v>
      </c>
      <c r="AF1783" t="str">
        <f t="shared" si="176"/>
        <v>Shot_Goal</v>
      </c>
      <c r="AG1783" t="str">
        <f t="shared" si="177"/>
        <v/>
      </c>
      <c r="AN1783" t="str">
        <f t="shared" si="173"/>
        <v>Offensive</v>
      </c>
    </row>
    <row r="1784" spans="1:40" x14ac:dyDescent="0.2">
      <c r="A1784">
        <v>896</v>
      </c>
      <c r="B1784">
        <f t="shared" si="179"/>
        <v>153</v>
      </c>
      <c r="J1784">
        <v>38</v>
      </c>
      <c r="Q1784" t="s">
        <v>166</v>
      </c>
      <c r="U1784" s="8">
        <f t="shared" si="175"/>
        <v>2</v>
      </c>
      <c r="AD1784" t="str">
        <f t="shared" si="174"/>
        <v>o</v>
      </c>
      <c r="AE1784" t="str">
        <f t="shared" si="178"/>
        <v>Shot</v>
      </c>
      <c r="AF1784" t="str">
        <f t="shared" si="176"/>
        <v>Shot_Goal</v>
      </c>
      <c r="AG1784" t="str">
        <f t="shared" si="177"/>
        <v/>
      </c>
      <c r="AN1784" t="str">
        <f t="shared" si="173"/>
        <v>Defensive</v>
      </c>
    </row>
    <row r="1785" spans="1:40" x14ac:dyDescent="0.2">
      <c r="A1785">
        <v>896</v>
      </c>
      <c r="B1785">
        <f t="shared" si="179"/>
        <v>153</v>
      </c>
      <c r="J1785">
        <v>94</v>
      </c>
      <c r="Q1785" t="s">
        <v>161</v>
      </c>
      <c r="R1785" t="s">
        <v>164</v>
      </c>
      <c r="U1785" s="8">
        <f t="shared" si="175"/>
        <v>2</v>
      </c>
      <c r="AD1785" t="str">
        <f t="shared" si="174"/>
        <v>o</v>
      </c>
      <c r="AE1785" t="str">
        <f t="shared" si="178"/>
        <v>Shot</v>
      </c>
      <c r="AF1785" t="str">
        <f t="shared" si="176"/>
        <v>Shot_Goal</v>
      </c>
      <c r="AG1785" t="str">
        <f t="shared" si="177"/>
        <v/>
      </c>
      <c r="AN1785" t="str">
        <f t="shared" ref="AN1785:AN1848" si="180">IF(AND(AD1785="e",OR(AE1785="Save",AF1785="Turnover_Takeaway",AF1785="Play_Defensive")),"Defensive",IF(AND(AD1785="o",OR(AE1785="Save",AF1785="Turnover_Takeaway",AF1785="Play_Defensive")),"Offensive",IF(OR(AE1785="Deadice",AE1785="Stoppage",AE1785="Intermission"),"",IF(AD1785="e","Offensive",IF(AD1785="o","Defensive","")))))</f>
        <v>Defensive</v>
      </c>
    </row>
    <row r="1786" spans="1:40" x14ac:dyDescent="0.2">
      <c r="A1786">
        <v>896</v>
      </c>
      <c r="B1786">
        <f t="shared" si="179"/>
        <v>153</v>
      </c>
      <c r="J1786">
        <v>17</v>
      </c>
      <c r="Q1786" t="s">
        <v>161</v>
      </c>
      <c r="R1786" t="s">
        <v>658</v>
      </c>
      <c r="U1786" s="8">
        <f t="shared" si="175"/>
        <v>2</v>
      </c>
      <c r="AD1786" t="str">
        <f t="shared" si="174"/>
        <v>o</v>
      </c>
      <c r="AE1786" t="str">
        <f t="shared" si="178"/>
        <v>Shot</v>
      </c>
      <c r="AF1786" t="str">
        <f t="shared" si="176"/>
        <v>Shot_Goal</v>
      </c>
      <c r="AG1786" t="str">
        <f t="shared" si="177"/>
        <v/>
      </c>
      <c r="AN1786" t="str">
        <f t="shared" si="180"/>
        <v>Defensive</v>
      </c>
    </row>
    <row r="1787" spans="1:40" x14ac:dyDescent="0.2">
      <c r="A1787">
        <v>897</v>
      </c>
      <c r="B1787">
        <v>153</v>
      </c>
      <c r="E1787" s="5" t="s">
        <v>906</v>
      </c>
      <c r="F1787" s="5" t="s">
        <v>880</v>
      </c>
      <c r="I1787" t="s">
        <v>835</v>
      </c>
      <c r="J1787">
        <v>70</v>
      </c>
      <c r="K1787">
        <v>1</v>
      </c>
      <c r="L1787" t="s">
        <v>401</v>
      </c>
      <c r="M1787" t="s">
        <v>9</v>
      </c>
      <c r="N1787" t="s">
        <v>230</v>
      </c>
      <c r="O1787" t="s">
        <v>235</v>
      </c>
      <c r="Q1787" t="s">
        <v>152</v>
      </c>
      <c r="S1787" t="s">
        <v>689</v>
      </c>
      <c r="U1787" s="8">
        <f t="shared" si="175"/>
        <v>2</v>
      </c>
      <c r="AD1787" t="str">
        <f t="shared" si="174"/>
        <v>e</v>
      </c>
      <c r="AE1787" t="str">
        <f t="shared" si="178"/>
        <v>Goal</v>
      </c>
      <c r="AF1787" t="str">
        <f t="shared" si="176"/>
        <v>Goal_Scored</v>
      </c>
      <c r="AG1787" t="str">
        <f t="shared" si="177"/>
        <v>Goal-Backhand</v>
      </c>
      <c r="AN1787" t="str">
        <f t="shared" si="180"/>
        <v>Offensive</v>
      </c>
    </row>
    <row r="1788" spans="1:40" x14ac:dyDescent="0.2">
      <c r="A1788">
        <v>897</v>
      </c>
      <c r="B1788">
        <f t="shared" si="179"/>
        <v>153</v>
      </c>
      <c r="J1788">
        <v>38</v>
      </c>
      <c r="Q1788" t="s">
        <v>166</v>
      </c>
      <c r="S1788" t="s">
        <v>688</v>
      </c>
      <c r="U1788" s="8">
        <f t="shared" si="175"/>
        <v>2</v>
      </c>
      <c r="AD1788" t="str">
        <f t="shared" si="174"/>
        <v>o</v>
      </c>
      <c r="AE1788" t="str">
        <f t="shared" si="178"/>
        <v>Goal</v>
      </c>
      <c r="AF1788" t="str">
        <f t="shared" si="176"/>
        <v>Goal_Scored</v>
      </c>
      <c r="AG1788" t="str">
        <f t="shared" si="177"/>
        <v>Goal-Backhand</v>
      </c>
      <c r="AN1788" t="str">
        <f t="shared" si="180"/>
        <v>Defensive</v>
      </c>
    </row>
    <row r="1789" spans="1:40" x14ac:dyDescent="0.2">
      <c r="A1789">
        <v>898</v>
      </c>
      <c r="B1789">
        <v>153</v>
      </c>
      <c r="E1789" s="5" t="s">
        <v>906</v>
      </c>
      <c r="F1789" s="5" t="s">
        <v>880</v>
      </c>
      <c r="I1789" t="s">
        <v>835</v>
      </c>
      <c r="J1789">
        <v>70</v>
      </c>
      <c r="K1789">
        <v>1</v>
      </c>
      <c r="L1789" t="s">
        <v>401</v>
      </c>
      <c r="M1789" t="s">
        <v>13</v>
      </c>
      <c r="N1789" t="s">
        <v>204</v>
      </c>
      <c r="O1789" t="s">
        <v>42</v>
      </c>
      <c r="U1789" s="8">
        <f t="shared" si="175"/>
        <v>2</v>
      </c>
      <c r="AD1789" t="str">
        <f t="shared" si="174"/>
        <v>e</v>
      </c>
      <c r="AE1789" t="str">
        <f t="shared" si="178"/>
        <v>Stoppage</v>
      </c>
      <c r="AF1789" t="str">
        <f t="shared" si="176"/>
        <v>Stoppage_Play</v>
      </c>
      <c r="AG1789" t="str">
        <f t="shared" si="177"/>
        <v>Stoppage-Goal</v>
      </c>
      <c r="AN1789" t="str">
        <f t="shared" si="180"/>
        <v/>
      </c>
    </row>
    <row r="1790" spans="1:40" x14ac:dyDescent="0.2">
      <c r="A1790">
        <v>899</v>
      </c>
      <c r="B1790">
        <v>153</v>
      </c>
      <c r="E1790" s="5" t="s">
        <v>906</v>
      </c>
      <c r="F1790" s="5" t="s">
        <v>880</v>
      </c>
      <c r="G1790" s="5" t="s">
        <v>906</v>
      </c>
      <c r="H1790" s="7" t="s">
        <v>866</v>
      </c>
      <c r="I1790" t="s">
        <v>835</v>
      </c>
      <c r="J1790">
        <v>70</v>
      </c>
      <c r="K1790">
        <v>1</v>
      </c>
      <c r="L1790" t="s">
        <v>401</v>
      </c>
      <c r="M1790" t="s">
        <v>262</v>
      </c>
      <c r="U1790" s="8">
        <f t="shared" si="175"/>
        <v>2</v>
      </c>
      <c r="AD1790" t="str">
        <f t="shared" si="174"/>
        <v>e</v>
      </c>
      <c r="AE1790" t="str">
        <f t="shared" si="178"/>
        <v>DeadIce</v>
      </c>
      <c r="AF1790" t="str">
        <f t="shared" si="176"/>
        <v/>
      </c>
      <c r="AG1790" t="str">
        <f t="shared" si="177"/>
        <v/>
      </c>
      <c r="AN1790" t="str">
        <f t="shared" si="180"/>
        <v/>
      </c>
    </row>
    <row r="1791" spans="1:40" x14ac:dyDescent="0.2">
      <c r="A1791">
        <v>900</v>
      </c>
      <c r="B1791" t="str">
        <f t="shared" si="179"/>
        <v/>
      </c>
      <c r="E1791" s="5" t="s">
        <v>906</v>
      </c>
      <c r="F1791" s="5" t="s">
        <v>866</v>
      </c>
      <c r="I1791" t="s">
        <v>835</v>
      </c>
      <c r="J1791">
        <v>42</v>
      </c>
      <c r="K1791">
        <v>1</v>
      </c>
      <c r="L1791" t="s">
        <v>839</v>
      </c>
      <c r="M1791" t="s">
        <v>6</v>
      </c>
      <c r="N1791" t="s">
        <v>207</v>
      </c>
      <c r="U1791" s="8">
        <f t="shared" si="175"/>
        <v>2</v>
      </c>
      <c r="AD1791" t="str">
        <f t="shared" si="174"/>
        <v>e</v>
      </c>
      <c r="AE1791" t="str">
        <f t="shared" si="178"/>
        <v>Faceoff</v>
      </c>
      <c r="AF1791" t="str">
        <f t="shared" si="176"/>
        <v>Faceoff_AfterGoal</v>
      </c>
      <c r="AG1791" t="str">
        <f t="shared" si="177"/>
        <v/>
      </c>
      <c r="AN1791" t="str">
        <f t="shared" si="180"/>
        <v>Offensive</v>
      </c>
    </row>
    <row r="1792" spans="1:40" x14ac:dyDescent="0.2">
      <c r="A1792">
        <v>900</v>
      </c>
      <c r="B1792" t="str">
        <f t="shared" si="179"/>
        <v/>
      </c>
      <c r="J1792">
        <v>52</v>
      </c>
      <c r="K1792">
        <v>1</v>
      </c>
      <c r="U1792" s="8">
        <f t="shared" si="175"/>
        <v>2</v>
      </c>
      <c r="AD1792" t="str">
        <f t="shared" si="174"/>
        <v>e</v>
      </c>
      <c r="AE1792" t="str">
        <f t="shared" si="178"/>
        <v>Faceoff</v>
      </c>
      <c r="AF1792" t="str">
        <f t="shared" si="176"/>
        <v>Faceoff_AfterGoal</v>
      </c>
      <c r="AG1792" t="str">
        <f t="shared" si="177"/>
        <v/>
      </c>
      <c r="AN1792" t="str">
        <f t="shared" si="180"/>
        <v>Offensive</v>
      </c>
    </row>
    <row r="1793" spans="1:40" x14ac:dyDescent="0.2">
      <c r="A1793">
        <v>900</v>
      </c>
      <c r="B1793" t="str">
        <f t="shared" si="179"/>
        <v/>
      </c>
      <c r="J1793">
        <v>8</v>
      </c>
      <c r="U1793" s="8">
        <f t="shared" si="175"/>
        <v>2</v>
      </c>
      <c r="AD1793" t="str">
        <f t="shared" si="174"/>
        <v>o</v>
      </c>
      <c r="AE1793" t="str">
        <f t="shared" si="178"/>
        <v>Faceoff</v>
      </c>
      <c r="AF1793" t="str">
        <f t="shared" si="176"/>
        <v>Faceoff_AfterGoal</v>
      </c>
      <c r="AG1793" t="str">
        <f t="shared" si="177"/>
        <v/>
      </c>
      <c r="AN1793" t="str">
        <f t="shared" si="180"/>
        <v>Defensive</v>
      </c>
    </row>
    <row r="1794" spans="1:40" x14ac:dyDescent="0.2">
      <c r="A1794">
        <v>901</v>
      </c>
      <c r="B1794" t="str">
        <f t="shared" si="179"/>
        <v/>
      </c>
      <c r="E1794" s="5" t="s">
        <v>906</v>
      </c>
      <c r="F1794" s="5" t="s">
        <v>899</v>
      </c>
      <c r="G1794" s="5" t="s">
        <v>906</v>
      </c>
      <c r="H1794" s="7" t="s">
        <v>867</v>
      </c>
      <c r="I1794" s="5" t="s">
        <v>835</v>
      </c>
      <c r="J1794">
        <v>52</v>
      </c>
      <c r="K1794">
        <v>1</v>
      </c>
      <c r="L1794" s="5" t="s">
        <v>839</v>
      </c>
      <c r="M1794" t="s">
        <v>15</v>
      </c>
      <c r="T1794">
        <v>1</v>
      </c>
      <c r="U1794" s="8">
        <f t="shared" si="175"/>
        <v>2</v>
      </c>
      <c r="AD1794" t="str">
        <f t="shared" ref="AD1794:AD1857" si="181">IF(K1794="x","",IF(K1794=1,"e","o"))</f>
        <v>e</v>
      </c>
      <c r="AE1794" t="str">
        <f t="shared" si="178"/>
        <v>Possession</v>
      </c>
      <c r="AF1794" t="str">
        <f t="shared" si="176"/>
        <v/>
      </c>
      <c r="AG1794" t="str">
        <f t="shared" si="177"/>
        <v/>
      </c>
      <c r="AN1794" t="str">
        <f t="shared" si="180"/>
        <v>Offensive</v>
      </c>
    </row>
    <row r="1795" spans="1:40" x14ac:dyDescent="0.2">
      <c r="A1795">
        <v>901</v>
      </c>
      <c r="B1795" t="str">
        <f t="shared" si="179"/>
        <v/>
      </c>
      <c r="J1795">
        <v>19</v>
      </c>
      <c r="T1795">
        <v>1</v>
      </c>
      <c r="U1795" s="8">
        <f t="shared" ref="U1795:U1858" si="182">IF(M1795="Intermission",U1794+1,U1794)</f>
        <v>2</v>
      </c>
      <c r="AD1795" t="str">
        <f t="shared" si="181"/>
        <v>o</v>
      </c>
      <c r="AE1795" t="str">
        <f t="shared" si="178"/>
        <v>Possession</v>
      </c>
      <c r="AF1795" t="str">
        <f t="shared" ref="AF1795:AF1858" si="183">IF(N1795&lt;&gt;"",N1795,IF($A1795=$A1794,AF1794,""))</f>
        <v/>
      </c>
      <c r="AG1795" t="str">
        <f t="shared" ref="AG1795:AG1858" si="184">IF(O1795&lt;&gt;"",O1795,IF($A1795=$A1794,AG1794,""))</f>
        <v/>
      </c>
      <c r="AN1795" t="str">
        <f t="shared" si="180"/>
        <v>Defensive</v>
      </c>
    </row>
    <row r="1796" spans="1:40" x14ac:dyDescent="0.2">
      <c r="A1796">
        <v>902</v>
      </c>
      <c r="B1796">
        <v>154</v>
      </c>
      <c r="E1796" s="5" t="s">
        <v>906</v>
      </c>
      <c r="F1796" s="5" t="s">
        <v>867</v>
      </c>
      <c r="I1796" t="s">
        <v>835</v>
      </c>
      <c r="J1796">
        <v>52</v>
      </c>
      <c r="K1796">
        <v>1</v>
      </c>
      <c r="L1796" t="s">
        <v>839</v>
      </c>
      <c r="M1796" t="s">
        <v>257</v>
      </c>
      <c r="N1796" t="s">
        <v>191</v>
      </c>
      <c r="O1796" t="s">
        <v>89</v>
      </c>
      <c r="P1796" t="s">
        <v>688</v>
      </c>
      <c r="Q1796" t="s">
        <v>155</v>
      </c>
      <c r="S1796" t="s">
        <v>688</v>
      </c>
      <c r="T1796">
        <v>1</v>
      </c>
      <c r="U1796" s="8">
        <f t="shared" si="182"/>
        <v>2</v>
      </c>
      <c r="AD1796" t="str">
        <f t="shared" si="181"/>
        <v>e</v>
      </c>
      <c r="AE1796" t="str">
        <f t="shared" ref="AE1796:AE1859" si="185">IF(M1796&lt;&gt;"",M1796,IF($A1796=$A1795,AE1795,""))</f>
        <v>Zone_Entry_Exit</v>
      </c>
      <c r="AF1796" t="str">
        <f t="shared" si="183"/>
        <v>Zone_Entry</v>
      </c>
      <c r="AG1796" t="str">
        <f t="shared" si="184"/>
        <v>ZoneEntry-DumpIn</v>
      </c>
      <c r="AN1796" t="str">
        <f t="shared" si="180"/>
        <v>Offensive</v>
      </c>
    </row>
    <row r="1797" spans="1:40" x14ac:dyDescent="0.2">
      <c r="A1797">
        <v>902</v>
      </c>
      <c r="B1797">
        <v>154</v>
      </c>
      <c r="J1797">
        <v>19</v>
      </c>
      <c r="Q1797" t="s">
        <v>678</v>
      </c>
      <c r="S1797" t="s">
        <v>689</v>
      </c>
      <c r="T1797">
        <v>1</v>
      </c>
      <c r="U1797" s="8">
        <f t="shared" si="182"/>
        <v>2</v>
      </c>
      <c r="AD1797" t="str">
        <f t="shared" si="181"/>
        <v>o</v>
      </c>
      <c r="AE1797" t="str">
        <f t="shared" si="185"/>
        <v>Zone_Entry_Exit</v>
      </c>
      <c r="AF1797" t="str">
        <f t="shared" si="183"/>
        <v>Zone_Entry</v>
      </c>
      <c r="AG1797" t="str">
        <f t="shared" si="184"/>
        <v>ZoneEntry-DumpIn</v>
      </c>
      <c r="AN1797" t="str">
        <f t="shared" si="180"/>
        <v>Defensive</v>
      </c>
    </row>
    <row r="1798" spans="1:40" x14ac:dyDescent="0.2">
      <c r="A1798">
        <v>903</v>
      </c>
      <c r="B1798">
        <v>154</v>
      </c>
      <c r="E1798" s="5" t="s">
        <v>906</v>
      </c>
      <c r="F1798" s="5" t="s">
        <v>867</v>
      </c>
      <c r="I1798" t="s">
        <v>835</v>
      </c>
      <c r="J1798">
        <v>52</v>
      </c>
      <c r="K1798">
        <v>1</v>
      </c>
      <c r="L1798" t="s">
        <v>839</v>
      </c>
      <c r="M1798" t="s">
        <v>10</v>
      </c>
      <c r="N1798" t="s">
        <v>190</v>
      </c>
      <c r="O1798" t="s">
        <v>387</v>
      </c>
      <c r="P1798" t="s">
        <v>688</v>
      </c>
      <c r="Q1798" t="s">
        <v>155</v>
      </c>
      <c r="S1798" t="s">
        <v>688</v>
      </c>
      <c r="T1798">
        <v>1</v>
      </c>
      <c r="U1798" s="8">
        <f t="shared" si="182"/>
        <v>2</v>
      </c>
      <c r="AD1798" t="str">
        <f t="shared" si="181"/>
        <v>e</v>
      </c>
      <c r="AE1798" t="str">
        <f t="shared" si="185"/>
        <v>Turnover</v>
      </c>
      <c r="AF1798" t="str">
        <f t="shared" si="183"/>
        <v>Turnover_Giveaway</v>
      </c>
      <c r="AG1798" t="str">
        <f t="shared" si="184"/>
        <v>Giveaway-ZoneClear/Dump</v>
      </c>
      <c r="AN1798" t="str">
        <f t="shared" si="180"/>
        <v>Offensive</v>
      </c>
    </row>
    <row r="1799" spans="1:40" x14ac:dyDescent="0.2">
      <c r="A1799">
        <v>903</v>
      </c>
      <c r="B1799">
        <f t="shared" si="179"/>
        <v>154</v>
      </c>
      <c r="J1799">
        <v>19</v>
      </c>
      <c r="Q1799" t="s">
        <v>678</v>
      </c>
      <c r="S1799" t="s">
        <v>689</v>
      </c>
      <c r="T1799">
        <v>1</v>
      </c>
      <c r="U1799" s="8">
        <f t="shared" si="182"/>
        <v>2</v>
      </c>
      <c r="AD1799" t="str">
        <f t="shared" si="181"/>
        <v>o</v>
      </c>
      <c r="AE1799" t="str">
        <f t="shared" si="185"/>
        <v>Turnover</v>
      </c>
      <c r="AF1799" t="str">
        <f t="shared" si="183"/>
        <v>Turnover_Giveaway</v>
      </c>
      <c r="AG1799" t="str">
        <f t="shared" si="184"/>
        <v>Giveaway-ZoneClear/Dump</v>
      </c>
      <c r="AN1799" t="str">
        <f t="shared" si="180"/>
        <v>Defensive</v>
      </c>
    </row>
    <row r="1800" spans="1:40" x14ac:dyDescent="0.2">
      <c r="A1800">
        <v>904</v>
      </c>
      <c r="B1800" t="str">
        <f t="shared" si="179"/>
        <v/>
      </c>
      <c r="E1800" s="5" t="s">
        <v>906</v>
      </c>
      <c r="F1800" s="5" t="s">
        <v>893</v>
      </c>
      <c r="G1800" s="5" t="s">
        <v>906</v>
      </c>
      <c r="H1800" s="7" t="s">
        <v>869</v>
      </c>
      <c r="I1800" t="s">
        <v>840</v>
      </c>
      <c r="J1800">
        <v>17</v>
      </c>
      <c r="K1800">
        <v>1</v>
      </c>
      <c r="L1800" t="s">
        <v>845</v>
      </c>
      <c r="M1800" t="s">
        <v>15</v>
      </c>
      <c r="U1800" s="8">
        <f t="shared" si="182"/>
        <v>2</v>
      </c>
      <c r="AD1800" t="str">
        <f t="shared" si="181"/>
        <v>e</v>
      </c>
      <c r="AE1800" t="str">
        <f t="shared" si="185"/>
        <v>Possession</v>
      </c>
      <c r="AF1800" t="str">
        <f t="shared" si="183"/>
        <v/>
      </c>
      <c r="AG1800" t="str">
        <f t="shared" si="184"/>
        <v/>
      </c>
      <c r="AN1800" t="str">
        <f t="shared" si="180"/>
        <v>Offensive</v>
      </c>
    </row>
    <row r="1801" spans="1:40" x14ac:dyDescent="0.2">
      <c r="A1801">
        <v>905</v>
      </c>
      <c r="B1801">
        <v>155</v>
      </c>
      <c r="E1801" s="5" t="s">
        <v>906</v>
      </c>
      <c r="F1801" s="5" t="s">
        <v>869</v>
      </c>
      <c r="I1801" t="s">
        <v>840</v>
      </c>
      <c r="J1801">
        <v>17</v>
      </c>
      <c r="K1801">
        <v>1</v>
      </c>
      <c r="L1801" t="s">
        <v>845</v>
      </c>
      <c r="M1801" t="s">
        <v>8</v>
      </c>
      <c r="N1801" t="s">
        <v>199</v>
      </c>
      <c r="O1801" t="s">
        <v>68</v>
      </c>
      <c r="P1801" t="s">
        <v>688</v>
      </c>
      <c r="Q1801" t="s">
        <v>929</v>
      </c>
      <c r="S1801" t="s">
        <v>688</v>
      </c>
      <c r="T1801">
        <v>1</v>
      </c>
      <c r="U1801" s="8">
        <f t="shared" si="182"/>
        <v>2</v>
      </c>
      <c r="AD1801" t="str">
        <f t="shared" si="181"/>
        <v>e</v>
      </c>
      <c r="AE1801" t="str">
        <f t="shared" si="185"/>
        <v>Pass</v>
      </c>
      <c r="AF1801" t="str">
        <f t="shared" si="183"/>
        <v>Pass_Missed</v>
      </c>
      <c r="AG1801" t="str">
        <f t="shared" si="184"/>
        <v>Pass-Rim/Wrap</v>
      </c>
      <c r="AN1801" t="str">
        <f t="shared" si="180"/>
        <v>Offensive</v>
      </c>
    </row>
    <row r="1802" spans="1:40" x14ac:dyDescent="0.2">
      <c r="A1802">
        <v>905</v>
      </c>
      <c r="B1802">
        <f t="shared" si="179"/>
        <v>155</v>
      </c>
      <c r="J1802">
        <v>26</v>
      </c>
      <c r="K1802">
        <v>1</v>
      </c>
      <c r="T1802">
        <v>2</v>
      </c>
      <c r="U1802" s="8">
        <f t="shared" si="182"/>
        <v>2</v>
      </c>
      <c r="AD1802" t="str">
        <f t="shared" si="181"/>
        <v>e</v>
      </c>
      <c r="AE1802" t="str">
        <f t="shared" si="185"/>
        <v>Pass</v>
      </c>
      <c r="AF1802" t="str">
        <f t="shared" si="183"/>
        <v>Pass_Missed</v>
      </c>
      <c r="AG1802" t="str">
        <f t="shared" si="184"/>
        <v>Pass-Rim/Wrap</v>
      </c>
      <c r="AN1802" t="str">
        <f t="shared" si="180"/>
        <v>Offensive</v>
      </c>
    </row>
    <row r="1803" spans="1:40" x14ac:dyDescent="0.2">
      <c r="A1803">
        <v>905</v>
      </c>
      <c r="B1803">
        <f t="shared" si="179"/>
        <v>155</v>
      </c>
      <c r="J1803">
        <v>42</v>
      </c>
      <c r="T1803">
        <v>1</v>
      </c>
      <c r="U1803" s="8">
        <f t="shared" si="182"/>
        <v>2</v>
      </c>
      <c r="AD1803" t="str">
        <f t="shared" si="181"/>
        <v>o</v>
      </c>
      <c r="AE1803" t="str">
        <f t="shared" si="185"/>
        <v>Pass</v>
      </c>
      <c r="AF1803" t="str">
        <f t="shared" si="183"/>
        <v>Pass_Missed</v>
      </c>
      <c r="AG1803" t="str">
        <f t="shared" si="184"/>
        <v>Pass-Rim/Wrap</v>
      </c>
      <c r="AN1803" t="str">
        <f t="shared" si="180"/>
        <v>Defensive</v>
      </c>
    </row>
    <row r="1804" spans="1:40" x14ac:dyDescent="0.2">
      <c r="A1804">
        <v>905</v>
      </c>
      <c r="B1804">
        <f t="shared" si="179"/>
        <v>155</v>
      </c>
      <c r="J1804">
        <v>87</v>
      </c>
      <c r="Q1804" t="s">
        <v>658</v>
      </c>
      <c r="T1804">
        <v>2</v>
      </c>
      <c r="U1804" s="8">
        <f t="shared" si="182"/>
        <v>2</v>
      </c>
      <c r="AD1804" t="str">
        <f t="shared" si="181"/>
        <v>o</v>
      </c>
      <c r="AE1804" t="str">
        <f t="shared" si="185"/>
        <v>Pass</v>
      </c>
      <c r="AF1804" t="str">
        <f t="shared" si="183"/>
        <v>Pass_Missed</v>
      </c>
      <c r="AG1804" t="str">
        <f t="shared" si="184"/>
        <v>Pass-Rim/Wrap</v>
      </c>
      <c r="AN1804" t="str">
        <f t="shared" si="180"/>
        <v>Defensive</v>
      </c>
    </row>
    <row r="1805" spans="1:40" x14ac:dyDescent="0.2">
      <c r="A1805">
        <v>905</v>
      </c>
      <c r="B1805">
        <f t="shared" si="179"/>
        <v>155</v>
      </c>
      <c r="J1805">
        <v>22</v>
      </c>
      <c r="Q1805" t="s">
        <v>928</v>
      </c>
      <c r="S1805" t="s">
        <v>688</v>
      </c>
      <c r="U1805" s="8">
        <f t="shared" si="182"/>
        <v>2</v>
      </c>
      <c r="AD1805" t="str">
        <f t="shared" si="181"/>
        <v>o</v>
      </c>
      <c r="AE1805" t="str">
        <f t="shared" si="185"/>
        <v>Pass</v>
      </c>
      <c r="AF1805" t="str">
        <f t="shared" si="183"/>
        <v>Pass_Missed</v>
      </c>
      <c r="AG1805" t="str">
        <f t="shared" si="184"/>
        <v>Pass-Rim/Wrap</v>
      </c>
      <c r="AN1805" t="str">
        <f t="shared" si="180"/>
        <v>Defensive</v>
      </c>
    </row>
    <row r="1806" spans="1:40" x14ac:dyDescent="0.2">
      <c r="A1806">
        <v>906</v>
      </c>
      <c r="B1806">
        <v>155</v>
      </c>
      <c r="E1806" s="5" t="s">
        <v>906</v>
      </c>
      <c r="F1806" s="5" t="s">
        <v>869</v>
      </c>
      <c r="I1806" t="s">
        <v>840</v>
      </c>
      <c r="J1806">
        <v>17</v>
      </c>
      <c r="K1806">
        <v>1</v>
      </c>
      <c r="L1806" t="s">
        <v>845</v>
      </c>
      <c r="M1806" t="s">
        <v>257</v>
      </c>
      <c r="N1806" t="s">
        <v>201</v>
      </c>
      <c r="O1806" t="s">
        <v>409</v>
      </c>
      <c r="P1806" t="s">
        <v>688</v>
      </c>
      <c r="Q1806" t="s">
        <v>929</v>
      </c>
      <c r="S1806" t="s">
        <v>688</v>
      </c>
      <c r="T1806">
        <v>1</v>
      </c>
      <c r="U1806" s="8">
        <f t="shared" si="182"/>
        <v>2</v>
      </c>
      <c r="AD1806" t="str">
        <f t="shared" si="181"/>
        <v>e</v>
      </c>
      <c r="AE1806" t="str">
        <f t="shared" si="185"/>
        <v>Zone_Entry_Exit</v>
      </c>
      <c r="AF1806" t="str">
        <f t="shared" si="183"/>
        <v>Zone_Exit</v>
      </c>
      <c r="AG1806" t="str">
        <f t="shared" si="184"/>
        <v>ZoneExit-PassMiss/Misplay</v>
      </c>
      <c r="AN1806" t="str">
        <f t="shared" si="180"/>
        <v>Offensive</v>
      </c>
    </row>
    <row r="1807" spans="1:40" x14ac:dyDescent="0.2">
      <c r="A1807">
        <v>906</v>
      </c>
      <c r="B1807">
        <f t="shared" si="179"/>
        <v>155</v>
      </c>
      <c r="J1807">
        <v>26</v>
      </c>
      <c r="K1807">
        <v>1</v>
      </c>
      <c r="T1807">
        <v>2</v>
      </c>
      <c r="U1807" s="8">
        <f t="shared" si="182"/>
        <v>2</v>
      </c>
      <c r="AD1807" t="str">
        <f t="shared" si="181"/>
        <v>e</v>
      </c>
      <c r="AE1807" t="str">
        <f t="shared" si="185"/>
        <v>Zone_Entry_Exit</v>
      </c>
      <c r="AF1807" t="str">
        <f t="shared" si="183"/>
        <v>Zone_Exit</v>
      </c>
      <c r="AG1807" t="str">
        <f t="shared" si="184"/>
        <v>ZoneExit-PassMiss/Misplay</v>
      </c>
      <c r="AN1807" t="str">
        <f t="shared" si="180"/>
        <v>Offensive</v>
      </c>
    </row>
    <row r="1808" spans="1:40" x14ac:dyDescent="0.2">
      <c r="A1808">
        <v>906</v>
      </c>
      <c r="B1808">
        <f t="shared" si="179"/>
        <v>155</v>
      </c>
      <c r="J1808">
        <v>42</v>
      </c>
      <c r="T1808">
        <v>1</v>
      </c>
      <c r="U1808" s="8">
        <f t="shared" si="182"/>
        <v>2</v>
      </c>
      <c r="AD1808" t="str">
        <f t="shared" si="181"/>
        <v>o</v>
      </c>
      <c r="AE1808" t="str">
        <f t="shared" si="185"/>
        <v>Zone_Entry_Exit</v>
      </c>
      <c r="AF1808" t="str">
        <f t="shared" si="183"/>
        <v>Zone_Exit</v>
      </c>
      <c r="AG1808" t="str">
        <f t="shared" si="184"/>
        <v>ZoneExit-PassMiss/Misplay</v>
      </c>
      <c r="AN1808" t="str">
        <f t="shared" si="180"/>
        <v>Defensive</v>
      </c>
    </row>
    <row r="1809" spans="1:40" x14ac:dyDescent="0.2">
      <c r="A1809">
        <v>906</v>
      </c>
      <c r="B1809">
        <f t="shared" si="179"/>
        <v>155</v>
      </c>
      <c r="J1809">
        <v>87</v>
      </c>
      <c r="Q1809" t="s">
        <v>658</v>
      </c>
      <c r="T1809">
        <v>2</v>
      </c>
      <c r="U1809" s="8">
        <f t="shared" si="182"/>
        <v>2</v>
      </c>
      <c r="AD1809" t="str">
        <f t="shared" si="181"/>
        <v>o</v>
      </c>
      <c r="AE1809" t="str">
        <f t="shared" si="185"/>
        <v>Zone_Entry_Exit</v>
      </c>
      <c r="AF1809" t="str">
        <f t="shared" si="183"/>
        <v>Zone_Exit</v>
      </c>
      <c r="AG1809" t="str">
        <f t="shared" si="184"/>
        <v>ZoneExit-PassMiss/Misplay</v>
      </c>
      <c r="AN1809" t="str">
        <f t="shared" si="180"/>
        <v>Defensive</v>
      </c>
    </row>
    <row r="1810" spans="1:40" x14ac:dyDescent="0.2">
      <c r="A1810">
        <v>906</v>
      </c>
      <c r="B1810">
        <f t="shared" si="179"/>
        <v>155</v>
      </c>
      <c r="J1810">
        <v>22</v>
      </c>
      <c r="Q1810" t="s">
        <v>928</v>
      </c>
      <c r="S1810" t="s">
        <v>688</v>
      </c>
      <c r="U1810" s="8">
        <f t="shared" si="182"/>
        <v>2</v>
      </c>
      <c r="AD1810" t="str">
        <f t="shared" si="181"/>
        <v>o</v>
      </c>
      <c r="AE1810" t="str">
        <f t="shared" si="185"/>
        <v>Zone_Entry_Exit</v>
      </c>
      <c r="AF1810" t="str">
        <f t="shared" si="183"/>
        <v>Zone_Exit</v>
      </c>
      <c r="AG1810" t="str">
        <f t="shared" si="184"/>
        <v>ZoneExit-PassMiss/Misplay</v>
      </c>
      <c r="AN1810" t="str">
        <f t="shared" si="180"/>
        <v>Defensive</v>
      </c>
    </row>
    <row r="1811" spans="1:40" x14ac:dyDescent="0.2">
      <c r="A1811">
        <v>907</v>
      </c>
      <c r="B1811">
        <v>155</v>
      </c>
      <c r="J1811">
        <v>22</v>
      </c>
      <c r="K1811">
        <v>1</v>
      </c>
      <c r="L1811" t="s">
        <v>401</v>
      </c>
      <c r="M1811" t="s">
        <v>257</v>
      </c>
      <c r="N1811" t="s">
        <v>753</v>
      </c>
      <c r="P1811" t="s">
        <v>688</v>
      </c>
      <c r="Q1811" t="s">
        <v>928</v>
      </c>
      <c r="S1811" t="s">
        <v>688</v>
      </c>
      <c r="U1811" s="8">
        <f t="shared" si="182"/>
        <v>2</v>
      </c>
      <c r="AD1811" t="str">
        <f t="shared" si="181"/>
        <v>e</v>
      </c>
      <c r="AE1811" t="str">
        <f t="shared" si="185"/>
        <v>Zone_Entry_Exit</v>
      </c>
      <c r="AF1811" t="str">
        <f t="shared" si="183"/>
        <v>Zone_KeepinFailed</v>
      </c>
      <c r="AG1811" t="str">
        <f t="shared" si="184"/>
        <v/>
      </c>
      <c r="AN1811" t="str">
        <f t="shared" si="180"/>
        <v>Offensive</v>
      </c>
    </row>
    <row r="1812" spans="1:40" x14ac:dyDescent="0.2">
      <c r="A1812">
        <v>907</v>
      </c>
      <c r="B1812">
        <f t="shared" si="179"/>
        <v>155</v>
      </c>
      <c r="J1812">
        <v>87</v>
      </c>
      <c r="K1812">
        <v>1</v>
      </c>
      <c r="T1812">
        <v>2</v>
      </c>
      <c r="U1812" s="8">
        <f t="shared" si="182"/>
        <v>2</v>
      </c>
      <c r="AD1812" t="str">
        <f t="shared" si="181"/>
        <v>e</v>
      </c>
      <c r="AE1812" t="str">
        <f t="shared" si="185"/>
        <v>Zone_Entry_Exit</v>
      </c>
      <c r="AF1812" t="str">
        <f t="shared" si="183"/>
        <v>Zone_KeepinFailed</v>
      </c>
      <c r="AG1812" t="str">
        <f t="shared" si="184"/>
        <v/>
      </c>
      <c r="AN1812" t="str">
        <f t="shared" si="180"/>
        <v>Offensive</v>
      </c>
    </row>
    <row r="1813" spans="1:40" x14ac:dyDescent="0.2">
      <c r="A1813">
        <v>907</v>
      </c>
      <c r="B1813">
        <f t="shared" si="179"/>
        <v>155</v>
      </c>
      <c r="J1813">
        <v>42</v>
      </c>
      <c r="K1813">
        <v>1</v>
      </c>
      <c r="T1813">
        <v>1</v>
      </c>
      <c r="U1813" s="8">
        <f t="shared" si="182"/>
        <v>2</v>
      </c>
      <c r="AD1813" t="str">
        <f t="shared" si="181"/>
        <v>e</v>
      </c>
      <c r="AE1813" t="str">
        <f t="shared" si="185"/>
        <v>Zone_Entry_Exit</v>
      </c>
      <c r="AF1813" t="str">
        <f t="shared" si="183"/>
        <v>Zone_KeepinFailed</v>
      </c>
      <c r="AG1813" t="str">
        <f t="shared" si="184"/>
        <v/>
      </c>
      <c r="AN1813" t="str">
        <f t="shared" si="180"/>
        <v>Offensive</v>
      </c>
    </row>
    <row r="1814" spans="1:40" x14ac:dyDescent="0.2">
      <c r="A1814">
        <v>907</v>
      </c>
      <c r="B1814">
        <f t="shared" si="179"/>
        <v>155</v>
      </c>
      <c r="J1814">
        <v>17</v>
      </c>
      <c r="Q1814" t="s">
        <v>929</v>
      </c>
      <c r="S1814" t="s">
        <v>688</v>
      </c>
      <c r="T1814">
        <v>1</v>
      </c>
      <c r="U1814" s="8">
        <f t="shared" si="182"/>
        <v>2</v>
      </c>
      <c r="AD1814" t="str">
        <f t="shared" si="181"/>
        <v>o</v>
      </c>
      <c r="AE1814" t="str">
        <f t="shared" si="185"/>
        <v>Zone_Entry_Exit</v>
      </c>
      <c r="AF1814" t="str">
        <f t="shared" si="183"/>
        <v>Zone_KeepinFailed</v>
      </c>
      <c r="AG1814" t="str">
        <f t="shared" si="184"/>
        <v/>
      </c>
      <c r="AN1814" t="str">
        <f t="shared" si="180"/>
        <v>Defensive</v>
      </c>
    </row>
    <row r="1815" spans="1:40" x14ac:dyDescent="0.2">
      <c r="A1815">
        <v>907</v>
      </c>
      <c r="B1815">
        <v>155</v>
      </c>
      <c r="J1815">
        <v>26</v>
      </c>
      <c r="T1815">
        <v>2</v>
      </c>
      <c r="U1815" s="8">
        <f t="shared" si="182"/>
        <v>2</v>
      </c>
      <c r="AD1815" t="str">
        <f t="shared" si="181"/>
        <v>o</v>
      </c>
      <c r="AE1815" t="str">
        <f t="shared" si="185"/>
        <v>Zone_Entry_Exit</v>
      </c>
      <c r="AF1815" t="str">
        <f t="shared" si="183"/>
        <v>Zone_KeepinFailed</v>
      </c>
      <c r="AG1815" t="str">
        <f t="shared" si="184"/>
        <v/>
      </c>
      <c r="AN1815" t="str">
        <f t="shared" si="180"/>
        <v>Defensive</v>
      </c>
    </row>
    <row r="1816" spans="1:40" x14ac:dyDescent="0.2">
      <c r="A1816">
        <v>908</v>
      </c>
      <c r="B1816">
        <v>155</v>
      </c>
      <c r="E1816" s="5" t="s">
        <v>906</v>
      </c>
      <c r="F1816" s="5" t="s">
        <v>869</v>
      </c>
      <c r="I1816" t="s">
        <v>840</v>
      </c>
      <c r="J1816">
        <v>17</v>
      </c>
      <c r="K1816">
        <v>1</v>
      </c>
      <c r="L1816" t="s">
        <v>845</v>
      </c>
      <c r="M1816" t="s">
        <v>257</v>
      </c>
      <c r="N1816" t="s">
        <v>191</v>
      </c>
      <c r="O1816" t="s">
        <v>423</v>
      </c>
      <c r="P1816" t="s">
        <v>688</v>
      </c>
      <c r="Q1816" t="s">
        <v>929</v>
      </c>
      <c r="S1816" t="s">
        <v>688</v>
      </c>
      <c r="U1816" s="8">
        <f t="shared" si="182"/>
        <v>2</v>
      </c>
      <c r="AD1816" t="str">
        <f t="shared" si="181"/>
        <v>e</v>
      </c>
      <c r="AE1816" t="str">
        <f t="shared" si="185"/>
        <v>Zone_Entry_Exit</v>
      </c>
      <c r="AF1816" t="str">
        <f t="shared" si="183"/>
        <v>Zone_Entry</v>
      </c>
      <c r="AG1816" t="str">
        <f t="shared" si="184"/>
        <v>ZoneEntry-PassMiss/Misplay</v>
      </c>
      <c r="AN1816" t="str">
        <f t="shared" si="180"/>
        <v>Offensive</v>
      </c>
    </row>
    <row r="1817" spans="1:40" x14ac:dyDescent="0.2">
      <c r="A1817">
        <v>909</v>
      </c>
      <c r="B1817">
        <v>155</v>
      </c>
      <c r="E1817" s="5" t="s">
        <v>906</v>
      </c>
      <c r="F1817" s="5" t="s">
        <v>869</v>
      </c>
      <c r="I1817" t="s">
        <v>840</v>
      </c>
      <c r="J1817">
        <v>17</v>
      </c>
      <c r="K1817">
        <v>1</v>
      </c>
      <c r="L1817" t="s">
        <v>845</v>
      </c>
      <c r="M1817" t="s">
        <v>10</v>
      </c>
      <c r="N1817" t="s">
        <v>190</v>
      </c>
      <c r="O1817" t="s">
        <v>416</v>
      </c>
      <c r="P1817" t="s">
        <v>688</v>
      </c>
      <c r="Q1817" t="s">
        <v>929</v>
      </c>
      <c r="S1817" t="s">
        <v>688</v>
      </c>
      <c r="U1817" s="8">
        <f t="shared" si="182"/>
        <v>2</v>
      </c>
      <c r="AD1817" t="str">
        <f t="shared" si="181"/>
        <v>e</v>
      </c>
      <c r="AE1817" t="str">
        <f t="shared" si="185"/>
        <v>Turnover</v>
      </c>
      <c r="AF1817" t="str">
        <f t="shared" si="183"/>
        <v>Turnover_Giveaway</v>
      </c>
      <c r="AG1817" t="str">
        <f t="shared" si="184"/>
        <v>Giveaway-ZoneEntry/ExitMisplay</v>
      </c>
      <c r="AN1817" t="str">
        <f t="shared" si="180"/>
        <v>Offensive</v>
      </c>
    </row>
    <row r="1818" spans="1:40" x14ac:dyDescent="0.2">
      <c r="A1818">
        <v>910</v>
      </c>
      <c r="B1818" t="str">
        <f t="shared" si="179"/>
        <v/>
      </c>
      <c r="E1818" s="5" t="s">
        <v>907</v>
      </c>
      <c r="F1818" s="5" t="s">
        <v>895</v>
      </c>
      <c r="I1818" t="s">
        <v>835</v>
      </c>
      <c r="J1818">
        <v>52</v>
      </c>
      <c r="K1818">
        <v>1</v>
      </c>
      <c r="L1818" t="s">
        <v>845</v>
      </c>
      <c r="M1818" t="s">
        <v>15</v>
      </c>
      <c r="U1818" s="8">
        <f t="shared" si="182"/>
        <v>2</v>
      </c>
      <c r="AD1818" t="str">
        <f t="shared" si="181"/>
        <v>e</v>
      </c>
      <c r="AE1818" t="str">
        <f t="shared" si="185"/>
        <v>Possession</v>
      </c>
      <c r="AF1818" t="str">
        <f t="shared" si="183"/>
        <v/>
      </c>
      <c r="AG1818" t="str">
        <f t="shared" si="184"/>
        <v/>
      </c>
      <c r="AN1818" t="str">
        <f t="shared" si="180"/>
        <v>Offensive</v>
      </c>
    </row>
    <row r="1819" spans="1:40" x14ac:dyDescent="0.2">
      <c r="A1819">
        <v>911</v>
      </c>
      <c r="B1819" t="str">
        <f t="shared" si="179"/>
        <v/>
      </c>
      <c r="E1819" s="5" t="s">
        <v>907</v>
      </c>
      <c r="F1819" s="5" t="s">
        <v>895</v>
      </c>
      <c r="G1819" s="5" t="s">
        <v>907</v>
      </c>
      <c r="H1819" s="7" t="s">
        <v>874</v>
      </c>
      <c r="I1819" t="s">
        <v>835</v>
      </c>
      <c r="J1819">
        <v>52</v>
      </c>
      <c r="K1819">
        <v>1</v>
      </c>
      <c r="L1819" t="s">
        <v>845</v>
      </c>
      <c r="M1819" t="s">
        <v>15</v>
      </c>
      <c r="Q1819" t="s">
        <v>638</v>
      </c>
      <c r="R1819" t="s">
        <v>152</v>
      </c>
      <c r="S1819" t="s">
        <v>689</v>
      </c>
      <c r="T1819">
        <v>1</v>
      </c>
      <c r="U1819" s="8">
        <f t="shared" si="182"/>
        <v>2</v>
      </c>
      <c r="AD1819" t="str">
        <f t="shared" si="181"/>
        <v>e</v>
      </c>
      <c r="AE1819" t="str">
        <f t="shared" si="185"/>
        <v>Possession</v>
      </c>
      <c r="AF1819" t="str">
        <f t="shared" si="183"/>
        <v/>
      </c>
      <c r="AG1819" t="str">
        <f t="shared" si="184"/>
        <v/>
      </c>
      <c r="AN1819" t="str">
        <f t="shared" si="180"/>
        <v>Offensive</v>
      </c>
    </row>
    <row r="1820" spans="1:40" x14ac:dyDescent="0.2">
      <c r="A1820">
        <v>911</v>
      </c>
      <c r="B1820" t="str">
        <f t="shared" si="179"/>
        <v/>
      </c>
      <c r="J1820">
        <v>8</v>
      </c>
      <c r="Q1820" t="s">
        <v>166</v>
      </c>
      <c r="S1820" t="s">
        <v>688</v>
      </c>
      <c r="T1820">
        <v>1</v>
      </c>
      <c r="U1820" s="8">
        <f t="shared" si="182"/>
        <v>2</v>
      </c>
      <c r="AD1820" t="str">
        <f t="shared" si="181"/>
        <v>o</v>
      </c>
      <c r="AE1820" t="str">
        <f t="shared" si="185"/>
        <v>Possession</v>
      </c>
      <c r="AF1820" t="str">
        <f t="shared" si="183"/>
        <v/>
      </c>
      <c r="AG1820" t="str">
        <f t="shared" si="184"/>
        <v/>
      </c>
      <c r="AN1820" t="str">
        <f t="shared" si="180"/>
        <v>Defensive</v>
      </c>
    </row>
    <row r="1821" spans="1:40" x14ac:dyDescent="0.2">
      <c r="A1821">
        <v>912</v>
      </c>
      <c r="B1821" t="str">
        <f t="shared" si="179"/>
        <v/>
      </c>
      <c r="E1821" s="5" t="s">
        <v>907</v>
      </c>
      <c r="F1821" s="5" t="s">
        <v>841</v>
      </c>
      <c r="I1821" t="s">
        <v>835</v>
      </c>
      <c r="J1821">
        <v>52</v>
      </c>
      <c r="K1821">
        <v>1</v>
      </c>
      <c r="L1821" t="s">
        <v>845</v>
      </c>
      <c r="M1821" t="s">
        <v>8</v>
      </c>
      <c r="N1821" t="s">
        <v>189</v>
      </c>
      <c r="O1821" t="s">
        <v>70</v>
      </c>
      <c r="P1821" t="s">
        <v>689</v>
      </c>
      <c r="U1821" s="8">
        <f t="shared" si="182"/>
        <v>2</v>
      </c>
      <c r="AD1821" t="str">
        <f t="shared" si="181"/>
        <v>e</v>
      </c>
      <c r="AE1821" t="str">
        <f t="shared" si="185"/>
        <v>Pass</v>
      </c>
      <c r="AF1821" t="str">
        <f t="shared" si="183"/>
        <v>Pass_Completed</v>
      </c>
      <c r="AG1821" t="str">
        <f t="shared" si="184"/>
        <v>Pass-Forehand</v>
      </c>
      <c r="AN1821" t="str">
        <f t="shared" si="180"/>
        <v>Offensive</v>
      </c>
    </row>
    <row r="1822" spans="1:40" x14ac:dyDescent="0.2">
      <c r="A1822">
        <v>912</v>
      </c>
      <c r="B1822" t="str">
        <f t="shared" si="179"/>
        <v/>
      </c>
      <c r="J1822">
        <v>42</v>
      </c>
      <c r="K1822">
        <v>1</v>
      </c>
      <c r="U1822" s="8">
        <f t="shared" si="182"/>
        <v>2</v>
      </c>
      <c r="AD1822" t="str">
        <f t="shared" si="181"/>
        <v>e</v>
      </c>
      <c r="AE1822" t="str">
        <f t="shared" si="185"/>
        <v>Pass</v>
      </c>
      <c r="AF1822" t="str">
        <f t="shared" si="183"/>
        <v>Pass_Completed</v>
      </c>
      <c r="AG1822" t="str">
        <f t="shared" si="184"/>
        <v>Pass-Forehand</v>
      </c>
      <c r="AN1822" t="str">
        <f t="shared" si="180"/>
        <v>Offensive</v>
      </c>
    </row>
    <row r="1823" spans="1:40" x14ac:dyDescent="0.2">
      <c r="A1823">
        <v>912</v>
      </c>
      <c r="B1823" t="str">
        <f t="shared" si="179"/>
        <v/>
      </c>
      <c r="J1823">
        <v>26</v>
      </c>
      <c r="U1823" s="8">
        <f t="shared" si="182"/>
        <v>2</v>
      </c>
      <c r="AD1823" t="str">
        <f t="shared" si="181"/>
        <v>o</v>
      </c>
      <c r="AE1823" t="str">
        <f t="shared" si="185"/>
        <v>Pass</v>
      </c>
      <c r="AF1823" t="str">
        <f t="shared" si="183"/>
        <v>Pass_Completed</v>
      </c>
      <c r="AG1823" t="str">
        <f t="shared" si="184"/>
        <v>Pass-Forehand</v>
      </c>
      <c r="AN1823" t="str">
        <f t="shared" si="180"/>
        <v>Defensive</v>
      </c>
    </row>
    <row r="1824" spans="1:40" x14ac:dyDescent="0.2">
      <c r="A1824">
        <v>913</v>
      </c>
      <c r="B1824" t="str">
        <f t="shared" si="179"/>
        <v/>
      </c>
      <c r="E1824" s="5" t="s">
        <v>907</v>
      </c>
      <c r="F1824" s="5" t="s">
        <v>841</v>
      </c>
      <c r="G1824" s="5" t="s">
        <v>907</v>
      </c>
      <c r="H1824" s="7" t="s">
        <v>875</v>
      </c>
      <c r="I1824" s="5" t="s">
        <v>835</v>
      </c>
      <c r="J1824">
        <v>42</v>
      </c>
      <c r="K1824">
        <v>1</v>
      </c>
      <c r="L1824" s="5" t="s">
        <v>845</v>
      </c>
      <c r="M1824" t="s">
        <v>257</v>
      </c>
      <c r="N1824" t="s">
        <v>201</v>
      </c>
      <c r="O1824" t="s">
        <v>90</v>
      </c>
      <c r="P1824" t="s">
        <v>689</v>
      </c>
      <c r="U1824" s="8">
        <f t="shared" si="182"/>
        <v>2</v>
      </c>
      <c r="AD1824" t="str">
        <f t="shared" si="181"/>
        <v>e</v>
      </c>
      <c r="AE1824" t="str">
        <f t="shared" si="185"/>
        <v>Zone_Entry_Exit</v>
      </c>
      <c r="AF1824" t="str">
        <f t="shared" si="183"/>
        <v>Zone_Exit</v>
      </c>
      <c r="AG1824" t="str">
        <f t="shared" si="184"/>
        <v>ZoneExit-Rush</v>
      </c>
      <c r="AN1824" t="str">
        <f t="shared" si="180"/>
        <v>Offensive</v>
      </c>
    </row>
    <row r="1825" spans="1:40" x14ac:dyDescent="0.2">
      <c r="A1825">
        <v>914</v>
      </c>
      <c r="B1825" t="str">
        <f t="shared" si="179"/>
        <v/>
      </c>
      <c r="E1825" s="5" t="s">
        <v>907</v>
      </c>
      <c r="F1825" s="5" t="s">
        <v>875</v>
      </c>
      <c r="G1825" s="5" t="s">
        <v>907</v>
      </c>
      <c r="H1825" s="7" t="s">
        <v>886</v>
      </c>
      <c r="I1825" s="5" t="s">
        <v>835</v>
      </c>
      <c r="J1825">
        <v>42</v>
      </c>
      <c r="K1825">
        <v>1</v>
      </c>
      <c r="L1825" s="5" t="s">
        <v>839</v>
      </c>
      <c r="M1825" t="s">
        <v>15</v>
      </c>
      <c r="U1825" s="8">
        <f t="shared" si="182"/>
        <v>2</v>
      </c>
      <c r="AD1825" t="str">
        <f t="shared" si="181"/>
        <v>e</v>
      </c>
      <c r="AE1825" t="str">
        <f t="shared" si="185"/>
        <v>Possession</v>
      </c>
      <c r="AF1825" t="str">
        <f t="shared" si="183"/>
        <v/>
      </c>
      <c r="AG1825" t="str">
        <f t="shared" si="184"/>
        <v/>
      </c>
      <c r="AN1825" t="str">
        <f t="shared" si="180"/>
        <v>Offensive</v>
      </c>
    </row>
    <row r="1826" spans="1:40" x14ac:dyDescent="0.2">
      <c r="A1826">
        <v>915</v>
      </c>
      <c r="B1826" t="str">
        <f t="shared" si="179"/>
        <v/>
      </c>
      <c r="E1826" s="5" t="s">
        <v>907</v>
      </c>
      <c r="F1826" s="5" t="s">
        <v>886</v>
      </c>
      <c r="G1826" s="5" t="s">
        <v>907</v>
      </c>
      <c r="H1826" s="7" t="s">
        <v>846</v>
      </c>
      <c r="I1826" s="5" t="s">
        <v>835</v>
      </c>
      <c r="J1826">
        <v>42</v>
      </c>
      <c r="K1826">
        <v>1</v>
      </c>
      <c r="L1826" s="5" t="s">
        <v>401</v>
      </c>
      <c r="M1826" t="s">
        <v>257</v>
      </c>
      <c r="N1826" t="s">
        <v>191</v>
      </c>
      <c r="O1826" t="s">
        <v>87</v>
      </c>
      <c r="P1826" t="s">
        <v>689</v>
      </c>
      <c r="U1826" s="8">
        <f t="shared" si="182"/>
        <v>2</v>
      </c>
      <c r="AD1826" t="str">
        <f t="shared" si="181"/>
        <v>e</v>
      </c>
      <c r="AE1826" t="str">
        <f t="shared" si="185"/>
        <v>Zone_Entry_Exit</v>
      </c>
      <c r="AF1826" t="str">
        <f t="shared" si="183"/>
        <v>Zone_Entry</v>
      </c>
      <c r="AG1826" t="str">
        <f t="shared" si="184"/>
        <v>ZoneEntry-Rush</v>
      </c>
      <c r="AN1826" t="str">
        <f t="shared" si="180"/>
        <v>Offensive</v>
      </c>
    </row>
    <row r="1827" spans="1:40" x14ac:dyDescent="0.2">
      <c r="A1827">
        <v>915</v>
      </c>
      <c r="B1827" t="str">
        <f t="shared" si="179"/>
        <v/>
      </c>
      <c r="J1827">
        <v>7</v>
      </c>
      <c r="U1827" s="8">
        <f t="shared" si="182"/>
        <v>2</v>
      </c>
      <c r="AD1827" t="str">
        <f t="shared" si="181"/>
        <v>o</v>
      </c>
      <c r="AE1827" t="str">
        <f t="shared" si="185"/>
        <v>Zone_Entry_Exit</v>
      </c>
      <c r="AF1827" t="str">
        <f t="shared" si="183"/>
        <v>Zone_Entry</v>
      </c>
      <c r="AG1827" t="str">
        <f t="shared" si="184"/>
        <v>ZoneEntry-Rush</v>
      </c>
      <c r="AN1827" t="str">
        <f t="shared" si="180"/>
        <v>Defensive</v>
      </c>
    </row>
    <row r="1828" spans="1:40" x14ac:dyDescent="0.2">
      <c r="A1828">
        <v>915</v>
      </c>
      <c r="B1828" t="str">
        <f t="shared" si="179"/>
        <v/>
      </c>
      <c r="J1828">
        <v>19</v>
      </c>
      <c r="Q1828" t="s">
        <v>161</v>
      </c>
      <c r="U1828" s="8">
        <f t="shared" si="182"/>
        <v>2</v>
      </c>
      <c r="AD1828" t="str">
        <f t="shared" si="181"/>
        <v>o</v>
      </c>
      <c r="AE1828" t="str">
        <f t="shared" si="185"/>
        <v>Zone_Entry_Exit</v>
      </c>
      <c r="AF1828" t="str">
        <f t="shared" si="183"/>
        <v>Zone_Entry</v>
      </c>
      <c r="AG1828" t="str">
        <f t="shared" si="184"/>
        <v>ZoneEntry-Rush</v>
      </c>
      <c r="AN1828" t="str">
        <f t="shared" si="180"/>
        <v>Defensive</v>
      </c>
    </row>
    <row r="1829" spans="1:40" x14ac:dyDescent="0.2">
      <c r="A1829">
        <v>916</v>
      </c>
      <c r="B1829" t="str">
        <f t="shared" si="179"/>
        <v/>
      </c>
      <c r="E1829" s="5" t="s">
        <v>907</v>
      </c>
      <c r="F1829" s="5" t="s">
        <v>846</v>
      </c>
      <c r="I1829" s="5" t="s">
        <v>840</v>
      </c>
      <c r="J1829">
        <v>19</v>
      </c>
      <c r="K1829">
        <v>1</v>
      </c>
      <c r="L1829" s="5" t="s">
        <v>845</v>
      </c>
      <c r="M1829" t="s">
        <v>247</v>
      </c>
      <c r="N1829" t="s">
        <v>422</v>
      </c>
      <c r="O1829" t="s">
        <v>467</v>
      </c>
      <c r="P1829" t="s">
        <v>689</v>
      </c>
      <c r="U1829" s="8">
        <f t="shared" si="182"/>
        <v>2</v>
      </c>
      <c r="AD1829" t="str">
        <f t="shared" si="181"/>
        <v>e</v>
      </c>
      <c r="AE1829" t="str">
        <f t="shared" si="185"/>
        <v>Play</v>
      </c>
      <c r="AF1829" t="str">
        <f t="shared" si="183"/>
        <v>Play_Defensive</v>
      </c>
      <c r="AG1829" t="str">
        <f t="shared" si="184"/>
        <v>Play-SeperateFromPuck</v>
      </c>
      <c r="AN1829" t="str">
        <f t="shared" si="180"/>
        <v>Defensive</v>
      </c>
    </row>
    <row r="1830" spans="1:40" x14ac:dyDescent="0.2">
      <c r="A1830">
        <v>916</v>
      </c>
      <c r="B1830" t="str">
        <f t="shared" si="179"/>
        <v/>
      </c>
      <c r="J1830">
        <v>7</v>
      </c>
      <c r="K1830">
        <v>1</v>
      </c>
      <c r="U1830" s="8">
        <f t="shared" si="182"/>
        <v>2</v>
      </c>
      <c r="AD1830" t="str">
        <f t="shared" si="181"/>
        <v>e</v>
      </c>
      <c r="AE1830" t="str">
        <f t="shared" si="185"/>
        <v>Play</v>
      </c>
      <c r="AF1830" t="str">
        <f t="shared" si="183"/>
        <v>Play_Defensive</v>
      </c>
      <c r="AG1830" t="str">
        <f t="shared" si="184"/>
        <v>Play-SeperateFromPuck</v>
      </c>
      <c r="AN1830" t="str">
        <f t="shared" si="180"/>
        <v>Defensive</v>
      </c>
    </row>
    <row r="1831" spans="1:40" x14ac:dyDescent="0.2">
      <c r="A1831">
        <v>916</v>
      </c>
      <c r="B1831" t="str">
        <f t="shared" si="179"/>
        <v/>
      </c>
      <c r="J1831">
        <v>42</v>
      </c>
      <c r="Q1831" t="s">
        <v>948</v>
      </c>
      <c r="U1831" s="8">
        <f t="shared" si="182"/>
        <v>2</v>
      </c>
      <c r="AD1831" t="str">
        <f t="shared" si="181"/>
        <v>o</v>
      </c>
      <c r="AE1831" t="str">
        <f t="shared" si="185"/>
        <v>Play</v>
      </c>
      <c r="AF1831" t="str">
        <f t="shared" si="183"/>
        <v>Play_Defensive</v>
      </c>
      <c r="AG1831" t="str">
        <f t="shared" si="184"/>
        <v>Play-SeperateFromPuck</v>
      </c>
      <c r="AN1831" t="str">
        <f t="shared" si="180"/>
        <v>Offensive</v>
      </c>
    </row>
    <row r="1832" spans="1:40" x14ac:dyDescent="0.2">
      <c r="A1832">
        <v>917</v>
      </c>
      <c r="B1832" t="str">
        <f t="shared" si="179"/>
        <v/>
      </c>
      <c r="E1832" s="5" t="s">
        <v>907</v>
      </c>
      <c r="F1832" s="5" t="s">
        <v>847</v>
      </c>
      <c r="G1832" s="5" t="s">
        <v>907</v>
      </c>
      <c r="H1832" s="7" t="s">
        <v>889</v>
      </c>
      <c r="I1832" s="5" t="s">
        <v>835</v>
      </c>
      <c r="J1832">
        <v>42</v>
      </c>
      <c r="K1832">
        <v>1</v>
      </c>
      <c r="L1832" t="s">
        <v>401</v>
      </c>
      <c r="M1832" t="s">
        <v>15</v>
      </c>
      <c r="U1832" s="8">
        <f t="shared" si="182"/>
        <v>2</v>
      </c>
      <c r="AD1832" t="str">
        <f t="shared" si="181"/>
        <v>e</v>
      </c>
      <c r="AE1832" t="str">
        <f t="shared" si="185"/>
        <v>Possession</v>
      </c>
      <c r="AF1832" t="str">
        <f t="shared" si="183"/>
        <v/>
      </c>
      <c r="AG1832" t="str">
        <f t="shared" si="184"/>
        <v/>
      </c>
      <c r="AN1832" t="str">
        <f t="shared" si="180"/>
        <v>Offensive</v>
      </c>
    </row>
    <row r="1833" spans="1:40" x14ac:dyDescent="0.2">
      <c r="A1833">
        <v>918</v>
      </c>
      <c r="B1833" t="str">
        <f t="shared" si="179"/>
        <v/>
      </c>
      <c r="E1833" s="5" t="s">
        <v>907</v>
      </c>
      <c r="F1833" s="5" t="s">
        <v>889</v>
      </c>
      <c r="I1833" t="s">
        <v>835</v>
      </c>
      <c r="J1833">
        <v>42</v>
      </c>
      <c r="K1833">
        <v>1</v>
      </c>
      <c r="L1833" t="s">
        <v>401</v>
      </c>
      <c r="M1833" t="s">
        <v>8</v>
      </c>
      <c r="N1833" t="s">
        <v>189</v>
      </c>
      <c r="O1833" t="s">
        <v>70</v>
      </c>
      <c r="P1833" t="s">
        <v>689</v>
      </c>
      <c r="S1833">
        <v>1</v>
      </c>
      <c r="U1833" s="8">
        <f t="shared" si="182"/>
        <v>2</v>
      </c>
      <c r="AD1833" t="str">
        <f t="shared" si="181"/>
        <v>e</v>
      </c>
      <c r="AE1833" t="str">
        <f t="shared" si="185"/>
        <v>Pass</v>
      </c>
      <c r="AF1833" t="str">
        <f t="shared" si="183"/>
        <v>Pass_Completed</v>
      </c>
      <c r="AG1833" t="str">
        <f t="shared" si="184"/>
        <v>Pass-Forehand</v>
      </c>
      <c r="AN1833" t="str">
        <f t="shared" si="180"/>
        <v>Offensive</v>
      </c>
    </row>
    <row r="1834" spans="1:40" x14ac:dyDescent="0.2">
      <c r="A1834">
        <v>918</v>
      </c>
      <c r="B1834" t="str">
        <f t="shared" si="179"/>
        <v/>
      </c>
      <c r="J1834">
        <v>87</v>
      </c>
      <c r="K1834">
        <v>1</v>
      </c>
      <c r="S1834">
        <v>2</v>
      </c>
      <c r="U1834" s="8">
        <f t="shared" si="182"/>
        <v>2</v>
      </c>
      <c r="AD1834" t="str">
        <f t="shared" si="181"/>
        <v>e</v>
      </c>
      <c r="AE1834" t="str">
        <f t="shared" si="185"/>
        <v>Pass</v>
      </c>
      <c r="AF1834" t="str">
        <f t="shared" si="183"/>
        <v>Pass_Completed</v>
      </c>
      <c r="AG1834" t="str">
        <f t="shared" si="184"/>
        <v>Pass-Forehand</v>
      </c>
      <c r="AN1834" t="str">
        <f t="shared" si="180"/>
        <v>Offensive</v>
      </c>
    </row>
    <row r="1835" spans="1:40" x14ac:dyDescent="0.2">
      <c r="A1835">
        <v>918</v>
      </c>
      <c r="B1835" t="str">
        <f t="shared" si="179"/>
        <v/>
      </c>
      <c r="J1835">
        <v>19</v>
      </c>
      <c r="S1835">
        <v>1</v>
      </c>
      <c r="U1835" s="8">
        <f t="shared" si="182"/>
        <v>2</v>
      </c>
      <c r="AD1835" t="str">
        <f t="shared" si="181"/>
        <v>o</v>
      </c>
      <c r="AE1835" t="str">
        <f t="shared" si="185"/>
        <v>Pass</v>
      </c>
      <c r="AF1835" t="str">
        <f t="shared" si="183"/>
        <v>Pass_Completed</v>
      </c>
      <c r="AG1835" t="str">
        <f t="shared" si="184"/>
        <v>Pass-Forehand</v>
      </c>
      <c r="AN1835" t="str">
        <f t="shared" si="180"/>
        <v>Defensive</v>
      </c>
    </row>
    <row r="1836" spans="1:40" x14ac:dyDescent="0.2">
      <c r="A1836">
        <v>918</v>
      </c>
      <c r="B1836" t="str">
        <f t="shared" si="179"/>
        <v/>
      </c>
      <c r="J1836">
        <v>26</v>
      </c>
      <c r="S1836">
        <v>2</v>
      </c>
      <c r="U1836" s="8">
        <f t="shared" si="182"/>
        <v>2</v>
      </c>
      <c r="AD1836" t="str">
        <f t="shared" si="181"/>
        <v>o</v>
      </c>
      <c r="AE1836" t="str">
        <f t="shared" si="185"/>
        <v>Pass</v>
      </c>
      <c r="AF1836" t="str">
        <f t="shared" si="183"/>
        <v>Pass_Completed</v>
      </c>
      <c r="AG1836" t="str">
        <f t="shared" si="184"/>
        <v>Pass-Forehand</v>
      </c>
      <c r="AN1836" t="str">
        <f t="shared" si="180"/>
        <v>Defensive</v>
      </c>
    </row>
    <row r="1837" spans="1:40" x14ac:dyDescent="0.2">
      <c r="A1837">
        <v>919</v>
      </c>
      <c r="B1837" t="str">
        <f t="shared" si="179"/>
        <v/>
      </c>
      <c r="E1837" s="5" t="s">
        <v>907</v>
      </c>
      <c r="F1837" s="5" t="s">
        <v>848</v>
      </c>
      <c r="I1837" t="s">
        <v>835</v>
      </c>
      <c r="J1837">
        <v>87</v>
      </c>
      <c r="K1837">
        <v>1</v>
      </c>
      <c r="L1837" t="s">
        <v>401</v>
      </c>
      <c r="M1837" t="s">
        <v>7</v>
      </c>
      <c r="N1837" t="s">
        <v>208</v>
      </c>
      <c r="O1837" t="s">
        <v>53</v>
      </c>
      <c r="P1837" t="s">
        <v>688</v>
      </c>
      <c r="T1837">
        <v>1</v>
      </c>
      <c r="U1837" s="8">
        <f t="shared" si="182"/>
        <v>2</v>
      </c>
      <c r="AD1837" t="str">
        <f t="shared" si="181"/>
        <v>e</v>
      </c>
      <c r="AE1837" t="str">
        <f t="shared" si="185"/>
        <v>Shot</v>
      </c>
      <c r="AF1837" t="str">
        <f t="shared" si="183"/>
        <v>Shot_Blocked</v>
      </c>
      <c r="AG1837" t="str">
        <f t="shared" si="184"/>
        <v>Shot-Wrist</v>
      </c>
      <c r="AN1837" t="str">
        <f t="shared" si="180"/>
        <v>Offensive</v>
      </c>
    </row>
    <row r="1838" spans="1:40" x14ac:dyDescent="0.2">
      <c r="A1838">
        <v>919</v>
      </c>
      <c r="B1838" t="str">
        <f t="shared" si="179"/>
        <v/>
      </c>
      <c r="J1838">
        <v>17</v>
      </c>
      <c r="Q1838" t="s">
        <v>646</v>
      </c>
      <c r="S1838" t="s">
        <v>689</v>
      </c>
      <c r="T1838">
        <v>1</v>
      </c>
      <c r="U1838" s="8">
        <f t="shared" si="182"/>
        <v>2</v>
      </c>
      <c r="AD1838" t="str">
        <f t="shared" si="181"/>
        <v>o</v>
      </c>
      <c r="AE1838" t="str">
        <f t="shared" si="185"/>
        <v>Shot</v>
      </c>
      <c r="AF1838" t="str">
        <f t="shared" si="183"/>
        <v>Shot_Blocked</v>
      </c>
      <c r="AG1838" t="str">
        <f t="shared" si="184"/>
        <v>Shot-Wrist</v>
      </c>
      <c r="AN1838" t="str">
        <f t="shared" si="180"/>
        <v>Defensive</v>
      </c>
    </row>
    <row r="1839" spans="1:40" x14ac:dyDescent="0.2">
      <c r="A1839">
        <v>920</v>
      </c>
      <c r="B1839" t="str">
        <f t="shared" si="179"/>
        <v/>
      </c>
      <c r="E1839" s="5" t="s">
        <v>907</v>
      </c>
      <c r="F1839" s="5" t="s">
        <v>879</v>
      </c>
      <c r="G1839" s="5" t="s">
        <v>907</v>
      </c>
      <c r="H1839" s="7" t="s">
        <v>881</v>
      </c>
      <c r="I1839" s="5" t="s">
        <v>835</v>
      </c>
      <c r="J1839">
        <v>87</v>
      </c>
      <c r="K1839">
        <v>1</v>
      </c>
      <c r="L1839" t="s">
        <v>401</v>
      </c>
      <c r="M1839" t="s">
        <v>15</v>
      </c>
      <c r="N1839" t="s">
        <v>681</v>
      </c>
      <c r="P1839" t="s">
        <v>688</v>
      </c>
      <c r="Q1839" t="s">
        <v>673</v>
      </c>
      <c r="S1839" t="s">
        <v>688</v>
      </c>
      <c r="U1839" s="8">
        <f t="shared" si="182"/>
        <v>2</v>
      </c>
      <c r="AD1839" t="str">
        <f t="shared" si="181"/>
        <v>e</v>
      </c>
      <c r="AE1839" t="str">
        <f t="shared" si="185"/>
        <v>Possession</v>
      </c>
      <c r="AF1839" t="str">
        <f t="shared" si="183"/>
        <v>PuckRecovery</v>
      </c>
      <c r="AG1839" t="str">
        <f t="shared" si="184"/>
        <v/>
      </c>
      <c r="AN1839" t="str">
        <f t="shared" si="180"/>
        <v>Offensive</v>
      </c>
    </row>
    <row r="1840" spans="1:40" x14ac:dyDescent="0.2">
      <c r="A1840">
        <v>921</v>
      </c>
      <c r="B1840" t="str">
        <f t="shared" ref="B1840:B1903" si="186">IF(A1840=A1839,B1839,"")</f>
        <v/>
      </c>
      <c r="E1840" s="5" t="s">
        <v>907</v>
      </c>
      <c r="F1840" s="5" t="s">
        <v>881</v>
      </c>
      <c r="I1840" t="s">
        <v>835</v>
      </c>
      <c r="J1840">
        <v>87</v>
      </c>
      <c r="K1840">
        <v>1</v>
      </c>
      <c r="L1840" t="s">
        <v>401</v>
      </c>
      <c r="M1840" t="s">
        <v>8</v>
      </c>
      <c r="N1840" t="s">
        <v>199</v>
      </c>
      <c r="O1840" t="s">
        <v>70</v>
      </c>
      <c r="P1840" t="s">
        <v>688</v>
      </c>
      <c r="U1840" s="8">
        <f t="shared" si="182"/>
        <v>2</v>
      </c>
      <c r="AD1840" t="str">
        <f t="shared" si="181"/>
        <v>e</v>
      </c>
      <c r="AE1840" t="str">
        <f t="shared" si="185"/>
        <v>Pass</v>
      </c>
      <c r="AF1840" t="str">
        <f t="shared" si="183"/>
        <v>Pass_Missed</v>
      </c>
      <c r="AG1840" t="str">
        <f t="shared" si="184"/>
        <v>Pass-Forehand</v>
      </c>
      <c r="AN1840" t="str">
        <f t="shared" si="180"/>
        <v>Offensive</v>
      </c>
    </row>
    <row r="1841" spans="1:40" x14ac:dyDescent="0.2">
      <c r="A1841">
        <v>921</v>
      </c>
      <c r="B1841" t="str">
        <f t="shared" si="186"/>
        <v/>
      </c>
      <c r="J1841">
        <v>75</v>
      </c>
      <c r="K1841">
        <v>1</v>
      </c>
      <c r="U1841" s="8">
        <f t="shared" si="182"/>
        <v>2</v>
      </c>
      <c r="AD1841" t="str">
        <f t="shared" si="181"/>
        <v>e</v>
      </c>
      <c r="AE1841" t="str">
        <f t="shared" si="185"/>
        <v>Pass</v>
      </c>
      <c r="AF1841" t="str">
        <f t="shared" si="183"/>
        <v>Pass_Missed</v>
      </c>
      <c r="AG1841" t="str">
        <f t="shared" si="184"/>
        <v>Pass-Forehand</v>
      </c>
      <c r="AN1841" t="str">
        <f t="shared" si="180"/>
        <v>Offensive</v>
      </c>
    </row>
    <row r="1842" spans="1:40" x14ac:dyDescent="0.2">
      <c r="A1842">
        <v>921</v>
      </c>
      <c r="B1842" t="str">
        <f t="shared" si="186"/>
        <v/>
      </c>
      <c r="J1842">
        <v>7</v>
      </c>
      <c r="U1842" s="8">
        <f t="shared" si="182"/>
        <v>2</v>
      </c>
      <c r="AD1842" t="str">
        <f t="shared" si="181"/>
        <v>o</v>
      </c>
      <c r="AE1842" t="str">
        <f t="shared" si="185"/>
        <v>Pass</v>
      </c>
      <c r="AF1842" t="str">
        <f t="shared" si="183"/>
        <v>Pass_Missed</v>
      </c>
      <c r="AG1842" t="str">
        <f t="shared" si="184"/>
        <v>Pass-Forehand</v>
      </c>
      <c r="AN1842" t="str">
        <f t="shared" si="180"/>
        <v>Defensive</v>
      </c>
    </row>
    <row r="1843" spans="1:40" x14ac:dyDescent="0.2">
      <c r="A1843">
        <v>922</v>
      </c>
      <c r="B1843" t="str">
        <f t="shared" si="186"/>
        <v/>
      </c>
      <c r="E1843" s="5" t="s">
        <v>907</v>
      </c>
      <c r="F1843" s="5" t="s">
        <v>853</v>
      </c>
      <c r="I1843" t="s">
        <v>835</v>
      </c>
      <c r="J1843">
        <v>42</v>
      </c>
      <c r="K1843">
        <v>1</v>
      </c>
      <c r="L1843" t="s">
        <v>401</v>
      </c>
      <c r="M1843" t="s">
        <v>15</v>
      </c>
      <c r="N1843" t="s">
        <v>681</v>
      </c>
      <c r="P1843" t="s">
        <v>689</v>
      </c>
      <c r="Q1843" t="s">
        <v>676</v>
      </c>
      <c r="S1843" t="s">
        <v>689</v>
      </c>
      <c r="U1843" s="8">
        <f t="shared" si="182"/>
        <v>2</v>
      </c>
      <c r="AD1843" t="str">
        <f t="shared" si="181"/>
        <v>e</v>
      </c>
      <c r="AE1843" t="str">
        <f t="shared" si="185"/>
        <v>Possession</v>
      </c>
      <c r="AF1843" t="str">
        <f t="shared" si="183"/>
        <v>PuckRecovery</v>
      </c>
      <c r="AG1843" t="str">
        <f t="shared" si="184"/>
        <v/>
      </c>
      <c r="AN1843" t="str">
        <f t="shared" si="180"/>
        <v>Offensive</v>
      </c>
    </row>
    <row r="1844" spans="1:40" x14ac:dyDescent="0.2">
      <c r="A1844">
        <v>922</v>
      </c>
      <c r="B1844" t="str">
        <f t="shared" si="186"/>
        <v/>
      </c>
      <c r="J1844">
        <v>17</v>
      </c>
      <c r="U1844" s="8">
        <f t="shared" si="182"/>
        <v>2</v>
      </c>
      <c r="AD1844" t="str">
        <f t="shared" si="181"/>
        <v>o</v>
      </c>
      <c r="AE1844" t="str">
        <f t="shared" si="185"/>
        <v>Possession</v>
      </c>
      <c r="AF1844" t="str">
        <f t="shared" si="183"/>
        <v>PuckRecovery</v>
      </c>
      <c r="AG1844" t="str">
        <f t="shared" si="184"/>
        <v/>
      </c>
      <c r="AN1844" t="str">
        <f t="shared" si="180"/>
        <v>Defensive</v>
      </c>
    </row>
    <row r="1845" spans="1:40" x14ac:dyDescent="0.2">
      <c r="A1845">
        <v>923</v>
      </c>
      <c r="B1845" t="str">
        <f t="shared" si="186"/>
        <v/>
      </c>
      <c r="E1845" s="5" t="s">
        <v>907</v>
      </c>
      <c r="F1845" s="5" t="s">
        <v>853</v>
      </c>
      <c r="I1845" t="s">
        <v>835</v>
      </c>
      <c r="J1845">
        <v>42</v>
      </c>
      <c r="K1845">
        <v>1</v>
      </c>
      <c r="L1845" t="s">
        <v>401</v>
      </c>
      <c r="M1845" t="s">
        <v>8</v>
      </c>
      <c r="N1845" t="s">
        <v>189</v>
      </c>
      <c r="O1845" t="s">
        <v>70</v>
      </c>
      <c r="P1845" t="s">
        <v>689</v>
      </c>
      <c r="Q1845" t="s">
        <v>669</v>
      </c>
      <c r="S1845" t="s">
        <v>689</v>
      </c>
      <c r="T1845">
        <v>1</v>
      </c>
      <c r="U1845" s="8">
        <f t="shared" si="182"/>
        <v>2</v>
      </c>
      <c r="AD1845" t="str">
        <f t="shared" si="181"/>
        <v>e</v>
      </c>
      <c r="AE1845" t="str">
        <f t="shared" si="185"/>
        <v>Pass</v>
      </c>
      <c r="AF1845" t="str">
        <f t="shared" si="183"/>
        <v>Pass_Completed</v>
      </c>
      <c r="AG1845" t="str">
        <f t="shared" si="184"/>
        <v>Pass-Forehand</v>
      </c>
      <c r="AN1845" t="str">
        <f t="shared" si="180"/>
        <v>Offensive</v>
      </c>
    </row>
    <row r="1846" spans="1:40" x14ac:dyDescent="0.2">
      <c r="A1846">
        <v>923</v>
      </c>
      <c r="B1846" t="str">
        <f t="shared" si="186"/>
        <v/>
      </c>
      <c r="J1846">
        <v>22</v>
      </c>
      <c r="K1846">
        <v>1</v>
      </c>
      <c r="U1846" s="8">
        <f t="shared" si="182"/>
        <v>2</v>
      </c>
      <c r="AD1846" t="str">
        <f t="shared" si="181"/>
        <v>e</v>
      </c>
      <c r="AE1846" t="str">
        <f t="shared" si="185"/>
        <v>Pass</v>
      </c>
      <c r="AF1846" t="str">
        <f t="shared" si="183"/>
        <v>Pass_Completed</v>
      </c>
      <c r="AG1846" t="str">
        <f t="shared" si="184"/>
        <v>Pass-Forehand</v>
      </c>
      <c r="AN1846" t="str">
        <f t="shared" si="180"/>
        <v>Offensive</v>
      </c>
    </row>
    <row r="1847" spans="1:40" x14ac:dyDescent="0.2">
      <c r="A1847">
        <v>923</v>
      </c>
      <c r="B1847" t="str">
        <f t="shared" si="186"/>
        <v/>
      </c>
      <c r="J1847">
        <v>17</v>
      </c>
      <c r="T1847">
        <v>1</v>
      </c>
      <c r="U1847" s="8">
        <f t="shared" si="182"/>
        <v>2</v>
      </c>
      <c r="AD1847" t="str">
        <f t="shared" si="181"/>
        <v>o</v>
      </c>
      <c r="AE1847" t="str">
        <f t="shared" si="185"/>
        <v>Pass</v>
      </c>
      <c r="AF1847" t="str">
        <f t="shared" si="183"/>
        <v>Pass_Completed</v>
      </c>
      <c r="AG1847" t="str">
        <f t="shared" si="184"/>
        <v>Pass-Forehand</v>
      </c>
      <c r="AN1847" t="str">
        <f t="shared" si="180"/>
        <v>Defensive</v>
      </c>
    </row>
    <row r="1848" spans="1:40" x14ac:dyDescent="0.2">
      <c r="A1848">
        <v>923</v>
      </c>
      <c r="B1848" t="str">
        <f t="shared" si="186"/>
        <v/>
      </c>
      <c r="J1848">
        <v>26</v>
      </c>
      <c r="T1848">
        <v>1</v>
      </c>
      <c r="U1848" s="8">
        <f t="shared" si="182"/>
        <v>2</v>
      </c>
      <c r="AD1848" t="str">
        <f t="shared" si="181"/>
        <v>o</v>
      </c>
      <c r="AE1848" t="str">
        <f t="shared" si="185"/>
        <v>Pass</v>
      </c>
      <c r="AF1848" t="str">
        <f t="shared" si="183"/>
        <v>Pass_Completed</v>
      </c>
      <c r="AG1848" t="str">
        <f t="shared" si="184"/>
        <v>Pass-Forehand</v>
      </c>
      <c r="AN1848" t="str">
        <f t="shared" si="180"/>
        <v>Defensive</v>
      </c>
    </row>
    <row r="1849" spans="1:40" x14ac:dyDescent="0.2">
      <c r="A1849">
        <v>924</v>
      </c>
      <c r="B1849" t="str">
        <f t="shared" si="186"/>
        <v/>
      </c>
      <c r="E1849" s="5" t="s">
        <v>907</v>
      </c>
      <c r="F1849" s="5" t="s">
        <v>854</v>
      </c>
      <c r="G1849" s="5" t="s">
        <v>907</v>
      </c>
      <c r="H1849" s="7" t="s">
        <v>857</v>
      </c>
      <c r="I1849" s="5" t="s">
        <v>835</v>
      </c>
      <c r="J1849">
        <v>22</v>
      </c>
      <c r="K1849">
        <v>1</v>
      </c>
      <c r="L1849" t="s">
        <v>401</v>
      </c>
      <c r="M1849" t="s">
        <v>15</v>
      </c>
      <c r="Q1849" t="s">
        <v>152</v>
      </c>
      <c r="S1849" t="s">
        <v>689</v>
      </c>
      <c r="T1849">
        <v>1</v>
      </c>
      <c r="U1849" s="8">
        <f t="shared" si="182"/>
        <v>2</v>
      </c>
      <c r="AD1849" t="str">
        <f t="shared" si="181"/>
        <v>e</v>
      </c>
      <c r="AE1849" t="str">
        <f t="shared" si="185"/>
        <v>Possession</v>
      </c>
      <c r="AF1849" t="str">
        <f t="shared" si="183"/>
        <v/>
      </c>
      <c r="AG1849" t="str">
        <f t="shared" si="184"/>
        <v/>
      </c>
      <c r="AN1849" t="str">
        <f t="shared" ref="AN1849:AN1912" si="187">IF(AND(AD1849="e",OR(AE1849="Save",AF1849="Turnover_Takeaway",AF1849="Play_Defensive")),"Defensive",IF(AND(AD1849="o",OR(AE1849="Save",AF1849="Turnover_Takeaway",AF1849="Play_Defensive")),"Offensive",IF(OR(AE1849="Deadice",AE1849="Stoppage",AE1849="Intermission"),"",IF(AD1849="e","Offensive",IF(AD1849="o","Defensive","")))))</f>
        <v>Offensive</v>
      </c>
    </row>
    <row r="1850" spans="1:40" x14ac:dyDescent="0.2">
      <c r="A1850">
        <v>924</v>
      </c>
      <c r="B1850" t="str">
        <f t="shared" si="186"/>
        <v/>
      </c>
      <c r="J1850">
        <v>8</v>
      </c>
      <c r="Q1850" t="s">
        <v>166</v>
      </c>
      <c r="S1850" t="s">
        <v>688</v>
      </c>
      <c r="T1850">
        <v>1</v>
      </c>
      <c r="U1850" s="8">
        <f t="shared" si="182"/>
        <v>2</v>
      </c>
      <c r="AD1850" t="str">
        <f t="shared" si="181"/>
        <v>o</v>
      </c>
      <c r="AE1850" t="str">
        <f t="shared" si="185"/>
        <v>Possession</v>
      </c>
      <c r="AF1850" t="str">
        <f t="shared" si="183"/>
        <v/>
      </c>
      <c r="AG1850" t="str">
        <f t="shared" si="184"/>
        <v/>
      </c>
      <c r="AN1850" t="str">
        <f t="shared" si="187"/>
        <v>Defensive</v>
      </c>
    </row>
    <row r="1851" spans="1:40" x14ac:dyDescent="0.2">
      <c r="A1851">
        <v>925</v>
      </c>
      <c r="B1851">
        <v>156</v>
      </c>
      <c r="E1851" s="5" t="s">
        <v>907</v>
      </c>
      <c r="F1851" s="5" t="s">
        <v>857</v>
      </c>
      <c r="I1851" t="s">
        <v>835</v>
      </c>
      <c r="J1851">
        <v>22</v>
      </c>
      <c r="K1851">
        <v>1</v>
      </c>
      <c r="L1851" t="s">
        <v>401</v>
      </c>
      <c r="M1851" t="s">
        <v>8</v>
      </c>
      <c r="N1851" t="s">
        <v>216</v>
      </c>
      <c r="O1851" t="s">
        <v>70</v>
      </c>
      <c r="P1851" t="s">
        <v>688</v>
      </c>
      <c r="U1851" s="8">
        <f t="shared" si="182"/>
        <v>2</v>
      </c>
      <c r="AD1851" t="str">
        <f t="shared" si="181"/>
        <v>e</v>
      </c>
      <c r="AE1851" t="str">
        <f t="shared" si="185"/>
        <v>Pass</v>
      </c>
      <c r="AF1851" t="str">
        <f t="shared" si="183"/>
        <v>Pass_Intercepted</v>
      </c>
      <c r="AG1851" t="str">
        <f t="shared" si="184"/>
        <v>Pass-Forehand</v>
      </c>
      <c r="AN1851" t="str">
        <f t="shared" si="187"/>
        <v>Offensive</v>
      </c>
    </row>
    <row r="1852" spans="1:40" x14ac:dyDescent="0.2">
      <c r="A1852">
        <v>925</v>
      </c>
      <c r="B1852">
        <f t="shared" si="186"/>
        <v>156</v>
      </c>
      <c r="J1852">
        <v>87</v>
      </c>
      <c r="K1852">
        <v>1</v>
      </c>
      <c r="U1852" s="8">
        <f t="shared" si="182"/>
        <v>2</v>
      </c>
      <c r="AD1852" t="str">
        <f t="shared" si="181"/>
        <v>e</v>
      </c>
      <c r="AE1852" t="str">
        <f t="shared" si="185"/>
        <v>Pass</v>
      </c>
      <c r="AF1852" t="str">
        <f t="shared" si="183"/>
        <v>Pass_Intercepted</v>
      </c>
      <c r="AG1852" t="str">
        <f t="shared" si="184"/>
        <v>Pass-Forehand</v>
      </c>
      <c r="AN1852" t="str">
        <f t="shared" si="187"/>
        <v>Offensive</v>
      </c>
    </row>
    <row r="1853" spans="1:40" x14ac:dyDescent="0.2">
      <c r="A1853">
        <v>925</v>
      </c>
      <c r="B1853">
        <f t="shared" si="186"/>
        <v>156</v>
      </c>
      <c r="J1853">
        <v>19</v>
      </c>
      <c r="Q1853" t="s">
        <v>648</v>
      </c>
      <c r="S1853" t="s">
        <v>689</v>
      </c>
      <c r="U1853" s="8">
        <f t="shared" si="182"/>
        <v>2</v>
      </c>
      <c r="AD1853" t="str">
        <f t="shared" si="181"/>
        <v>o</v>
      </c>
      <c r="AE1853" t="str">
        <f t="shared" si="185"/>
        <v>Pass</v>
      </c>
      <c r="AF1853" t="str">
        <f t="shared" si="183"/>
        <v>Pass_Intercepted</v>
      </c>
      <c r="AG1853" t="str">
        <f t="shared" si="184"/>
        <v>Pass-Forehand</v>
      </c>
      <c r="AN1853" t="str">
        <f t="shared" si="187"/>
        <v>Defensive</v>
      </c>
    </row>
    <row r="1854" spans="1:40" x14ac:dyDescent="0.2">
      <c r="A1854">
        <v>926</v>
      </c>
      <c r="B1854">
        <v>156</v>
      </c>
      <c r="E1854" s="5" t="s">
        <v>907</v>
      </c>
      <c r="F1854" s="5" t="s">
        <v>857</v>
      </c>
      <c r="I1854" t="s">
        <v>835</v>
      </c>
      <c r="J1854">
        <v>22</v>
      </c>
      <c r="K1854">
        <v>1</v>
      </c>
      <c r="L1854" t="s">
        <v>401</v>
      </c>
      <c r="M1854" t="s">
        <v>10</v>
      </c>
      <c r="N1854" t="s">
        <v>190</v>
      </c>
      <c r="O1854" t="s">
        <v>75</v>
      </c>
      <c r="P1854" t="s">
        <v>688</v>
      </c>
      <c r="U1854" s="8">
        <f t="shared" si="182"/>
        <v>2</v>
      </c>
      <c r="AD1854" t="str">
        <f t="shared" si="181"/>
        <v>e</v>
      </c>
      <c r="AE1854" t="str">
        <f t="shared" si="185"/>
        <v>Turnover</v>
      </c>
      <c r="AF1854" t="str">
        <f t="shared" si="183"/>
        <v>Turnover_Giveaway</v>
      </c>
      <c r="AG1854" t="str">
        <f t="shared" si="184"/>
        <v>Giveaway-PassIntercepted</v>
      </c>
      <c r="AN1854" t="str">
        <f t="shared" si="187"/>
        <v>Offensive</v>
      </c>
    </row>
    <row r="1855" spans="1:40" x14ac:dyDescent="0.2">
      <c r="A1855">
        <v>926</v>
      </c>
      <c r="B1855">
        <f t="shared" si="186"/>
        <v>156</v>
      </c>
      <c r="J1855">
        <v>87</v>
      </c>
      <c r="K1855">
        <v>1</v>
      </c>
      <c r="U1855" s="8">
        <f t="shared" si="182"/>
        <v>2</v>
      </c>
      <c r="AD1855" t="str">
        <f t="shared" si="181"/>
        <v>e</v>
      </c>
      <c r="AE1855" t="str">
        <f t="shared" si="185"/>
        <v>Turnover</v>
      </c>
      <c r="AF1855" t="str">
        <f t="shared" si="183"/>
        <v>Turnover_Giveaway</v>
      </c>
      <c r="AG1855" t="str">
        <f t="shared" si="184"/>
        <v>Giveaway-PassIntercepted</v>
      </c>
      <c r="AN1855" t="str">
        <f t="shared" si="187"/>
        <v>Offensive</v>
      </c>
    </row>
    <row r="1856" spans="1:40" x14ac:dyDescent="0.2">
      <c r="A1856">
        <v>926</v>
      </c>
      <c r="B1856">
        <f t="shared" si="186"/>
        <v>156</v>
      </c>
      <c r="J1856">
        <v>19</v>
      </c>
      <c r="Q1856" t="s">
        <v>648</v>
      </c>
      <c r="S1856" t="s">
        <v>689</v>
      </c>
      <c r="U1856" s="8">
        <f t="shared" si="182"/>
        <v>2</v>
      </c>
      <c r="AD1856" t="str">
        <f t="shared" si="181"/>
        <v>o</v>
      </c>
      <c r="AE1856" t="str">
        <f t="shared" si="185"/>
        <v>Turnover</v>
      </c>
      <c r="AF1856" t="str">
        <f t="shared" si="183"/>
        <v>Turnover_Giveaway</v>
      </c>
      <c r="AG1856" t="str">
        <f t="shared" si="184"/>
        <v>Giveaway-PassIntercepted</v>
      </c>
      <c r="AN1856" t="str">
        <f t="shared" si="187"/>
        <v>Defensive</v>
      </c>
    </row>
    <row r="1857" spans="1:40" x14ac:dyDescent="0.2">
      <c r="A1857">
        <v>927</v>
      </c>
      <c r="B1857" t="str">
        <f t="shared" si="186"/>
        <v/>
      </c>
      <c r="E1857" s="5" t="s">
        <v>907</v>
      </c>
      <c r="F1857" s="5" t="s">
        <v>860</v>
      </c>
      <c r="I1857" t="s">
        <v>840</v>
      </c>
      <c r="J1857">
        <v>19</v>
      </c>
      <c r="K1857">
        <v>1</v>
      </c>
      <c r="L1857" t="s">
        <v>845</v>
      </c>
      <c r="M1857" t="s">
        <v>8</v>
      </c>
      <c r="N1857" t="s">
        <v>189</v>
      </c>
      <c r="O1857" t="s">
        <v>70</v>
      </c>
      <c r="P1857" t="s">
        <v>689</v>
      </c>
      <c r="Q1857" t="s">
        <v>669</v>
      </c>
      <c r="S1857" t="s">
        <v>689</v>
      </c>
      <c r="U1857" s="8">
        <f t="shared" si="182"/>
        <v>2</v>
      </c>
      <c r="AD1857" t="str">
        <f t="shared" si="181"/>
        <v>e</v>
      </c>
      <c r="AE1857" t="str">
        <f t="shared" si="185"/>
        <v>Pass</v>
      </c>
      <c r="AF1857" t="str">
        <f t="shared" si="183"/>
        <v>Pass_Completed</v>
      </c>
      <c r="AG1857" t="str">
        <f t="shared" si="184"/>
        <v>Pass-Forehand</v>
      </c>
      <c r="AN1857" t="str">
        <f t="shared" si="187"/>
        <v>Offensive</v>
      </c>
    </row>
    <row r="1858" spans="1:40" x14ac:dyDescent="0.2">
      <c r="A1858">
        <v>927</v>
      </c>
      <c r="B1858" t="str">
        <f t="shared" si="186"/>
        <v/>
      </c>
      <c r="J1858">
        <v>17</v>
      </c>
      <c r="K1858">
        <v>1</v>
      </c>
      <c r="U1858" s="8">
        <f t="shared" si="182"/>
        <v>2</v>
      </c>
      <c r="AD1858" t="str">
        <f t="shared" ref="AD1858:AD1921" si="188">IF(K1858="x","",IF(K1858=1,"e","o"))</f>
        <v>e</v>
      </c>
      <c r="AE1858" t="str">
        <f t="shared" si="185"/>
        <v>Pass</v>
      </c>
      <c r="AF1858" t="str">
        <f t="shared" si="183"/>
        <v>Pass_Completed</v>
      </c>
      <c r="AG1858" t="str">
        <f t="shared" si="184"/>
        <v>Pass-Forehand</v>
      </c>
      <c r="AN1858" t="str">
        <f t="shared" si="187"/>
        <v>Offensive</v>
      </c>
    </row>
    <row r="1859" spans="1:40" x14ac:dyDescent="0.2">
      <c r="A1859">
        <v>928</v>
      </c>
      <c r="B1859">
        <v>157</v>
      </c>
      <c r="E1859" s="5" t="s">
        <v>907</v>
      </c>
      <c r="F1859" s="5" t="s">
        <v>860</v>
      </c>
      <c r="I1859" t="s">
        <v>840</v>
      </c>
      <c r="J1859">
        <v>17</v>
      </c>
      <c r="K1859">
        <v>1</v>
      </c>
      <c r="L1859" t="s">
        <v>845</v>
      </c>
      <c r="M1859" t="s">
        <v>8</v>
      </c>
      <c r="N1859" t="s">
        <v>189</v>
      </c>
      <c r="O1859" t="s">
        <v>67</v>
      </c>
      <c r="P1859" t="s">
        <v>689</v>
      </c>
      <c r="Q1859" t="s">
        <v>485</v>
      </c>
      <c r="S1859" t="s">
        <v>689</v>
      </c>
      <c r="U1859" s="8">
        <f t="shared" ref="U1859:U1922" si="189">IF(M1859="Intermission",U1858+1,U1858)</f>
        <v>2</v>
      </c>
      <c r="AD1859" t="str">
        <f t="shared" si="188"/>
        <v>e</v>
      </c>
      <c r="AE1859" t="str">
        <f t="shared" si="185"/>
        <v>Pass</v>
      </c>
      <c r="AF1859" t="str">
        <f t="shared" ref="AF1859:AF1922" si="190">IF(N1859&lt;&gt;"",N1859,IF($A1859=$A1858,AF1858,""))</f>
        <v>Pass_Completed</v>
      </c>
      <c r="AG1859" t="str">
        <f t="shared" ref="AG1859:AG1922" si="191">IF(O1859&lt;&gt;"",O1859,IF($A1859=$A1858,AG1858,""))</f>
        <v>Pass-Stretch</v>
      </c>
      <c r="AN1859" t="str">
        <f t="shared" si="187"/>
        <v>Offensive</v>
      </c>
    </row>
    <row r="1860" spans="1:40" x14ac:dyDescent="0.2">
      <c r="A1860">
        <v>928</v>
      </c>
      <c r="B1860">
        <f t="shared" si="186"/>
        <v>157</v>
      </c>
      <c r="J1860">
        <v>8</v>
      </c>
      <c r="K1860">
        <v>1</v>
      </c>
      <c r="U1860" s="8">
        <f t="shared" si="189"/>
        <v>2</v>
      </c>
      <c r="AD1860" t="str">
        <f t="shared" si="188"/>
        <v>e</v>
      </c>
      <c r="AE1860" t="str">
        <f t="shared" ref="AE1860:AE1923" si="192">IF(M1860&lt;&gt;"",M1860,IF($A1860=$A1859,AE1859,""))</f>
        <v>Pass</v>
      </c>
      <c r="AF1860" t="str">
        <f t="shared" si="190"/>
        <v>Pass_Completed</v>
      </c>
      <c r="AG1860" t="str">
        <f t="shared" si="191"/>
        <v>Pass-Stretch</v>
      </c>
      <c r="AN1860" t="str">
        <f t="shared" si="187"/>
        <v>Offensive</v>
      </c>
    </row>
    <row r="1861" spans="1:40" x14ac:dyDescent="0.2">
      <c r="A1861">
        <v>929</v>
      </c>
      <c r="B1861">
        <v>157</v>
      </c>
      <c r="E1861" s="5" t="s">
        <v>907</v>
      </c>
      <c r="F1861" s="5" t="s">
        <v>860</v>
      </c>
      <c r="I1861" t="s">
        <v>840</v>
      </c>
      <c r="J1861">
        <v>17</v>
      </c>
      <c r="K1861">
        <v>1</v>
      </c>
      <c r="L1861" t="s">
        <v>845</v>
      </c>
      <c r="M1861" t="s">
        <v>257</v>
      </c>
      <c r="N1861" t="s">
        <v>201</v>
      </c>
      <c r="O1861" t="s">
        <v>91</v>
      </c>
      <c r="P1861" t="s">
        <v>689</v>
      </c>
      <c r="Q1861" t="s">
        <v>485</v>
      </c>
      <c r="S1861" t="s">
        <v>689</v>
      </c>
      <c r="U1861" s="8">
        <f t="shared" si="189"/>
        <v>2</v>
      </c>
      <c r="AD1861" t="str">
        <f t="shared" si="188"/>
        <v>e</v>
      </c>
      <c r="AE1861" t="str">
        <f t="shared" si="192"/>
        <v>Zone_Entry_Exit</v>
      </c>
      <c r="AF1861" t="str">
        <f t="shared" si="190"/>
        <v>Zone_Exit</v>
      </c>
      <c r="AG1861" t="str">
        <f t="shared" si="191"/>
        <v>ZoneExit-Pass</v>
      </c>
      <c r="AN1861" t="str">
        <f t="shared" si="187"/>
        <v>Offensive</v>
      </c>
    </row>
    <row r="1862" spans="1:40" x14ac:dyDescent="0.2">
      <c r="A1862">
        <v>929</v>
      </c>
      <c r="B1862">
        <f t="shared" si="186"/>
        <v>157</v>
      </c>
      <c r="J1862">
        <v>8</v>
      </c>
      <c r="K1862">
        <v>1</v>
      </c>
      <c r="U1862" s="8">
        <f t="shared" si="189"/>
        <v>2</v>
      </c>
      <c r="AD1862" t="str">
        <f t="shared" si="188"/>
        <v>e</v>
      </c>
      <c r="AE1862" t="str">
        <f t="shared" si="192"/>
        <v>Zone_Entry_Exit</v>
      </c>
      <c r="AF1862" t="str">
        <f t="shared" si="190"/>
        <v>Zone_Exit</v>
      </c>
      <c r="AG1862" t="str">
        <f t="shared" si="191"/>
        <v>ZoneExit-Pass</v>
      </c>
      <c r="AN1862" t="str">
        <f t="shared" si="187"/>
        <v>Offensive</v>
      </c>
    </row>
    <row r="1863" spans="1:40" x14ac:dyDescent="0.2">
      <c r="A1863">
        <v>930</v>
      </c>
      <c r="B1863" t="str">
        <f t="shared" si="186"/>
        <v/>
      </c>
      <c r="E1863" s="5" t="s">
        <v>907</v>
      </c>
      <c r="F1863" s="5" t="s">
        <v>909</v>
      </c>
      <c r="G1863" s="5" t="s">
        <v>907</v>
      </c>
      <c r="H1863" s="7" t="s">
        <v>836</v>
      </c>
      <c r="I1863" s="5" t="s">
        <v>840</v>
      </c>
      <c r="J1863">
        <v>8</v>
      </c>
      <c r="K1863">
        <v>1</v>
      </c>
      <c r="L1863" s="5" t="s">
        <v>839</v>
      </c>
      <c r="M1863" t="s">
        <v>15</v>
      </c>
      <c r="U1863" s="8">
        <f t="shared" si="189"/>
        <v>2</v>
      </c>
      <c r="AD1863" t="str">
        <f t="shared" si="188"/>
        <v>e</v>
      </c>
      <c r="AE1863" t="str">
        <f t="shared" si="192"/>
        <v>Possession</v>
      </c>
      <c r="AF1863" t="str">
        <f t="shared" si="190"/>
        <v/>
      </c>
      <c r="AG1863" t="str">
        <f t="shared" si="191"/>
        <v/>
      </c>
      <c r="AN1863" t="str">
        <f t="shared" si="187"/>
        <v>Offensive</v>
      </c>
    </row>
    <row r="1864" spans="1:40" x14ac:dyDescent="0.2">
      <c r="A1864">
        <v>931</v>
      </c>
      <c r="B1864" t="str">
        <f t="shared" si="186"/>
        <v/>
      </c>
      <c r="E1864" s="5" t="s">
        <v>907</v>
      </c>
      <c r="F1864" s="5" t="s">
        <v>836</v>
      </c>
      <c r="G1864" s="5" t="s">
        <v>907</v>
      </c>
      <c r="H1864" s="7" t="s">
        <v>864</v>
      </c>
      <c r="I1864" t="s">
        <v>840</v>
      </c>
      <c r="J1864">
        <v>8</v>
      </c>
      <c r="K1864">
        <v>1</v>
      </c>
      <c r="L1864" t="s">
        <v>401</v>
      </c>
      <c r="M1864" t="s">
        <v>257</v>
      </c>
      <c r="N1864" t="s">
        <v>191</v>
      </c>
      <c r="O1864" t="s">
        <v>87</v>
      </c>
      <c r="P1864" t="s">
        <v>689</v>
      </c>
      <c r="Q1864" t="s">
        <v>151</v>
      </c>
      <c r="R1864" t="s">
        <v>145</v>
      </c>
      <c r="S1864" t="s">
        <v>689</v>
      </c>
      <c r="T1864">
        <v>1</v>
      </c>
      <c r="U1864" s="8">
        <f t="shared" si="189"/>
        <v>2</v>
      </c>
      <c r="AD1864" t="str">
        <f t="shared" si="188"/>
        <v>e</v>
      </c>
      <c r="AE1864" t="str">
        <f t="shared" si="192"/>
        <v>Zone_Entry_Exit</v>
      </c>
      <c r="AF1864" t="str">
        <f t="shared" si="190"/>
        <v>Zone_Entry</v>
      </c>
      <c r="AG1864" t="str">
        <f t="shared" si="191"/>
        <v>ZoneEntry-Rush</v>
      </c>
      <c r="AN1864" t="str">
        <f t="shared" si="187"/>
        <v>Offensive</v>
      </c>
    </row>
    <row r="1865" spans="1:40" x14ac:dyDescent="0.2">
      <c r="A1865">
        <v>931</v>
      </c>
      <c r="B1865" t="str">
        <f t="shared" si="186"/>
        <v/>
      </c>
      <c r="J1865">
        <v>52</v>
      </c>
      <c r="T1865">
        <v>1</v>
      </c>
      <c r="U1865" s="8">
        <f t="shared" si="189"/>
        <v>2</v>
      </c>
      <c r="AD1865" t="str">
        <f t="shared" si="188"/>
        <v>o</v>
      </c>
      <c r="AE1865" t="str">
        <f t="shared" si="192"/>
        <v>Zone_Entry_Exit</v>
      </c>
      <c r="AF1865" t="str">
        <f t="shared" si="190"/>
        <v>Zone_Entry</v>
      </c>
      <c r="AG1865" t="str">
        <f t="shared" si="191"/>
        <v>ZoneEntry-Rush</v>
      </c>
      <c r="AN1865" t="str">
        <f t="shared" si="187"/>
        <v>Defensive</v>
      </c>
    </row>
    <row r="1866" spans="1:40" x14ac:dyDescent="0.2">
      <c r="A1866">
        <v>932</v>
      </c>
      <c r="B1866" t="str">
        <f t="shared" si="186"/>
        <v/>
      </c>
      <c r="E1866" s="5" t="s">
        <v>907</v>
      </c>
      <c r="F1866" s="5" t="s">
        <v>864</v>
      </c>
      <c r="I1866" t="s">
        <v>840</v>
      </c>
      <c r="J1866">
        <v>8</v>
      </c>
      <c r="K1866">
        <v>1</v>
      </c>
      <c r="L1866" t="s">
        <v>401</v>
      </c>
      <c r="M1866" t="s">
        <v>8</v>
      </c>
      <c r="N1866" t="s">
        <v>189</v>
      </c>
      <c r="O1866" t="s">
        <v>418</v>
      </c>
      <c r="P1866" t="s">
        <v>689</v>
      </c>
      <c r="U1866" s="8">
        <f t="shared" si="189"/>
        <v>2</v>
      </c>
      <c r="AD1866" t="str">
        <f t="shared" si="188"/>
        <v>e</v>
      </c>
      <c r="AE1866" t="str">
        <f t="shared" si="192"/>
        <v>Pass</v>
      </c>
      <c r="AF1866" t="str">
        <f t="shared" si="190"/>
        <v>Pass_Completed</v>
      </c>
      <c r="AG1866" t="str">
        <f t="shared" si="191"/>
        <v>Pass-Drop</v>
      </c>
      <c r="AN1866" t="str">
        <f t="shared" si="187"/>
        <v>Offensive</v>
      </c>
    </row>
    <row r="1867" spans="1:40" x14ac:dyDescent="0.2">
      <c r="A1867">
        <v>932</v>
      </c>
      <c r="B1867" t="str">
        <f t="shared" si="186"/>
        <v/>
      </c>
      <c r="J1867">
        <v>19</v>
      </c>
      <c r="U1867" s="8">
        <f t="shared" si="189"/>
        <v>2</v>
      </c>
      <c r="AD1867" t="str">
        <f t="shared" si="188"/>
        <v>o</v>
      </c>
      <c r="AE1867" t="str">
        <f t="shared" si="192"/>
        <v>Pass</v>
      </c>
      <c r="AF1867" t="str">
        <f t="shared" si="190"/>
        <v>Pass_Completed</v>
      </c>
      <c r="AG1867" t="str">
        <f t="shared" si="191"/>
        <v>Pass-Drop</v>
      </c>
      <c r="AN1867" t="str">
        <f t="shared" si="187"/>
        <v>Defensive</v>
      </c>
    </row>
    <row r="1868" spans="1:40" x14ac:dyDescent="0.2">
      <c r="A1868">
        <v>933</v>
      </c>
      <c r="B1868">
        <v>158</v>
      </c>
      <c r="E1868" s="5" t="s">
        <v>907</v>
      </c>
      <c r="F1868" s="5" t="s">
        <v>865</v>
      </c>
      <c r="I1868" t="s">
        <v>840</v>
      </c>
      <c r="J1868">
        <v>19</v>
      </c>
      <c r="K1868">
        <v>1</v>
      </c>
      <c r="L1868" t="s">
        <v>401</v>
      </c>
      <c r="M1868" t="s">
        <v>7</v>
      </c>
      <c r="N1868" t="s">
        <v>208</v>
      </c>
      <c r="O1868" t="s">
        <v>53</v>
      </c>
      <c r="P1868" t="s">
        <v>688</v>
      </c>
      <c r="T1868">
        <v>1</v>
      </c>
      <c r="U1868" s="8">
        <f t="shared" si="189"/>
        <v>2</v>
      </c>
      <c r="AD1868" t="str">
        <f t="shared" si="188"/>
        <v>e</v>
      </c>
      <c r="AE1868" t="str">
        <f t="shared" si="192"/>
        <v>Shot</v>
      </c>
      <c r="AF1868" t="str">
        <f t="shared" si="190"/>
        <v>Shot_Blocked</v>
      </c>
      <c r="AG1868" t="str">
        <f t="shared" si="191"/>
        <v>Shot-Wrist</v>
      </c>
      <c r="AN1868" t="str">
        <f t="shared" si="187"/>
        <v>Offensive</v>
      </c>
    </row>
    <row r="1869" spans="1:40" x14ac:dyDescent="0.2">
      <c r="A1869">
        <v>933</v>
      </c>
      <c r="B1869">
        <f t="shared" si="186"/>
        <v>158</v>
      </c>
      <c r="J1869">
        <v>52</v>
      </c>
      <c r="Q1869" t="s">
        <v>646</v>
      </c>
      <c r="S1869" t="s">
        <v>689</v>
      </c>
      <c r="T1869">
        <v>1</v>
      </c>
      <c r="U1869" s="8">
        <f t="shared" si="189"/>
        <v>2</v>
      </c>
      <c r="AD1869" t="str">
        <f t="shared" si="188"/>
        <v>o</v>
      </c>
      <c r="AE1869" t="str">
        <f t="shared" si="192"/>
        <v>Shot</v>
      </c>
      <c r="AF1869" t="str">
        <f t="shared" si="190"/>
        <v>Shot_Blocked</v>
      </c>
      <c r="AG1869" t="str">
        <f t="shared" si="191"/>
        <v>Shot-Wrist</v>
      </c>
      <c r="AN1869" t="str">
        <f t="shared" si="187"/>
        <v>Defensive</v>
      </c>
    </row>
    <row r="1870" spans="1:40" x14ac:dyDescent="0.2">
      <c r="A1870">
        <v>934</v>
      </c>
      <c r="B1870">
        <v>158</v>
      </c>
      <c r="E1870" s="5" t="s">
        <v>907</v>
      </c>
      <c r="F1870" s="5" t="s">
        <v>865</v>
      </c>
      <c r="I1870" t="s">
        <v>840</v>
      </c>
      <c r="J1870">
        <v>19</v>
      </c>
      <c r="K1870">
        <v>1</v>
      </c>
      <c r="L1870" t="s">
        <v>401</v>
      </c>
      <c r="M1870" t="s">
        <v>10</v>
      </c>
      <c r="N1870" t="s">
        <v>190</v>
      </c>
      <c r="O1870" t="s">
        <v>78</v>
      </c>
      <c r="P1870" t="s">
        <v>688</v>
      </c>
      <c r="T1870">
        <v>1</v>
      </c>
      <c r="U1870" s="8">
        <f t="shared" si="189"/>
        <v>2</v>
      </c>
      <c r="AD1870" t="str">
        <f t="shared" si="188"/>
        <v>e</v>
      </c>
      <c r="AE1870" t="str">
        <f t="shared" si="192"/>
        <v>Turnover</v>
      </c>
      <c r="AF1870" t="str">
        <f t="shared" si="190"/>
        <v>Turnover_Giveaway</v>
      </c>
      <c r="AG1870" t="str">
        <f t="shared" si="191"/>
        <v>Giveaway-ShotBlocked</v>
      </c>
      <c r="AN1870" t="str">
        <f t="shared" si="187"/>
        <v>Offensive</v>
      </c>
    </row>
    <row r="1871" spans="1:40" x14ac:dyDescent="0.2">
      <c r="A1871">
        <v>934</v>
      </c>
      <c r="B1871">
        <f t="shared" si="186"/>
        <v>158</v>
      </c>
      <c r="J1871">
        <v>52</v>
      </c>
      <c r="Q1871" t="s">
        <v>646</v>
      </c>
      <c r="S1871" t="s">
        <v>689</v>
      </c>
      <c r="T1871">
        <v>1</v>
      </c>
      <c r="U1871" s="8">
        <f t="shared" si="189"/>
        <v>2</v>
      </c>
      <c r="AD1871" t="str">
        <f t="shared" si="188"/>
        <v>o</v>
      </c>
      <c r="AE1871" t="str">
        <f t="shared" si="192"/>
        <v>Turnover</v>
      </c>
      <c r="AF1871" t="str">
        <f t="shared" si="190"/>
        <v>Turnover_Giveaway</v>
      </c>
      <c r="AG1871" t="str">
        <f t="shared" si="191"/>
        <v>Giveaway-ShotBlocked</v>
      </c>
      <c r="AN1871" t="str">
        <f t="shared" si="187"/>
        <v>Defensive</v>
      </c>
    </row>
    <row r="1872" spans="1:40" x14ac:dyDescent="0.2">
      <c r="A1872">
        <v>935</v>
      </c>
      <c r="E1872" s="5" t="s">
        <v>907</v>
      </c>
      <c r="F1872" s="5" t="s">
        <v>899</v>
      </c>
      <c r="G1872" s="5" t="s">
        <v>907</v>
      </c>
      <c r="H1872" s="7" t="s">
        <v>868</v>
      </c>
      <c r="I1872" t="s">
        <v>835</v>
      </c>
      <c r="J1872">
        <v>42</v>
      </c>
      <c r="K1872">
        <v>1</v>
      </c>
      <c r="L1872" t="s">
        <v>845</v>
      </c>
      <c r="M1872" t="s">
        <v>15</v>
      </c>
      <c r="N1872" t="s">
        <v>680</v>
      </c>
      <c r="P1872" t="s">
        <v>688</v>
      </c>
      <c r="Q1872" t="s">
        <v>746</v>
      </c>
      <c r="S1872" t="s">
        <v>688</v>
      </c>
      <c r="U1872" s="8">
        <f t="shared" si="189"/>
        <v>2</v>
      </c>
      <c r="AD1872" t="str">
        <f t="shared" si="188"/>
        <v>e</v>
      </c>
      <c r="AE1872" t="str">
        <f t="shared" si="192"/>
        <v>Possession</v>
      </c>
      <c r="AF1872" t="str">
        <f t="shared" si="190"/>
        <v>PuckRetrieval</v>
      </c>
      <c r="AG1872" t="str">
        <f t="shared" si="191"/>
        <v/>
      </c>
      <c r="AN1872" t="str">
        <f t="shared" si="187"/>
        <v>Offensive</v>
      </c>
    </row>
    <row r="1873" spans="1:40" x14ac:dyDescent="0.2">
      <c r="A1873">
        <v>936</v>
      </c>
      <c r="B1873">
        <v>159</v>
      </c>
      <c r="E1873" s="5" t="s">
        <v>907</v>
      </c>
      <c r="F1873" s="5" t="s">
        <v>870</v>
      </c>
      <c r="I1873" t="s">
        <v>835</v>
      </c>
      <c r="J1873">
        <v>42</v>
      </c>
      <c r="K1873">
        <v>1</v>
      </c>
      <c r="L1873" t="s">
        <v>845</v>
      </c>
      <c r="M1873" t="s">
        <v>13</v>
      </c>
      <c r="N1873" t="s">
        <v>204</v>
      </c>
      <c r="O1873" t="s">
        <v>108</v>
      </c>
      <c r="U1873" s="8">
        <f t="shared" si="189"/>
        <v>2</v>
      </c>
      <c r="AD1873" t="str">
        <f t="shared" si="188"/>
        <v>e</v>
      </c>
      <c r="AE1873" t="str">
        <f t="shared" si="192"/>
        <v>Stoppage</v>
      </c>
      <c r="AF1873" t="str">
        <f t="shared" si="190"/>
        <v>Stoppage_Play</v>
      </c>
      <c r="AG1873" t="str">
        <f t="shared" si="191"/>
        <v>Stoppage-Icing</v>
      </c>
      <c r="AN1873" t="str">
        <f t="shared" si="187"/>
        <v/>
      </c>
    </row>
    <row r="1874" spans="1:40" x14ac:dyDescent="0.2">
      <c r="A1874">
        <v>937</v>
      </c>
      <c r="B1874">
        <v>159</v>
      </c>
      <c r="E1874" s="5" t="s">
        <v>907</v>
      </c>
      <c r="F1874" s="5" t="s">
        <v>870</v>
      </c>
      <c r="G1874" s="5" t="s">
        <v>908</v>
      </c>
      <c r="H1874" s="7" t="s">
        <v>877</v>
      </c>
      <c r="I1874" t="s">
        <v>835</v>
      </c>
      <c r="J1874">
        <v>42</v>
      </c>
      <c r="K1874">
        <v>1</v>
      </c>
      <c r="L1874" t="s">
        <v>845</v>
      </c>
      <c r="M1874" t="s">
        <v>262</v>
      </c>
      <c r="U1874" s="8">
        <f t="shared" si="189"/>
        <v>2</v>
      </c>
      <c r="AD1874" t="str">
        <f t="shared" si="188"/>
        <v>e</v>
      </c>
      <c r="AE1874" t="str">
        <f t="shared" si="192"/>
        <v>DeadIce</v>
      </c>
      <c r="AF1874" t="str">
        <f t="shared" si="190"/>
        <v/>
      </c>
      <c r="AG1874" t="str">
        <f t="shared" si="191"/>
        <v/>
      </c>
      <c r="AN1874" t="str">
        <f t="shared" si="187"/>
        <v/>
      </c>
    </row>
    <row r="1875" spans="1:40" x14ac:dyDescent="0.2">
      <c r="A1875">
        <v>938</v>
      </c>
      <c r="B1875" t="str">
        <f t="shared" si="186"/>
        <v/>
      </c>
      <c r="E1875" s="5" t="s">
        <v>908</v>
      </c>
      <c r="F1875" s="5" t="s">
        <v>877</v>
      </c>
      <c r="I1875" t="s">
        <v>840</v>
      </c>
      <c r="J1875">
        <v>46</v>
      </c>
      <c r="K1875">
        <v>1</v>
      </c>
      <c r="L1875">
        <v>0</v>
      </c>
      <c r="M1875" t="s">
        <v>6</v>
      </c>
      <c r="N1875" t="s">
        <v>255</v>
      </c>
      <c r="U1875" s="8">
        <f t="shared" si="189"/>
        <v>2</v>
      </c>
      <c r="AD1875" t="str">
        <f t="shared" si="188"/>
        <v>e</v>
      </c>
      <c r="AE1875" t="str">
        <f t="shared" si="192"/>
        <v>Faceoff</v>
      </c>
      <c r="AF1875" t="str">
        <f t="shared" si="190"/>
        <v>Faceoff_AfterStoppage</v>
      </c>
      <c r="AG1875" t="str">
        <f t="shared" si="191"/>
        <v/>
      </c>
      <c r="AN1875" t="str">
        <f t="shared" si="187"/>
        <v>Offensive</v>
      </c>
    </row>
    <row r="1876" spans="1:40" x14ac:dyDescent="0.2">
      <c r="A1876">
        <v>938</v>
      </c>
      <c r="B1876" t="str">
        <f t="shared" si="186"/>
        <v/>
      </c>
      <c r="J1876">
        <v>7</v>
      </c>
      <c r="K1876">
        <v>1</v>
      </c>
      <c r="U1876" s="8">
        <f t="shared" si="189"/>
        <v>2</v>
      </c>
      <c r="AD1876" t="str">
        <f t="shared" si="188"/>
        <v>e</v>
      </c>
      <c r="AE1876" t="str">
        <f t="shared" si="192"/>
        <v>Faceoff</v>
      </c>
      <c r="AF1876" t="str">
        <f t="shared" si="190"/>
        <v>Faceoff_AfterStoppage</v>
      </c>
      <c r="AG1876" t="str">
        <f t="shared" si="191"/>
        <v/>
      </c>
      <c r="AN1876" t="str">
        <f t="shared" si="187"/>
        <v>Offensive</v>
      </c>
    </row>
    <row r="1877" spans="1:40" x14ac:dyDescent="0.2">
      <c r="A1877">
        <v>938</v>
      </c>
      <c r="B1877" t="str">
        <f t="shared" si="186"/>
        <v/>
      </c>
      <c r="J1877">
        <v>49</v>
      </c>
      <c r="U1877" s="8">
        <f t="shared" si="189"/>
        <v>2</v>
      </c>
      <c r="AD1877" t="str">
        <f t="shared" si="188"/>
        <v>o</v>
      </c>
      <c r="AE1877" t="str">
        <f t="shared" si="192"/>
        <v>Faceoff</v>
      </c>
      <c r="AF1877" t="str">
        <f t="shared" si="190"/>
        <v>Faceoff_AfterStoppage</v>
      </c>
      <c r="AG1877" t="str">
        <f t="shared" si="191"/>
        <v/>
      </c>
      <c r="AN1877" t="str">
        <f t="shared" si="187"/>
        <v>Defensive</v>
      </c>
    </row>
    <row r="1878" spans="1:40" x14ac:dyDescent="0.2">
      <c r="A1878">
        <v>939</v>
      </c>
      <c r="B1878" t="str">
        <f t="shared" si="186"/>
        <v/>
      </c>
      <c r="E1878" s="5" t="s">
        <v>908</v>
      </c>
      <c r="F1878" s="5" t="s">
        <v>889</v>
      </c>
      <c r="G1878" s="5" t="s">
        <v>908</v>
      </c>
      <c r="H1878" s="7" t="s">
        <v>848</v>
      </c>
      <c r="I1878" s="5" t="s">
        <v>840</v>
      </c>
      <c r="J1878">
        <v>7</v>
      </c>
      <c r="K1878">
        <v>1</v>
      </c>
      <c r="L1878" t="s">
        <v>401</v>
      </c>
      <c r="M1878" t="s">
        <v>15</v>
      </c>
      <c r="Q1878" t="s">
        <v>151</v>
      </c>
      <c r="U1878" s="8">
        <f t="shared" si="189"/>
        <v>2</v>
      </c>
      <c r="AD1878" t="str">
        <f t="shared" si="188"/>
        <v>e</v>
      </c>
      <c r="AE1878" t="str">
        <f t="shared" si="192"/>
        <v>Possession</v>
      </c>
      <c r="AF1878" t="str">
        <f t="shared" si="190"/>
        <v/>
      </c>
      <c r="AG1878" t="str">
        <f t="shared" si="191"/>
        <v/>
      </c>
      <c r="AN1878" t="str">
        <f t="shared" si="187"/>
        <v>Offensive</v>
      </c>
    </row>
    <row r="1879" spans="1:40" x14ac:dyDescent="0.2">
      <c r="A1879">
        <v>940</v>
      </c>
      <c r="B1879" t="str">
        <f t="shared" si="186"/>
        <v/>
      </c>
      <c r="E1879" s="5" t="s">
        <v>908</v>
      </c>
      <c r="F1879" s="5" t="s">
        <v>878</v>
      </c>
      <c r="I1879" t="s">
        <v>840</v>
      </c>
      <c r="J1879">
        <v>7</v>
      </c>
      <c r="K1879">
        <v>1</v>
      </c>
      <c r="L1879" t="s">
        <v>401</v>
      </c>
      <c r="M1879" t="s">
        <v>10</v>
      </c>
      <c r="N1879" t="s">
        <v>190</v>
      </c>
      <c r="O1879" t="s">
        <v>424</v>
      </c>
      <c r="P1879" t="s">
        <v>688</v>
      </c>
      <c r="Q1879" t="s">
        <v>627</v>
      </c>
      <c r="R1879" t="s">
        <v>155</v>
      </c>
      <c r="S1879" t="s">
        <v>688</v>
      </c>
      <c r="U1879" s="8">
        <f t="shared" si="189"/>
        <v>2</v>
      </c>
      <c r="AD1879" t="str">
        <f t="shared" si="188"/>
        <v>e</v>
      </c>
      <c r="AE1879" t="str">
        <f t="shared" si="192"/>
        <v>Turnover</v>
      </c>
      <c r="AF1879" t="str">
        <f t="shared" si="190"/>
        <v>Turnover_Giveaway</v>
      </c>
      <c r="AG1879" t="str">
        <f t="shared" si="191"/>
        <v>Giveaway-DumpInZone</v>
      </c>
      <c r="AN1879" t="str">
        <f t="shared" si="187"/>
        <v>Offensive</v>
      </c>
    </row>
    <row r="1880" spans="1:40" x14ac:dyDescent="0.2">
      <c r="A1880">
        <v>941</v>
      </c>
      <c r="B1880" t="str">
        <f t="shared" si="186"/>
        <v/>
      </c>
      <c r="E1880" s="5" t="s">
        <v>908</v>
      </c>
      <c r="F1880" s="5" t="s">
        <v>880</v>
      </c>
      <c r="G1880" s="5" t="s">
        <v>908</v>
      </c>
      <c r="H1880" s="7" t="s">
        <v>850</v>
      </c>
      <c r="I1880" s="5" t="s">
        <v>835</v>
      </c>
      <c r="J1880">
        <v>84</v>
      </c>
      <c r="K1880">
        <v>1</v>
      </c>
      <c r="L1880" t="s">
        <v>845</v>
      </c>
      <c r="M1880" t="s">
        <v>15</v>
      </c>
      <c r="N1880" t="s">
        <v>680</v>
      </c>
      <c r="P1880" t="s">
        <v>689</v>
      </c>
      <c r="Q1880" t="s">
        <v>631</v>
      </c>
      <c r="S1880" t="s">
        <v>689</v>
      </c>
      <c r="T1880">
        <v>1</v>
      </c>
      <c r="U1880" s="8">
        <f t="shared" si="189"/>
        <v>2</v>
      </c>
      <c r="AD1880" t="str">
        <f t="shared" si="188"/>
        <v>e</v>
      </c>
      <c r="AE1880" t="str">
        <f t="shared" si="192"/>
        <v>Possession</v>
      </c>
      <c r="AF1880" t="str">
        <f t="shared" si="190"/>
        <v>PuckRetrieval</v>
      </c>
      <c r="AG1880" t="str">
        <f t="shared" si="191"/>
        <v/>
      </c>
      <c r="AN1880" t="str">
        <f t="shared" si="187"/>
        <v>Offensive</v>
      </c>
    </row>
    <row r="1881" spans="1:40" x14ac:dyDescent="0.2">
      <c r="A1881">
        <v>941</v>
      </c>
      <c r="B1881" t="str">
        <f t="shared" si="186"/>
        <v/>
      </c>
      <c r="J1881">
        <v>9</v>
      </c>
      <c r="Q1881" t="s">
        <v>672</v>
      </c>
      <c r="R1881" t="s">
        <v>156</v>
      </c>
      <c r="S1881" t="s">
        <v>688</v>
      </c>
      <c r="T1881">
        <v>1</v>
      </c>
      <c r="U1881" s="8">
        <f t="shared" si="189"/>
        <v>2</v>
      </c>
      <c r="AD1881" t="str">
        <f t="shared" si="188"/>
        <v>o</v>
      </c>
      <c r="AE1881" t="str">
        <f t="shared" si="192"/>
        <v>Possession</v>
      </c>
      <c r="AF1881" t="str">
        <f t="shared" si="190"/>
        <v>PuckRetrieval</v>
      </c>
      <c r="AG1881" t="str">
        <f t="shared" si="191"/>
        <v/>
      </c>
      <c r="AN1881" t="str">
        <f t="shared" si="187"/>
        <v>Defensive</v>
      </c>
    </row>
    <row r="1882" spans="1:40" x14ac:dyDescent="0.2">
      <c r="A1882">
        <v>941</v>
      </c>
      <c r="B1882" t="str">
        <f t="shared" si="186"/>
        <v/>
      </c>
      <c r="J1882">
        <v>46</v>
      </c>
      <c r="U1882" s="8">
        <f t="shared" si="189"/>
        <v>2</v>
      </c>
      <c r="AD1882" t="str">
        <f t="shared" si="188"/>
        <v>o</v>
      </c>
      <c r="AE1882" t="str">
        <f t="shared" si="192"/>
        <v>Possession</v>
      </c>
      <c r="AF1882" t="str">
        <f t="shared" si="190"/>
        <v>PuckRetrieval</v>
      </c>
      <c r="AG1882" t="str">
        <f t="shared" si="191"/>
        <v/>
      </c>
      <c r="AN1882" t="str">
        <f t="shared" si="187"/>
        <v>Defensive</v>
      </c>
    </row>
    <row r="1883" spans="1:40" x14ac:dyDescent="0.2">
      <c r="A1883">
        <v>942</v>
      </c>
      <c r="B1883" t="str">
        <f t="shared" si="186"/>
        <v/>
      </c>
      <c r="E1883" s="5" t="s">
        <v>908</v>
      </c>
      <c r="F1883" s="5" t="s">
        <v>850</v>
      </c>
      <c r="I1883" t="s">
        <v>835</v>
      </c>
      <c r="J1883">
        <v>84</v>
      </c>
      <c r="K1883">
        <v>1</v>
      </c>
      <c r="L1883" t="s">
        <v>845</v>
      </c>
      <c r="M1883" t="s">
        <v>8</v>
      </c>
      <c r="N1883" t="s">
        <v>189</v>
      </c>
      <c r="O1883" t="s">
        <v>70</v>
      </c>
      <c r="P1883" t="s">
        <v>689</v>
      </c>
      <c r="Q1883" t="s">
        <v>669</v>
      </c>
      <c r="S1883" t="s">
        <v>689</v>
      </c>
      <c r="U1883" s="8">
        <f t="shared" si="189"/>
        <v>2</v>
      </c>
      <c r="AD1883" t="str">
        <f t="shared" si="188"/>
        <v>e</v>
      </c>
      <c r="AE1883" t="str">
        <f t="shared" si="192"/>
        <v>Pass</v>
      </c>
      <c r="AF1883" t="str">
        <f t="shared" si="190"/>
        <v>Pass_Completed</v>
      </c>
      <c r="AG1883" t="str">
        <f t="shared" si="191"/>
        <v>Pass-Forehand</v>
      </c>
      <c r="AN1883" t="str">
        <f t="shared" si="187"/>
        <v>Offensive</v>
      </c>
    </row>
    <row r="1884" spans="1:40" x14ac:dyDescent="0.2">
      <c r="A1884">
        <v>942</v>
      </c>
      <c r="B1884" t="str">
        <f t="shared" si="186"/>
        <v/>
      </c>
      <c r="J1884">
        <v>55</v>
      </c>
      <c r="K1884">
        <v>1</v>
      </c>
      <c r="U1884" s="8">
        <f t="shared" si="189"/>
        <v>2</v>
      </c>
      <c r="AD1884" t="str">
        <f t="shared" si="188"/>
        <v>e</v>
      </c>
      <c r="AE1884" t="str">
        <f t="shared" si="192"/>
        <v>Pass</v>
      </c>
      <c r="AF1884" t="str">
        <f t="shared" si="190"/>
        <v>Pass_Completed</v>
      </c>
      <c r="AG1884" t="str">
        <f t="shared" si="191"/>
        <v>Pass-Forehand</v>
      </c>
      <c r="AN1884" t="str">
        <f t="shared" si="187"/>
        <v>Offensive</v>
      </c>
    </row>
    <row r="1885" spans="1:40" x14ac:dyDescent="0.2">
      <c r="A1885">
        <v>943</v>
      </c>
      <c r="B1885">
        <v>160</v>
      </c>
      <c r="E1885" s="5" t="s">
        <v>908</v>
      </c>
      <c r="F1885" s="5" t="s">
        <v>851</v>
      </c>
      <c r="I1885" t="s">
        <v>835</v>
      </c>
      <c r="J1885">
        <v>55</v>
      </c>
      <c r="K1885">
        <v>1</v>
      </c>
      <c r="L1885" t="s">
        <v>845</v>
      </c>
      <c r="M1885" t="s">
        <v>257</v>
      </c>
      <c r="N1885" t="s">
        <v>201</v>
      </c>
      <c r="O1885" t="s">
        <v>407</v>
      </c>
      <c r="P1885" t="s">
        <v>689</v>
      </c>
      <c r="U1885" s="8">
        <f t="shared" si="189"/>
        <v>2</v>
      </c>
      <c r="AD1885" t="str">
        <f t="shared" si="188"/>
        <v>e</v>
      </c>
      <c r="AE1885" t="str">
        <f t="shared" si="192"/>
        <v>Zone_Entry_Exit</v>
      </c>
      <c r="AF1885" t="str">
        <f t="shared" si="190"/>
        <v>Zone_Exit</v>
      </c>
      <c r="AG1885" t="str">
        <f t="shared" si="191"/>
        <v>ZoneExit-Chip</v>
      </c>
      <c r="AN1885" t="str">
        <f t="shared" si="187"/>
        <v>Offensive</v>
      </c>
    </row>
    <row r="1886" spans="1:40" x14ac:dyDescent="0.2">
      <c r="A1886">
        <v>943</v>
      </c>
      <c r="B1886">
        <v>160</v>
      </c>
      <c r="J1886">
        <v>7</v>
      </c>
      <c r="Q1886" t="s">
        <v>928</v>
      </c>
      <c r="S1886" t="s">
        <v>688</v>
      </c>
      <c r="U1886" s="8">
        <f t="shared" si="189"/>
        <v>2</v>
      </c>
      <c r="AD1886" t="str">
        <f t="shared" si="188"/>
        <v>o</v>
      </c>
      <c r="AE1886" t="str">
        <f t="shared" si="192"/>
        <v>Zone_Entry_Exit</v>
      </c>
      <c r="AF1886" t="str">
        <f t="shared" si="190"/>
        <v>Zone_Exit</v>
      </c>
      <c r="AG1886" t="str">
        <f t="shared" si="191"/>
        <v>ZoneExit-Chip</v>
      </c>
      <c r="AN1886" t="str">
        <f t="shared" si="187"/>
        <v>Defensive</v>
      </c>
    </row>
    <row r="1887" spans="1:40" x14ac:dyDescent="0.2">
      <c r="A1887">
        <v>944</v>
      </c>
      <c r="B1887">
        <v>160</v>
      </c>
      <c r="E1887" s="5" t="s">
        <v>908</v>
      </c>
      <c r="F1887" s="5" t="s">
        <v>851</v>
      </c>
      <c r="I1887" t="s">
        <v>840</v>
      </c>
      <c r="J1887">
        <v>7</v>
      </c>
      <c r="K1887">
        <v>1</v>
      </c>
      <c r="L1887" t="s">
        <v>401</v>
      </c>
      <c r="M1887" t="s">
        <v>257</v>
      </c>
      <c r="N1887" t="s">
        <v>753</v>
      </c>
      <c r="Q1887" t="s">
        <v>928</v>
      </c>
      <c r="S1887" t="s">
        <v>688</v>
      </c>
      <c r="U1887" s="8">
        <f t="shared" si="189"/>
        <v>2</v>
      </c>
      <c r="AD1887" t="str">
        <f t="shared" si="188"/>
        <v>e</v>
      </c>
      <c r="AE1887" t="str">
        <f t="shared" si="192"/>
        <v>Zone_Entry_Exit</v>
      </c>
      <c r="AF1887" t="str">
        <f t="shared" si="190"/>
        <v>Zone_KeepinFailed</v>
      </c>
      <c r="AG1887" t="str">
        <f t="shared" si="191"/>
        <v/>
      </c>
      <c r="AN1887" t="str">
        <f t="shared" si="187"/>
        <v>Offensive</v>
      </c>
    </row>
    <row r="1888" spans="1:40" x14ac:dyDescent="0.2">
      <c r="A1888">
        <v>944</v>
      </c>
      <c r="B1888">
        <f t="shared" si="186"/>
        <v>160</v>
      </c>
      <c r="J1888">
        <v>55</v>
      </c>
      <c r="U1888" s="8">
        <f t="shared" si="189"/>
        <v>2</v>
      </c>
      <c r="AD1888" t="str">
        <f t="shared" si="188"/>
        <v>o</v>
      </c>
      <c r="AE1888" t="str">
        <f t="shared" si="192"/>
        <v>Zone_Entry_Exit</v>
      </c>
      <c r="AF1888" t="str">
        <f t="shared" si="190"/>
        <v>Zone_KeepinFailed</v>
      </c>
      <c r="AG1888" t="str">
        <f t="shared" si="191"/>
        <v/>
      </c>
      <c r="AN1888" t="str">
        <f t="shared" si="187"/>
        <v>Defensive</v>
      </c>
    </row>
    <row r="1889" spans="1:40" x14ac:dyDescent="0.2">
      <c r="A1889">
        <v>945</v>
      </c>
      <c r="B1889" t="str">
        <f t="shared" si="186"/>
        <v/>
      </c>
      <c r="E1889" s="5" t="s">
        <v>908</v>
      </c>
      <c r="F1889" s="5" t="s">
        <v>852</v>
      </c>
      <c r="G1889" s="5" t="s">
        <v>908</v>
      </c>
      <c r="H1889" s="7" t="s">
        <v>853</v>
      </c>
      <c r="I1889" s="5" t="s">
        <v>835</v>
      </c>
      <c r="J1889">
        <v>84</v>
      </c>
      <c r="K1889">
        <v>1</v>
      </c>
      <c r="L1889" t="s">
        <v>839</v>
      </c>
      <c r="M1889" t="s">
        <v>15</v>
      </c>
      <c r="U1889" s="8">
        <f t="shared" si="189"/>
        <v>2</v>
      </c>
      <c r="AD1889" t="str">
        <f t="shared" si="188"/>
        <v>e</v>
      </c>
      <c r="AE1889" t="str">
        <f t="shared" si="192"/>
        <v>Possession</v>
      </c>
      <c r="AF1889" t="str">
        <f t="shared" si="190"/>
        <v/>
      </c>
      <c r="AG1889" t="str">
        <f t="shared" si="191"/>
        <v/>
      </c>
      <c r="AN1889" t="str">
        <f t="shared" si="187"/>
        <v>Offensive</v>
      </c>
    </row>
    <row r="1890" spans="1:40" x14ac:dyDescent="0.2">
      <c r="A1890">
        <v>946</v>
      </c>
      <c r="B1890" t="str">
        <f t="shared" si="186"/>
        <v/>
      </c>
      <c r="E1890" s="5" t="s">
        <v>908</v>
      </c>
      <c r="F1890" s="5" t="s">
        <v>853</v>
      </c>
      <c r="G1890" s="5" t="s">
        <v>908</v>
      </c>
      <c r="H1890" s="7" t="s">
        <v>854</v>
      </c>
      <c r="I1890" t="s">
        <v>835</v>
      </c>
      <c r="J1890">
        <v>84</v>
      </c>
      <c r="K1890">
        <v>1</v>
      </c>
      <c r="L1890" t="s">
        <v>401</v>
      </c>
      <c r="M1890" t="s">
        <v>257</v>
      </c>
      <c r="N1890" t="s">
        <v>191</v>
      </c>
      <c r="O1890" t="s">
        <v>87</v>
      </c>
      <c r="P1890" t="s">
        <v>688</v>
      </c>
      <c r="U1890" s="8">
        <f t="shared" si="189"/>
        <v>2</v>
      </c>
      <c r="AD1890" t="str">
        <f t="shared" si="188"/>
        <v>e</v>
      </c>
      <c r="AE1890" t="str">
        <f t="shared" si="192"/>
        <v>Zone_Entry_Exit</v>
      </c>
      <c r="AF1890" t="str">
        <f t="shared" si="190"/>
        <v>Zone_Entry</v>
      </c>
      <c r="AG1890" t="str">
        <f t="shared" si="191"/>
        <v>ZoneEntry-Rush</v>
      </c>
      <c r="AN1890" t="str">
        <f t="shared" si="187"/>
        <v>Offensive</v>
      </c>
    </row>
    <row r="1891" spans="1:40" x14ac:dyDescent="0.2">
      <c r="A1891">
        <v>946</v>
      </c>
      <c r="B1891" t="str">
        <f t="shared" si="186"/>
        <v/>
      </c>
      <c r="J1891">
        <v>17</v>
      </c>
      <c r="U1891" s="8">
        <f t="shared" si="189"/>
        <v>2</v>
      </c>
      <c r="AD1891" t="str">
        <f t="shared" si="188"/>
        <v>o</v>
      </c>
      <c r="AE1891" t="str">
        <f t="shared" si="192"/>
        <v>Zone_Entry_Exit</v>
      </c>
      <c r="AF1891" t="str">
        <f t="shared" si="190"/>
        <v>Zone_Entry</v>
      </c>
      <c r="AG1891" t="str">
        <f t="shared" si="191"/>
        <v>ZoneEntry-Rush</v>
      </c>
      <c r="AN1891" t="str">
        <f t="shared" si="187"/>
        <v>Defensive</v>
      </c>
    </row>
    <row r="1892" spans="1:40" x14ac:dyDescent="0.2">
      <c r="A1892">
        <v>947</v>
      </c>
      <c r="B1892">
        <v>161</v>
      </c>
      <c r="E1892" s="5" t="s">
        <v>908</v>
      </c>
      <c r="F1892" s="5" t="s">
        <v>854</v>
      </c>
      <c r="I1892" t="s">
        <v>835</v>
      </c>
      <c r="J1892">
        <v>84</v>
      </c>
      <c r="K1892">
        <v>1</v>
      </c>
      <c r="L1892" t="s">
        <v>401</v>
      </c>
      <c r="M1892" t="s">
        <v>7</v>
      </c>
      <c r="N1892" t="s">
        <v>222</v>
      </c>
      <c r="O1892" t="s">
        <v>53</v>
      </c>
      <c r="P1892" t="s">
        <v>689</v>
      </c>
      <c r="U1892" s="8">
        <f t="shared" si="189"/>
        <v>2</v>
      </c>
      <c r="AD1892" t="str">
        <f t="shared" si="188"/>
        <v>e</v>
      </c>
      <c r="AE1892" t="str">
        <f t="shared" si="192"/>
        <v>Shot</v>
      </c>
      <c r="AF1892" t="str">
        <f t="shared" si="190"/>
        <v>Shot_OnNetSaved</v>
      </c>
      <c r="AG1892" t="str">
        <f t="shared" si="191"/>
        <v>Shot-Wrist</v>
      </c>
      <c r="AN1892" t="str">
        <f t="shared" si="187"/>
        <v>Offensive</v>
      </c>
    </row>
    <row r="1893" spans="1:40" x14ac:dyDescent="0.2">
      <c r="A1893">
        <v>947</v>
      </c>
      <c r="B1893">
        <f t="shared" si="186"/>
        <v>161</v>
      </c>
      <c r="J1893">
        <v>38</v>
      </c>
      <c r="U1893" s="8">
        <f t="shared" si="189"/>
        <v>2</v>
      </c>
      <c r="AD1893" t="str">
        <f t="shared" si="188"/>
        <v>o</v>
      </c>
      <c r="AE1893" t="str">
        <f t="shared" si="192"/>
        <v>Shot</v>
      </c>
      <c r="AF1893" t="str">
        <f t="shared" si="190"/>
        <v>Shot_OnNetSaved</v>
      </c>
      <c r="AG1893" t="str">
        <f t="shared" si="191"/>
        <v>Shot-Wrist</v>
      </c>
      <c r="AN1893" t="str">
        <f t="shared" si="187"/>
        <v>Defensive</v>
      </c>
    </row>
    <row r="1894" spans="1:40" x14ac:dyDescent="0.2">
      <c r="A1894">
        <v>948</v>
      </c>
      <c r="B1894">
        <v>161</v>
      </c>
      <c r="E1894" s="5" t="s">
        <v>908</v>
      </c>
      <c r="F1894" s="5" t="s">
        <v>854</v>
      </c>
      <c r="I1894" t="s">
        <v>840</v>
      </c>
      <c r="J1894">
        <v>38</v>
      </c>
      <c r="K1894">
        <v>1</v>
      </c>
      <c r="L1894" t="s">
        <v>845</v>
      </c>
      <c r="M1894" t="s">
        <v>17</v>
      </c>
      <c r="N1894" t="s">
        <v>196</v>
      </c>
      <c r="O1894" t="s">
        <v>99</v>
      </c>
      <c r="U1894" s="8">
        <f t="shared" si="189"/>
        <v>2</v>
      </c>
      <c r="AD1894" t="str">
        <f t="shared" si="188"/>
        <v>e</v>
      </c>
      <c r="AE1894" t="str">
        <f t="shared" si="192"/>
        <v>Save</v>
      </c>
      <c r="AF1894" t="str">
        <f t="shared" si="190"/>
        <v>Save_Rebound</v>
      </c>
      <c r="AG1894" t="str">
        <f t="shared" si="191"/>
        <v>Save-RightPad</v>
      </c>
      <c r="AN1894" t="str">
        <f t="shared" si="187"/>
        <v>Defensive</v>
      </c>
    </row>
    <row r="1895" spans="1:40" x14ac:dyDescent="0.2">
      <c r="A1895">
        <v>948</v>
      </c>
      <c r="B1895">
        <f t="shared" si="186"/>
        <v>161</v>
      </c>
      <c r="J1895">
        <v>84</v>
      </c>
      <c r="U1895" s="8">
        <f t="shared" si="189"/>
        <v>2</v>
      </c>
      <c r="AD1895" t="str">
        <f t="shared" si="188"/>
        <v>o</v>
      </c>
      <c r="AE1895" t="str">
        <f t="shared" si="192"/>
        <v>Save</v>
      </c>
      <c r="AF1895" t="str">
        <f t="shared" si="190"/>
        <v>Save_Rebound</v>
      </c>
      <c r="AG1895" t="str">
        <f t="shared" si="191"/>
        <v>Save-RightPad</v>
      </c>
      <c r="AN1895" t="str">
        <f t="shared" si="187"/>
        <v>Offensive</v>
      </c>
    </row>
    <row r="1896" spans="1:40" x14ac:dyDescent="0.2">
      <c r="A1896">
        <v>949</v>
      </c>
      <c r="B1896">
        <v>161</v>
      </c>
      <c r="E1896" s="5" t="s">
        <v>908</v>
      </c>
      <c r="F1896" s="5" t="s">
        <v>854</v>
      </c>
      <c r="I1896" t="s">
        <v>840</v>
      </c>
      <c r="J1896">
        <v>38</v>
      </c>
      <c r="K1896">
        <v>1</v>
      </c>
      <c r="L1896" t="s">
        <v>845</v>
      </c>
      <c r="M1896" t="s">
        <v>250</v>
      </c>
      <c r="N1896" t="s">
        <v>251</v>
      </c>
      <c r="U1896" s="8">
        <f t="shared" si="189"/>
        <v>2</v>
      </c>
      <c r="AD1896" t="str">
        <f t="shared" si="188"/>
        <v>e</v>
      </c>
      <c r="AE1896" t="str">
        <f t="shared" si="192"/>
        <v>Rebound</v>
      </c>
      <c r="AF1896" t="str">
        <f t="shared" si="190"/>
        <v>Rebound_TeamRecovered</v>
      </c>
      <c r="AG1896" t="str">
        <f t="shared" si="191"/>
        <v/>
      </c>
      <c r="AN1896" t="str">
        <f t="shared" si="187"/>
        <v>Offensive</v>
      </c>
    </row>
    <row r="1897" spans="1:40" x14ac:dyDescent="0.2">
      <c r="A1897">
        <v>950</v>
      </c>
      <c r="B1897" t="str">
        <f t="shared" si="186"/>
        <v/>
      </c>
      <c r="E1897" s="5" t="s">
        <v>908</v>
      </c>
      <c r="F1897" s="5" t="s">
        <v>883</v>
      </c>
      <c r="G1897" s="5" t="s">
        <v>908</v>
      </c>
      <c r="H1897" s="7" t="s">
        <v>858</v>
      </c>
      <c r="I1897" t="s">
        <v>840</v>
      </c>
      <c r="J1897">
        <v>92</v>
      </c>
      <c r="K1897">
        <v>1</v>
      </c>
      <c r="L1897" t="s">
        <v>845</v>
      </c>
      <c r="M1897" t="s">
        <v>15</v>
      </c>
      <c r="N1897" t="s">
        <v>680</v>
      </c>
      <c r="P1897" t="s">
        <v>689</v>
      </c>
      <c r="Q1897" t="s">
        <v>675</v>
      </c>
      <c r="S1897" t="s">
        <v>689</v>
      </c>
      <c r="U1897" s="8">
        <f t="shared" si="189"/>
        <v>2</v>
      </c>
      <c r="AD1897" t="str">
        <f t="shared" si="188"/>
        <v>e</v>
      </c>
      <c r="AE1897" t="str">
        <f t="shared" si="192"/>
        <v>Possession</v>
      </c>
      <c r="AF1897" t="str">
        <f t="shared" si="190"/>
        <v>PuckRetrieval</v>
      </c>
      <c r="AG1897" t="str">
        <f t="shared" si="191"/>
        <v/>
      </c>
      <c r="AN1897" t="str">
        <f t="shared" si="187"/>
        <v>Offensive</v>
      </c>
    </row>
    <row r="1898" spans="1:40" x14ac:dyDescent="0.2">
      <c r="A1898">
        <v>951</v>
      </c>
      <c r="B1898" t="str">
        <f t="shared" si="186"/>
        <v/>
      </c>
      <c r="E1898" s="5" t="s">
        <v>908</v>
      </c>
      <c r="F1898" s="5" t="s">
        <v>858</v>
      </c>
      <c r="G1898" s="5" t="s">
        <v>903</v>
      </c>
      <c r="H1898" s="7" t="s">
        <v>859</v>
      </c>
      <c r="I1898" t="s">
        <v>840</v>
      </c>
      <c r="J1898">
        <v>92</v>
      </c>
      <c r="K1898">
        <v>1</v>
      </c>
      <c r="L1898" t="s">
        <v>845</v>
      </c>
      <c r="M1898" t="s">
        <v>257</v>
      </c>
      <c r="N1898" t="s">
        <v>201</v>
      </c>
      <c r="O1898" t="s">
        <v>90</v>
      </c>
      <c r="P1898" t="s">
        <v>689</v>
      </c>
      <c r="U1898" s="8">
        <f t="shared" si="189"/>
        <v>2</v>
      </c>
      <c r="AD1898" t="str">
        <f t="shared" si="188"/>
        <v>e</v>
      </c>
      <c r="AE1898" t="str">
        <f t="shared" si="192"/>
        <v>Zone_Entry_Exit</v>
      </c>
      <c r="AF1898" t="str">
        <f t="shared" si="190"/>
        <v>Zone_Exit</v>
      </c>
      <c r="AG1898" t="str">
        <f t="shared" si="191"/>
        <v>ZoneExit-Rush</v>
      </c>
      <c r="AN1898" t="str">
        <f t="shared" si="187"/>
        <v>Offensive</v>
      </c>
    </row>
    <row r="1899" spans="1:40" x14ac:dyDescent="0.2">
      <c r="A1899">
        <v>952</v>
      </c>
      <c r="B1899" t="str">
        <f t="shared" si="186"/>
        <v/>
      </c>
      <c r="E1899" s="5" t="s">
        <v>908</v>
      </c>
      <c r="F1899" s="5" t="s">
        <v>859</v>
      </c>
      <c r="G1899" s="5" t="s">
        <v>908</v>
      </c>
      <c r="H1899" s="7" t="s">
        <v>860</v>
      </c>
      <c r="I1899" t="s">
        <v>840</v>
      </c>
      <c r="J1899">
        <v>92</v>
      </c>
      <c r="K1899">
        <v>1</v>
      </c>
      <c r="L1899" t="s">
        <v>839</v>
      </c>
      <c r="M1899" t="s">
        <v>15</v>
      </c>
      <c r="U1899" s="8">
        <f t="shared" si="189"/>
        <v>2</v>
      </c>
      <c r="AD1899" t="str">
        <f t="shared" si="188"/>
        <v>e</v>
      </c>
      <c r="AE1899" t="str">
        <f t="shared" si="192"/>
        <v>Possession</v>
      </c>
      <c r="AF1899" t="str">
        <f t="shared" si="190"/>
        <v/>
      </c>
      <c r="AG1899" t="str">
        <f t="shared" si="191"/>
        <v/>
      </c>
      <c r="AN1899" t="str">
        <f t="shared" si="187"/>
        <v>Offensive</v>
      </c>
    </row>
    <row r="1900" spans="1:40" x14ac:dyDescent="0.2">
      <c r="A1900">
        <v>953</v>
      </c>
      <c r="B1900" t="str">
        <f t="shared" si="186"/>
        <v/>
      </c>
      <c r="E1900" s="5" t="s">
        <v>908</v>
      </c>
      <c r="F1900" s="5" t="s">
        <v>860</v>
      </c>
      <c r="G1900" s="5" t="s">
        <v>908</v>
      </c>
      <c r="H1900" s="7" t="s">
        <v>862</v>
      </c>
      <c r="I1900" t="s">
        <v>840</v>
      </c>
      <c r="J1900">
        <v>92</v>
      </c>
      <c r="K1900">
        <v>1</v>
      </c>
      <c r="L1900" t="s">
        <v>401</v>
      </c>
      <c r="M1900" t="s">
        <v>257</v>
      </c>
      <c r="N1900" t="s">
        <v>191</v>
      </c>
      <c r="O1900" t="s">
        <v>87</v>
      </c>
      <c r="P1900" t="s">
        <v>689</v>
      </c>
      <c r="Q1900" t="s">
        <v>146</v>
      </c>
      <c r="R1900" t="s">
        <v>157</v>
      </c>
      <c r="S1900" t="s">
        <v>689</v>
      </c>
      <c r="T1900">
        <v>1</v>
      </c>
      <c r="U1900" s="8">
        <f t="shared" si="189"/>
        <v>2</v>
      </c>
      <c r="AD1900" t="str">
        <f t="shared" si="188"/>
        <v>e</v>
      </c>
      <c r="AE1900" t="str">
        <f t="shared" si="192"/>
        <v>Zone_Entry_Exit</v>
      </c>
      <c r="AF1900" t="str">
        <f t="shared" si="190"/>
        <v>Zone_Entry</v>
      </c>
      <c r="AG1900" t="str">
        <f t="shared" si="191"/>
        <v>ZoneEntry-Rush</v>
      </c>
      <c r="AN1900" t="str">
        <f t="shared" si="187"/>
        <v>Offensive</v>
      </c>
    </row>
    <row r="1901" spans="1:40" x14ac:dyDescent="0.2">
      <c r="A1901">
        <v>953</v>
      </c>
      <c r="B1901" t="str">
        <f t="shared" si="186"/>
        <v/>
      </c>
      <c r="J1901">
        <v>46</v>
      </c>
      <c r="K1901">
        <v>1</v>
      </c>
      <c r="U1901" s="8">
        <f t="shared" si="189"/>
        <v>2</v>
      </c>
      <c r="AD1901" t="str">
        <f t="shared" si="188"/>
        <v>e</v>
      </c>
      <c r="AE1901" t="str">
        <f t="shared" si="192"/>
        <v>Zone_Entry_Exit</v>
      </c>
      <c r="AF1901" t="str">
        <f t="shared" si="190"/>
        <v>Zone_Entry</v>
      </c>
      <c r="AG1901" t="str">
        <f t="shared" si="191"/>
        <v>ZoneEntry-Rush</v>
      </c>
      <c r="AN1901" t="str">
        <f t="shared" si="187"/>
        <v>Offensive</v>
      </c>
    </row>
    <row r="1902" spans="1:40" x14ac:dyDescent="0.2">
      <c r="A1902">
        <v>953</v>
      </c>
      <c r="B1902" t="str">
        <f t="shared" si="186"/>
        <v/>
      </c>
      <c r="J1902">
        <v>91</v>
      </c>
      <c r="Q1902" t="s">
        <v>165</v>
      </c>
      <c r="S1902" t="s">
        <v>688</v>
      </c>
      <c r="T1902">
        <v>1</v>
      </c>
      <c r="U1902" s="8">
        <f t="shared" si="189"/>
        <v>2</v>
      </c>
      <c r="AD1902" t="str">
        <f t="shared" si="188"/>
        <v>o</v>
      </c>
      <c r="AE1902" t="str">
        <f t="shared" si="192"/>
        <v>Zone_Entry_Exit</v>
      </c>
      <c r="AF1902" t="str">
        <f t="shared" si="190"/>
        <v>Zone_Entry</v>
      </c>
      <c r="AG1902" t="str">
        <f t="shared" si="191"/>
        <v>ZoneEntry-Rush</v>
      </c>
      <c r="AN1902" t="str">
        <f t="shared" si="187"/>
        <v>Defensive</v>
      </c>
    </row>
    <row r="1903" spans="1:40" x14ac:dyDescent="0.2">
      <c r="A1903">
        <v>954</v>
      </c>
      <c r="B1903" t="str">
        <f t="shared" si="186"/>
        <v/>
      </c>
      <c r="E1903" s="5" t="s">
        <v>908</v>
      </c>
      <c r="F1903" s="5" t="s">
        <v>862</v>
      </c>
      <c r="I1903" t="s">
        <v>840</v>
      </c>
      <c r="J1903">
        <v>92</v>
      </c>
      <c r="K1903">
        <v>1</v>
      </c>
      <c r="L1903" t="s">
        <v>401</v>
      </c>
      <c r="M1903" t="s">
        <v>8</v>
      </c>
      <c r="N1903" t="s">
        <v>189</v>
      </c>
      <c r="O1903" t="s">
        <v>69</v>
      </c>
      <c r="P1903" t="s">
        <v>689</v>
      </c>
      <c r="Q1903" t="s">
        <v>628</v>
      </c>
      <c r="S1903" t="s">
        <v>689</v>
      </c>
      <c r="U1903" s="8">
        <f t="shared" si="189"/>
        <v>2</v>
      </c>
      <c r="AD1903" t="str">
        <f t="shared" si="188"/>
        <v>e</v>
      </c>
      <c r="AE1903" t="str">
        <f t="shared" si="192"/>
        <v>Pass</v>
      </c>
      <c r="AF1903" t="str">
        <f t="shared" si="190"/>
        <v>Pass_Completed</v>
      </c>
      <c r="AG1903" t="str">
        <f t="shared" si="191"/>
        <v>Pass-Backhand</v>
      </c>
      <c r="AN1903" t="str">
        <f t="shared" si="187"/>
        <v>Offensive</v>
      </c>
    </row>
    <row r="1904" spans="1:40" x14ac:dyDescent="0.2">
      <c r="A1904">
        <v>954</v>
      </c>
      <c r="B1904" t="str">
        <f t="shared" ref="B1904:B1967" si="193">IF(A1904=A1903,B1903,"")</f>
        <v/>
      </c>
      <c r="J1904">
        <v>46</v>
      </c>
      <c r="K1904">
        <v>1</v>
      </c>
      <c r="U1904" s="8">
        <f t="shared" si="189"/>
        <v>2</v>
      </c>
      <c r="AD1904" t="str">
        <f t="shared" si="188"/>
        <v>e</v>
      </c>
      <c r="AE1904" t="str">
        <f t="shared" si="192"/>
        <v>Pass</v>
      </c>
      <c r="AF1904" t="str">
        <f t="shared" si="190"/>
        <v>Pass_Completed</v>
      </c>
      <c r="AG1904" t="str">
        <f t="shared" si="191"/>
        <v>Pass-Backhand</v>
      </c>
      <c r="AN1904" t="str">
        <f t="shared" si="187"/>
        <v>Offensive</v>
      </c>
    </row>
    <row r="1905" spans="1:40" x14ac:dyDescent="0.2">
      <c r="A1905">
        <v>955</v>
      </c>
      <c r="B1905">
        <v>162</v>
      </c>
      <c r="E1905" s="5" t="s">
        <v>908</v>
      </c>
      <c r="F1905" s="5" t="s">
        <v>863</v>
      </c>
      <c r="I1905" t="s">
        <v>840</v>
      </c>
      <c r="J1905">
        <v>46</v>
      </c>
      <c r="K1905">
        <v>1</v>
      </c>
      <c r="L1905" t="s">
        <v>401</v>
      </c>
      <c r="M1905" t="s">
        <v>7</v>
      </c>
      <c r="N1905" t="s">
        <v>261</v>
      </c>
      <c r="U1905" s="8">
        <f t="shared" si="189"/>
        <v>2</v>
      </c>
      <c r="AD1905" t="str">
        <f t="shared" si="188"/>
        <v>e</v>
      </c>
      <c r="AE1905" t="str">
        <f t="shared" si="192"/>
        <v>Shot</v>
      </c>
      <c r="AF1905" t="str">
        <f t="shared" si="190"/>
        <v>Shot_Goal</v>
      </c>
      <c r="AG1905" t="str">
        <f t="shared" si="191"/>
        <v/>
      </c>
      <c r="AN1905" t="str">
        <f t="shared" si="187"/>
        <v>Offensive</v>
      </c>
    </row>
    <row r="1906" spans="1:40" x14ac:dyDescent="0.2">
      <c r="A1906">
        <v>955</v>
      </c>
      <c r="B1906">
        <f t="shared" si="193"/>
        <v>162</v>
      </c>
      <c r="J1906">
        <v>39</v>
      </c>
      <c r="U1906" s="8">
        <f t="shared" si="189"/>
        <v>2</v>
      </c>
      <c r="AD1906" t="str">
        <f t="shared" si="188"/>
        <v>o</v>
      </c>
      <c r="AE1906" t="str">
        <f t="shared" si="192"/>
        <v>Shot</v>
      </c>
      <c r="AF1906" t="str">
        <f t="shared" si="190"/>
        <v>Shot_Goal</v>
      </c>
      <c r="AG1906" t="str">
        <f t="shared" si="191"/>
        <v/>
      </c>
      <c r="AN1906" t="str">
        <f t="shared" si="187"/>
        <v>Defensive</v>
      </c>
    </row>
    <row r="1907" spans="1:40" x14ac:dyDescent="0.2">
      <c r="A1907">
        <v>956</v>
      </c>
      <c r="B1907">
        <v>162</v>
      </c>
      <c r="E1907" s="5" t="s">
        <v>908</v>
      </c>
      <c r="F1907" s="5" t="s">
        <v>863</v>
      </c>
      <c r="I1907" t="s">
        <v>840</v>
      </c>
      <c r="J1907">
        <v>46</v>
      </c>
      <c r="K1907">
        <v>1</v>
      </c>
      <c r="L1907" t="s">
        <v>401</v>
      </c>
      <c r="M1907" t="s">
        <v>9</v>
      </c>
      <c r="N1907" t="s">
        <v>230</v>
      </c>
      <c r="O1907" t="s">
        <v>236</v>
      </c>
      <c r="P1907" t="s">
        <v>689</v>
      </c>
      <c r="U1907" s="8">
        <f t="shared" si="189"/>
        <v>2</v>
      </c>
      <c r="AD1907" t="str">
        <f t="shared" si="188"/>
        <v>e</v>
      </c>
      <c r="AE1907" t="str">
        <f t="shared" si="192"/>
        <v>Goal</v>
      </c>
      <c r="AF1907" t="str">
        <f t="shared" si="190"/>
        <v>Goal_Scored</v>
      </c>
      <c r="AG1907" t="str">
        <f t="shared" si="191"/>
        <v>Goal-Tip</v>
      </c>
      <c r="AN1907" t="str">
        <f t="shared" si="187"/>
        <v>Offensive</v>
      </c>
    </row>
    <row r="1908" spans="1:40" x14ac:dyDescent="0.2">
      <c r="A1908">
        <v>956</v>
      </c>
      <c r="B1908">
        <f t="shared" si="193"/>
        <v>162</v>
      </c>
      <c r="J1908">
        <v>39</v>
      </c>
      <c r="U1908" s="8">
        <f t="shared" si="189"/>
        <v>2</v>
      </c>
      <c r="AD1908" t="str">
        <f t="shared" si="188"/>
        <v>o</v>
      </c>
      <c r="AE1908" t="str">
        <f t="shared" si="192"/>
        <v>Goal</v>
      </c>
      <c r="AF1908" t="str">
        <f t="shared" si="190"/>
        <v>Goal_Scored</v>
      </c>
      <c r="AG1908" t="str">
        <f t="shared" si="191"/>
        <v>Goal-Tip</v>
      </c>
      <c r="AN1908" t="str">
        <f t="shared" si="187"/>
        <v>Defensive</v>
      </c>
    </row>
    <row r="1909" spans="1:40" x14ac:dyDescent="0.2">
      <c r="A1909">
        <v>957</v>
      </c>
      <c r="B1909">
        <v>162</v>
      </c>
      <c r="E1909" s="5" t="s">
        <v>908</v>
      </c>
      <c r="F1909" s="5" t="s">
        <v>863</v>
      </c>
      <c r="I1909" t="s">
        <v>840</v>
      </c>
      <c r="J1909">
        <v>46</v>
      </c>
      <c r="K1909">
        <v>1</v>
      </c>
      <c r="L1909" t="s">
        <v>401</v>
      </c>
      <c r="M1909" t="s">
        <v>13</v>
      </c>
      <c r="N1909" t="s">
        <v>204</v>
      </c>
      <c r="O1909" t="s">
        <v>42</v>
      </c>
      <c r="U1909" s="8">
        <f t="shared" si="189"/>
        <v>2</v>
      </c>
      <c r="AD1909" t="str">
        <f t="shared" si="188"/>
        <v>e</v>
      </c>
      <c r="AE1909" t="str">
        <f t="shared" si="192"/>
        <v>Stoppage</v>
      </c>
      <c r="AF1909" t="str">
        <f t="shared" si="190"/>
        <v>Stoppage_Play</v>
      </c>
      <c r="AG1909" t="str">
        <f t="shared" si="191"/>
        <v>Stoppage-Goal</v>
      </c>
      <c r="AN1909" t="str">
        <f t="shared" si="187"/>
        <v/>
      </c>
    </row>
    <row r="1910" spans="1:40" x14ac:dyDescent="0.2">
      <c r="A1910">
        <v>958</v>
      </c>
      <c r="B1910">
        <v>162</v>
      </c>
      <c r="E1910" s="5" t="s">
        <v>908</v>
      </c>
      <c r="F1910" s="5" t="s">
        <v>863</v>
      </c>
      <c r="G1910" s="5" t="s">
        <v>890</v>
      </c>
      <c r="H1910" s="7" t="s">
        <v>874</v>
      </c>
      <c r="I1910" t="s">
        <v>840</v>
      </c>
      <c r="J1910">
        <v>46</v>
      </c>
      <c r="K1910">
        <v>1</v>
      </c>
      <c r="L1910" t="s">
        <v>401</v>
      </c>
      <c r="M1910" t="s">
        <v>262</v>
      </c>
      <c r="U1910" s="8">
        <f t="shared" si="189"/>
        <v>2</v>
      </c>
      <c r="AD1910" t="str">
        <f t="shared" si="188"/>
        <v>e</v>
      </c>
      <c r="AE1910" t="str">
        <f t="shared" si="192"/>
        <v>DeadIce</v>
      </c>
      <c r="AF1910" t="str">
        <f t="shared" si="190"/>
        <v/>
      </c>
      <c r="AG1910" t="str">
        <f t="shared" si="191"/>
        <v/>
      </c>
      <c r="AN1910" t="str">
        <f t="shared" si="187"/>
        <v/>
      </c>
    </row>
    <row r="1911" spans="1:40" x14ac:dyDescent="0.2">
      <c r="A1911">
        <v>959</v>
      </c>
      <c r="B1911" t="str">
        <f t="shared" si="193"/>
        <v/>
      </c>
      <c r="E1911" s="5" t="s">
        <v>890</v>
      </c>
      <c r="F1911" s="5" t="s">
        <v>874</v>
      </c>
      <c r="I1911" t="s">
        <v>835</v>
      </c>
      <c r="J1911">
        <v>49</v>
      </c>
      <c r="K1911">
        <v>1</v>
      </c>
      <c r="L1911" t="s">
        <v>839</v>
      </c>
      <c r="M1911" t="s">
        <v>6</v>
      </c>
      <c r="N1911" t="s">
        <v>255</v>
      </c>
      <c r="U1911" s="8">
        <f t="shared" si="189"/>
        <v>2</v>
      </c>
      <c r="AD1911" t="str">
        <f t="shared" si="188"/>
        <v>e</v>
      </c>
      <c r="AE1911" t="str">
        <f t="shared" si="192"/>
        <v>Faceoff</v>
      </c>
      <c r="AF1911" t="str">
        <f t="shared" si="190"/>
        <v>Faceoff_AfterStoppage</v>
      </c>
      <c r="AG1911" t="str">
        <f t="shared" si="191"/>
        <v/>
      </c>
      <c r="AN1911" t="str">
        <f t="shared" si="187"/>
        <v>Offensive</v>
      </c>
    </row>
    <row r="1912" spans="1:40" x14ac:dyDescent="0.2">
      <c r="A1912">
        <v>959</v>
      </c>
      <c r="B1912" t="str">
        <f t="shared" si="193"/>
        <v/>
      </c>
      <c r="J1912">
        <v>91</v>
      </c>
      <c r="U1912" s="8">
        <f t="shared" si="189"/>
        <v>2</v>
      </c>
      <c r="AD1912" t="str">
        <f t="shared" si="188"/>
        <v>o</v>
      </c>
      <c r="AE1912" t="str">
        <f t="shared" si="192"/>
        <v>Faceoff</v>
      </c>
      <c r="AF1912" t="str">
        <f t="shared" si="190"/>
        <v>Faceoff_AfterStoppage</v>
      </c>
      <c r="AG1912" t="str">
        <f t="shared" si="191"/>
        <v/>
      </c>
      <c r="AN1912" t="str">
        <f t="shared" si="187"/>
        <v>Defensive</v>
      </c>
    </row>
    <row r="1913" spans="1:40" x14ac:dyDescent="0.2">
      <c r="A1913">
        <v>959</v>
      </c>
      <c r="B1913" t="str">
        <f t="shared" si="193"/>
        <v/>
      </c>
      <c r="J1913">
        <v>46</v>
      </c>
      <c r="U1913" s="8">
        <f t="shared" si="189"/>
        <v>2</v>
      </c>
      <c r="AD1913" t="str">
        <f t="shared" si="188"/>
        <v>o</v>
      </c>
      <c r="AE1913" t="str">
        <f t="shared" si="192"/>
        <v>Faceoff</v>
      </c>
      <c r="AF1913" t="str">
        <f t="shared" si="190"/>
        <v>Faceoff_AfterStoppage</v>
      </c>
      <c r="AG1913" t="str">
        <f t="shared" si="191"/>
        <v/>
      </c>
      <c r="AN1913" t="str">
        <f t="shared" ref="AN1913:AN1976" si="194">IF(AND(AD1913="e",OR(AE1913="Save",AF1913="Turnover_Takeaway",AF1913="Play_Defensive")),"Defensive",IF(AND(AD1913="o",OR(AE1913="Save",AF1913="Turnover_Takeaway",AF1913="Play_Defensive")),"Offensive",IF(OR(AE1913="Deadice",AE1913="Stoppage",AE1913="Intermission"),"",IF(AD1913="e","Offensive",IF(AD1913="o","Defensive","")))))</f>
        <v>Defensive</v>
      </c>
    </row>
    <row r="1914" spans="1:40" x14ac:dyDescent="0.2">
      <c r="A1914">
        <v>960</v>
      </c>
      <c r="B1914" t="str">
        <f t="shared" si="193"/>
        <v/>
      </c>
      <c r="E1914" s="5" t="s">
        <v>890</v>
      </c>
      <c r="F1914" s="5" t="s">
        <v>875</v>
      </c>
      <c r="I1914" t="s">
        <v>835</v>
      </c>
      <c r="J1914">
        <v>91</v>
      </c>
      <c r="K1914">
        <v>1</v>
      </c>
      <c r="L1914" t="s">
        <v>839</v>
      </c>
      <c r="M1914" t="s">
        <v>8</v>
      </c>
      <c r="N1914" t="s">
        <v>209</v>
      </c>
      <c r="O1914" t="s">
        <v>70</v>
      </c>
      <c r="P1914" t="s">
        <v>688</v>
      </c>
      <c r="Q1914" t="s">
        <v>669</v>
      </c>
      <c r="S1914" t="s">
        <v>688</v>
      </c>
      <c r="U1914" s="8">
        <f t="shared" si="189"/>
        <v>2</v>
      </c>
      <c r="AD1914" t="str">
        <f t="shared" si="188"/>
        <v>e</v>
      </c>
      <c r="AE1914" t="str">
        <f t="shared" si="192"/>
        <v>Pass</v>
      </c>
      <c r="AF1914" t="str">
        <f t="shared" si="190"/>
        <v>Pass_Deflected</v>
      </c>
      <c r="AG1914" t="str">
        <f t="shared" si="191"/>
        <v>Pass-Forehand</v>
      </c>
      <c r="AN1914" t="str">
        <f t="shared" si="194"/>
        <v>Offensive</v>
      </c>
    </row>
    <row r="1915" spans="1:40" x14ac:dyDescent="0.2">
      <c r="A1915">
        <v>960</v>
      </c>
      <c r="B1915" t="str">
        <f t="shared" si="193"/>
        <v/>
      </c>
      <c r="J1915">
        <v>49</v>
      </c>
      <c r="U1915" s="8">
        <f t="shared" si="189"/>
        <v>2</v>
      </c>
      <c r="AD1915" t="str">
        <f t="shared" si="188"/>
        <v>o</v>
      </c>
      <c r="AE1915" t="str">
        <f t="shared" si="192"/>
        <v>Pass</v>
      </c>
      <c r="AF1915" t="str">
        <f t="shared" si="190"/>
        <v>Pass_Deflected</v>
      </c>
      <c r="AG1915" t="str">
        <f t="shared" si="191"/>
        <v>Pass-Forehand</v>
      </c>
      <c r="AN1915" t="str">
        <f t="shared" si="194"/>
        <v>Defensive</v>
      </c>
    </row>
    <row r="1916" spans="1:40" x14ac:dyDescent="0.2">
      <c r="A1916">
        <v>961</v>
      </c>
      <c r="B1916" t="str">
        <f t="shared" si="193"/>
        <v/>
      </c>
      <c r="E1916" s="5" t="s">
        <v>890</v>
      </c>
      <c r="F1916" s="5" t="s">
        <v>886</v>
      </c>
      <c r="G1916" s="5" t="s">
        <v>890</v>
      </c>
      <c r="H1916" s="7" t="s">
        <v>843</v>
      </c>
      <c r="I1916" t="s">
        <v>835</v>
      </c>
      <c r="J1916">
        <v>49</v>
      </c>
      <c r="K1916">
        <v>1</v>
      </c>
      <c r="L1916" t="s">
        <v>839</v>
      </c>
      <c r="M1916" t="s">
        <v>15</v>
      </c>
      <c r="U1916" s="8">
        <f t="shared" si="189"/>
        <v>2</v>
      </c>
      <c r="AD1916" t="str">
        <f t="shared" si="188"/>
        <v>e</v>
      </c>
      <c r="AE1916" t="str">
        <f t="shared" si="192"/>
        <v>Possession</v>
      </c>
      <c r="AF1916" t="str">
        <f t="shared" si="190"/>
        <v/>
      </c>
      <c r="AG1916" t="str">
        <f t="shared" si="191"/>
        <v/>
      </c>
      <c r="AN1916" t="str">
        <f t="shared" si="194"/>
        <v>Offensive</v>
      </c>
    </row>
    <row r="1917" spans="1:40" x14ac:dyDescent="0.2">
      <c r="A1917">
        <v>962</v>
      </c>
      <c r="B1917" t="str">
        <f t="shared" si="193"/>
        <v/>
      </c>
      <c r="E1917" s="5" t="s">
        <v>890</v>
      </c>
      <c r="F1917" s="5" t="s">
        <v>843</v>
      </c>
      <c r="G1917" s="5" t="s">
        <v>890</v>
      </c>
      <c r="H1917" s="7" t="s">
        <v>844</v>
      </c>
      <c r="I1917" t="s">
        <v>835</v>
      </c>
      <c r="J1917">
        <v>49</v>
      </c>
      <c r="K1917">
        <v>1</v>
      </c>
      <c r="L1917" t="s">
        <v>401</v>
      </c>
      <c r="M1917" t="s">
        <v>257</v>
      </c>
      <c r="N1917" t="s">
        <v>191</v>
      </c>
      <c r="O1917" t="s">
        <v>87</v>
      </c>
      <c r="P1917" t="s">
        <v>689</v>
      </c>
      <c r="Q1917" t="s">
        <v>145</v>
      </c>
      <c r="U1917" s="8">
        <f t="shared" si="189"/>
        <v>2</v>
      </c>
      <c r="AD1917" t="str">
        <f t="shared" si="188"/>
        <v>e</v>
      </c>
      <c r="AE1917" t="str">
        <f t="shared" si="192"/>
        <v>Zone_Entry_Exit</v>
      </c>
      <c r="AF1917" t="str">
        <f t="shared" si="190"/>
        <v>Zone_Entry</v>
      </c>
      <c r="AG1917" t="str">
        <f t="shared" si="191"/>
        <v>ZoneEntry-Rush</v>
      </c>
      <c r="AN1917" t="str">
        <f t="shared" si="194"/>
        <v>Offensive</v>
      </c>
    </row>
    <row r="1918" spans="1:40" x14ac:dyDescent="0.2">
      <c r="A1918">
        <v>962</v>
      </c>
      <c r="B1918" t="str">
        <f t="shared" si="193"/>
        <v/>
      </c>
      <c r="J1918">
        <v>55</v>
      </c>
      <c r="K1918">
        <v>1</v>
      </c>
      <c r="U1918" s="8">
        <f t="shared" si="189"/>
        <v>2</v>
      </c>
      <c r="AD1918" t="str">
        <f t="shared" si="188"/>
        <v>e</v>
      </c>
      <c r="AE1918" t="str">
        <f t="shared" si="192"/>
        <v>Zone_Entry_Exit</v>
      </c>
      <c r="AF1918" t="str">
        <f t="shared" si="190"/>
        <v>Zone_Entry</v>
      </c>
      <c r="AG1918" t="str">
        <f t="shared" si="191"/>
        <v>ZoneEntry-Rush</v>
      </c>
      <c r="AN1918" t="str">
        <f t="shared" si="194"/>
        <v>Offensive</v>
      </c>
    </row>
    <row r="1919" spans="1:40" x14ac:dyDescent="0.2">
      <c r="A1919">
        <v>962</v>
      </c>
      <c r="B1919" t="str">
        <f t="shared" si="193"/>
        <v/>
      </c>
      <c r="J1919">
        <v>83</v>
      </c>
      <c r="U1919" s="8">
        <f t="shared" si="189"/>
        <v>2</v>
      </c>
      <c r="AD1919" t="str">
        <f t="shared" si="188"/>
        <v>o</v>
      </c>
      <c r="AE1919" t="str">
        <f t="shared" si="192"/>
        <v>Zone_Entry_Exit</v>
      </c>
      <c r="AF1919" t="str">
        <f t="shared" si="190"/>
        <v>Zone_Entry</v>
      </c>
      <c r="AG1919" t="str">
        <f t="shared" si="191"/>
        <v>ZoneEntry-Rush</v>
      </c>
      <c r="AN1919" t="str">
        <f t="shared" si="194"/>
        <v>Defensive</v>
      </c>
    </row>
    <row r="1920" spans="1:40" x14ac:dyDescent="0.2">
      <c r="A1920">
        <v>962</v>
      </c>
      <c r="B1920" t="str">
        <f t="shared" si="193"/>
        <v/>
      </c>
      <c r="J1920">
        <v>7</v>
      </c>
      <c r="U1920" s="8">
        <f t="shared" si="189"/>
        <v>2</v>
      </c>
      <c r="AD1920" t="str">
        <f t="shared" si="188"/>
        <v>o</v>
      </c>
      <c r="AE1920" t="str">
        <f t="shared" si="192"/>
        <v>Zone_Entry_Exit</v>
      </c>
      <c r="AF1920" t="str">
        <f t="shared" si="190"/>
        <v>Zone_Entry</v>
      </c>
      <c r="AG1920" t="str">
        <f t="shared" si="191"/>
        <v>ZoneEntry-Rush</v>
      </c>
      <c r="AN1920" t="str">
        <f t="shared" si="194"/>
        <v>Defensive</v>
      </c>
    </row>
    <row r="1921" spans="1:40" x14ac:dyDescent="0.2">
      <c r="A1921">
        <v>963</v>
      </c>
      <c r="B1921">
        <v>163</v>
      </c>
      <c r="E1921" s="5" t="s">
        <v>890</v>
      </c>
      <c r="F1921" s="5" t="s">
        <v>844</v>
      </c>
      <c r="I1921" t="s">
        <v>835</v>
      </c>
      <c r="J1921">
        <v>49</v>
      </c>
      <c r="K1921">
        <v>1</v>
      </c>
      <c r="L1921" t="s">
        <v>401</v>
      </c>
      <c r="M1921" t="s">
        <v>7</v>
      </c>
      <c r="N1921" t="s">
        <v>222</v>
      </c>
      <c r="O1921" t="s">
        <v>53</v>
      </c>
      <c r="P1921" t="s">
        <v>689</v>
      </c>
      <c r="U1921" s="8">
        <f t="shared" si="189"/>
        <v>2</v>
      </c>
      <c r="AD1921" t="str">
        <f t="shared" si="188"/>
        <v>e</v>
      </c>
      <c r="AE1921" t="str">
        <f t="shared" si="192"/>
        <v>Shot</v>
      </c>
      <c r="AF1921" t="str">
        <f t="shared" si="190"/>
        <v>Shot_OnNetSaved</v>
      </c>
      <c r="AG1921" t="str">
        <f t="shared" si="191"/>
        <v>Shot-Wrist</v>
      </c>
      <c r="AN1921" t="str">
        <f t="shared" si="194"/>
        <v>Offensive</v>
      </c>
    </row>
    <row r="1922" spans="1:40" x14ac:dyDescent="0.2">
      <c r="A1922">
        <v>963</v>
      </c>
      <c r="B1922">
        <f t="shared" si="193"/>
        <v>163</v>
      </c>
      <c r="J1922">
        <v>38</v>
      </c>
      <c r="U1922" s="8">
        <f t="shared" si="189"/>
        <v>2</v>
      </c>
      <c r="AD1922" t="str">
        <f t="shared" ref="AD1922:AD1985" si="195">IF(K1922="x","",IF(K1922=1,"e","o"))</f>
        <v>o</v>
      </c>
      <c r="AE1922" t="str">
        <f t="shared" si="192"/>
        <v>Shot</v>
      </c>
      <c r="AF1922" t="str">
        <f t="shared" si="190"/>
        <v>Shot_OnNetSaved</v>
      </c>
      <c r="AG1922" t="str">
        <f t="shared" si="191"/>
        <v>Shot-Wrist</v>
      </c>
      <c r="AN1922" t="str">
        <f t="shared" si="194"/>
        <v>Defensive</v>
      </c>
    </row>
    <row r="1923" spans="1:40" x14ac:dyDescent="0.2">
      <c r="A1923">
        <v>963</v>
      </c>
      <c r="B1923">
        <f t="shared" si="193"/>
        <v>163</v>
      </c>
      <c r="J1923">
        <v>83</v>
      </c>
      <c r="Q1923" t="s">
        <v>657</v>
      </c>
      <c r="R1923" t="s">
        <v>950</v>
      </c>
      <c r="S1923" t="s">
        <v>688</v>
      </c>
      <c r="U1923" s="8">
        <f t="shared" ref="U1923:U1986" si="196">IF(M1923="Intermission",U1922+1,U1922)</f>
        <v>2</v>
      </c>
      <c r="AD1923" t="str">
        <f t="shared" si="195"/>
        <v>o</v>
      </c>
      <c r="AE1923" t="str">
        <f t="shared" si="192"/>
        <v>Shot</v>
      </c>
      <c r="AF1923" t="str">
        <f t="shared" ref="AF1923:AF1986" si="197">IF(N1923&lt;&gt;"",N1923,IF($A1923=$A1922,AF1922,""))</f>
        <v>Shot_OnNetSaved</v>
      </c>
      <c r="AG1923" t="str">
        <f t="shared" ref="AG1923:AG1986" si="198">IF(O1923&lt;&gt;"",O1923,IF($A1923=$A1922,AG1922,""))</f>
        <v>Shot-Wrist</v>
      </c>
      <c r="AN1923" t="str">
        <f t="shared" si="194"/>
        <v>Defensive</v>
      </c>
    </row>
    <row r="1924" spans="1:40" x14ac:dyDescent="0.2">
      <c r="A1924">
        <v>964</v>
      </c>
      <c r="B1924">
        <v>163</v>
      </c>
      <c r="E1924" s="5" t="s">
        <v>890</v>
      </c>
      <c r="F1924" s="5" t="s">
        <v>844</v>
      </c>
      <c r="I1924" t="s">
        <v>840</v>
      </c>
      <c r="J1924">
        <v>38</v>
      </c>
      <c r="K1924">
        <v>1</v>
      </c>
      <c r="L1924" t="s">
        <v>845</v>
      </c>
      <c r="M1924" t="s">
        <v>17</v>
      </c>
      <c r="N1924" t="s">
        <v>196</v>
      </c>
      <c r="O1924" t="s">
        <v>99</v>
      </c>
      <c r="U1924" s="8">
        <f t="shared" si="196"/>
        <v>2</v>
      </c>
      <c r="AD1924" t="str">
        <f t="shared" si="195"/>
        <v>e</v>
      </c>
      <c r="AE1924" t="str">
        <f t="shared" ref="AE1924:AE1987" si="199">IF(M1924&lt;&gt;"",M1924,IF($A1924=$A1923,AE1923,""))</f>
        <v>Save</v>
      </c>
      <c r="AF1924" t="str">
        <f t="shared" si="197"/>
        <v>Save_Rebound</v>
      </c>
      <c r="AG1924" t="str">
        <f t="shared" si="198"/>
        <v>Save-RightPad</v>
      </c>
      <c r="AN1924" t="str">
        <f t="shared" si="194"/>
        <v>Defensive</v>
      </c>
    </row>
    <row r="1925" spans="1:40" x14ac:dyDescent="0.2">
      <c r="A1925">
        <v>964</v>
      </c>
      <c r="B1925">
        <f t="shared" si="193"/>
        <v>163</v>
      </c>
      <c r="J1925">
        <v>83</v>
      </c>
      <c r="K1925">
        <v>1</v>
      </c>
      <c r="Q1925" t="s">
        <v>657</v>
      </c>
      <c r="R1925" t="s">
        <v>950</v>
      </c>
      <c r="S1925" t="s">
        <v>688</v>
      </c>
      <c r="U1925" s="8">
        <f t="shared" si="196"/>
        <v>2</v>
      </c>
      <c r="AD1925" t="str">
        <f t="shared" si="195"/>
        <v>e</v>
      </c>
      <c r="AE1925" t="str">
        <f t="shared" si="199"/>
        <v>Save</v>
      </c>
      <c r="AF1925" t="str">
        <f t="shared" si="197"/>
        <v>Save_Rebound</v>
      </c>
      <c r="AG1925" t="str">
        <f t="shared" si="198"/>
        <v>Save-RightPad</v>
      </c>
      <c r="AN1925" t="str">
        <f t="shared" si="194"/>
        <v>Defensive</v>
      </c>
    </row>
    <row r="1926" spans="1:40" x14ac:dyDescent="0.2">
      <c r="A1926">
        <v>964</v>
      </c>
      <c r="B1926">
        <f t="shared" si="193"/>
        <v>163</v>
      </c>
      <c r="J1926">
        <v>49</v>
      </c>
      <c r="U1926" s="8">
        <f t="shared" si="196"/>
        <v>2</v>
      </c>
      <c r="AD1926" t="str">
        <f t="shared" si="195"/>
        <v>o</v>
      </c>
      <c r="AE1926" t="str">
        <f t="shared" si="199"/>
        <v>Save</v>
      </c>
      <c r="AF1926" t="str">
        <f t="shared" si="197"/>
        <v>Save_Rebound</v>
      </c>
      <c r="AG1926" t="str">
        <f t="shared" si="198"/>
        <v>Save-RightPad</v>
      </c>
      <c r="AN1926" t="str">
        <f t="shared" si="194"/>
        <v>Offensive</v>
      </c>
    </row>
    <row r="1927" spans="1:40" x14ac:dyDescent="0.2">
      <c r="A1927">
        <v>965</v>
      </c>
      <c r="B1927">
        <v>163</v>
      </c>
      <c r="E1927" s="5" t="s">
        <v>890</v>
      </c>
      <c r="F1927" s="5" t="s">
        <v>844</v>
      </c>
      <c r="I1927" t="s">
        <v>840</v>
      </c>
      <c r="J1927">
        <v>38</v>
      </c>
      <c r="K1927">
        <v>1</v>
      </c>
      <c r="L1927" t="s">
        <v>845</v>
      </c>
      <c r="M1927" t="s">
        <v>250</v>
      </c>
      <c r="N1927" t="s">
        <v>252</v>
      </c>
      <c r="U1927" s="8">
        <f t="shared" si="196"/>
        <v>2</v>
      </c>
      <c r="AD1927" t="str">
        <f t="shared" si="195"/>
        <v>e</v>
      </c>
      <c r="AE1927" t="str">
        <f t="shared" si="199"/>
        <v>Rebound</v>
      </c>
      <c r="AF1927" t="str">
        <f t="shared" si="197"/>
        <v>Rebound_OppTeamRecovered</v>
      </c>
      <c r="AG1927" t="str">
        <f t="shared" si="198"/>
        <v/>
      </c>
      <c r="AN1927" t="str">
        <f t="shared" si="194"/>
        <v>Offensive</v>
      </c>
    </row>
    <row r="1928" spans="1:40" x14ac:dyDescent="0.2">
      <c r="A1928">
        <v>966</v>
      </c>
      <c r="B1928" t="str">
        <f t="shared" si="193"/>
        <v/>
      </c>
      <c r="E1928" s="5" t="s">
        <v>890</v>
      </c>
      <c r="F1928" s="5" t="s">
        <v>877</v>
      </c>
      <c r="I1928" t="s">
        <v>835</v>
      </c>
      <c r="J1928">
        <v>49</v>
      </c>
      <c r="K1928">
        <v>1</v>
      </c>
      <c r="L1928" t="s">
        <v>401</v>
      </c>
      <c r="M1928" t="s">
        <v>15</v>
      </c>
      <c r="U1928" s="8">
        <f t="shared" si="196"/>
        <v>2</v>
      </c>
      <c r="AD1928" t="str">
        <f t="shared" si="195"/>
        <v>e</v>
      </c>
      <c r="AE1928" t="str">
        <f t="shared" si="199"/>
        <v>Possession</v>
      </c>
      <c r="AF1928" t="str">
        <f t="shared" si="197"/>
        <v/>
      </c>
      <c r="AG1928" t="str">
        <f t="shared" si="198"/>
        <v/>
      </c>
      <c r="AN1928" t="str">
        <f t="shared" si="194"/>
        <v>Offensive</v>
      </c>
    </row>
    <row r="1929" spans="1:40" x14ac:dyDescent="0.2">
      <c r="A1929">
        <v>966</v>
      </c>
      <c r="B1929" t="str">
        <f t="shared" si="193"/>
        <v/>
      </c>
      <c r="J1929">
        <v>46</v>
      </c>
      <c r="U1929" s="8">
        <f t="shared" si="196"/>
        <v>2</v>
      </c>
      <c r="AD1929" t="str">
        <f t="shared" si="195"/>
        <v>o</v>
      </c>
      <c r="AE1929" t="str">
        <f t="shared" si="199"/>
        <v>Possession</v>
      </c>
      <c r="AF1929" t="str">
        <f t="shared" si="197"/>
        <v/>
      </c>
      <c r="AG1929" t="str">
        <f t="shared" si="198"/>
        <v/>
      </c>
      <c r="AN1929" t="str">
        <f t="shared" si="194"/>
        <v>Defensive</v>
      </c>
    </row>
    <row r="1930" spans="1:40" x14ac:dyDescent="0.2">
      <c r="A1930">
        <v>967</v>
      </c>
      <c r="B1930" t="str">
        <f t="shared" si="193"/>
        <v/>
      </c>
      <c r="E1930" s="5" t="s">
        <v>890</v>
      </c>
      <c r="F1930" s="5" t="s">
        <v>888</v>
      </c>
      <c r="I1930" t="s">
        <v>835</v>
      </c>
      <c r="J1930">
        <v>49</v>
      </c>
      <c r="K1930">
        <v>1</v>
      </c>
      <c r="L1930" t="s">
        <v>401</v>
      </c>
      <c r="M1930" t="s">
        <v>8</v>
      </c>
      <c r="N1930" t="s">
        <v>189</v>
      </c>
      <c r="O1930" t="s">
        <v>70</v>
      </c>
      <c r="P1930" t="s">
        <v>689</v>
      </c>
      <c r="Q1930" t="s">
        <v>643</v>
      </c>
      <c r="S1930" t="s">
        <v>689</v>
      </c>
      <c r="T1930">
        <v>1</v>
      </c>
      <c r="U1930" s="8">
        <f t="shared" si="196"/>
        <v>2</v>
      </c>
      <c r="AD1930" t="str">
        <f t="shared" si="195"/>
        <v>e</v>
      </c>
      <c r="AE1930" t="str">
        <f t="shared" si="199"/>
        <v>Pass</v>
      </c>
      <c r="AF1930" t="str">
        <f t="shared" si="197"/>
        <v>Pass_Completed</v>
      </c>
      <c r="AG1930" t="str">
        <f t="shared" si="198"/>
        <v>Pass-Forehand</v>
      </c>
      <c r="AN1930" t="str">
        <f t="shared" si="194"/>
        <v>Offensive</v>
      </c>
    </row>
    <row r="1931" spans="1:40" x14ac:dyDescent="0.2">
      <c r="A1931">
        <v>967</v>
      </c>
      <c r="B1931" t="str">
        <f t="shared" si="193"/>
        <v/>
      </c>
      <c r="J1931">
        <v>91</v>
      </c>
      <c r="K1931">
        <v>1</v>
      </c>
      <c r="U1931" s="8">
        <f t="shared" si="196"/>
        <v>2</v>
      </c>
      <c r="AD1931" t="str">
        <f t="shared" si="195"/>
        <v>e</v>
      </c>
      <c r="AE1931" t="str">
        <f t="shared" si="199"/>
        <v>Pass</v>
      </c>
      <c r="AF1931" t="str">
        <f t="shared" si="197"/>
        <v>Pass_Completed</v>
      </c>
      <c r="AG1931" t="str">
        <f t="shared" si="198"/>
        <v>Pass-Forehand</v>
      </c>
      <c r="AN1931" t="str">
        <f t="shared" si="194"/>
        <v>Offensive</v>
      </c>
    </row>
    <row r="1932" spans="1:40" x14ac:dyDescent="0.2">
      <c r="A1932">
        <v>967</v>
      </c>
      <c r="B1932" t="str">
        <f t="shared" si="193"/>
        <v/>
      </c>
      <c r="J1932">
        <v>46</v>
      </c>
      <c r="T1932">
        <v>1</v>
      </c>
      <c r="U1932" s="8">
        <f t="shared" si="196"/>
        <v>2</v>
      </c>
      <c r="AD1932" t="str">
        <f t="shared" si="195"/>
        <v>o</v>
      </c>
      <c r="AE1932" t="str">
        <f t="shared" si="199"/>
        <v>Pass</v>
      </c>
      <c r="AF1932" t="str">
        <f t="shared" si="197"/>
        <v>Pass_Completed</v>
      </c>
      <c r="AG1932" t="str">
        <f t="shared" si="198"/>
        <v>Pass-Forehand</v>
      </c>
      <c r="AN1932" t="str">
        <f t="shared" si="194"/>
        <v>Defensive</v>
      </c>
    </row>
    <row r="1933" spans="1:40" x14ac:dyDescent="0.2">
      <c r="A1933">
        <v>968</v>
      </c>
      <c r="B1933" t="str">
        <f t="shared" si="193"/>
        <v/>
      </c>
      <c r="E1933" s="5" t="s">
        <v>890</v>
      </c>
      <c r="F1933" s="5" t="s">
        <v>889</v>
      </c>
      <c r="I1933" t="s">
        <v>835</v>
      </c>
      <c r="J1933">
        <v>91</v>
      </c>
      <c r="K1933">
        <v>1</v>
      </c>
      <c r="L1933" t="s">
        <v>401</v>
      </c>
      <c r="M1933" t="s">
        <v>8</v>
      </c>
      <c r="N1933" t="s">
        <v>189</v>
      </c>
      <c r="O1933" t="s">
        <v>70</v>
      </c>
      <c r="P1933" t="s">
        <v>689</v>
      </c>
      <c r="Q1933" t="s">
        <v>669</v>
      </c>
      <c r="S1933" t="s">
        <v>689</v>
      </c>
      <c r="T1933">
        <v>1</v>
      </c>
      <c r="U1933" s="8">
        <f t="shared" si="196"/>
        <v>2</v>
      </c>
      <c r="AD1933" t="str">
        <f t="shared" si="195"/>
        <v>e</v>
      </c>
      <c r="AE1933" t="str">
        <f t="shared" si="199"/>
        <v>Pass</v>
      </c>
      <c r="AF1933" t="str">
        <f t="shared" si="197"/>
        <v>Pass_Completed</v>
      </c>
      <c r="AG1933" t="str">
        <f t="shared" si="198"/>
        <v>Pass-Forehand</v>
      </c>
      <c r="AN1933" t="str">
        <f t="shared" si="194"/>
        <v>Offensive</v>
      </c>
    </row>
    <row r="1934" spans="1:40" x14ac:dyDescent="0.2">
      <c r="A1934">
        <v>968</v>
      </c>
      <c r="B1934" t="str">
        <f t="shared" si="193"/>
        <v/>
      </c>
      <c r="J1934">
        <v>55</v>
      </c>
      <c r="K1934">
        <v>1</v>
      </c>
      <c r="U1934" s="8">
        <f t="shared" si="196"/>
        <v>2</v>
      </c>
      <c r="AD1934" t="str">
        <f t="shared" si="195"/>
        <v>e</v>
      </c>
      <c r="AE1934" t="str">
        <f t="shared" si="199"/>
        <v>Pass</v>
      </c>
      <c r="AF1934" t="str">
        <f t="shared" si="197"/>
        <v>Pass_Completed</v>
      </c>
      <c r="AG1934" t="str">
        <f t="shared" si="198"/>
        <v>Pass-Forehand</v>
      </c>
      <c r="AN1934" t="str">
        <f t="shared" si="194"/>
        <v>Offensive</v>
      </c>
    </row>
    <row r="1935" spans="1:40" x14ac:dyDescent="0.2">
      <c r="A1935">
        <v>968</v>
      </c>
      <c r="B1935" t="str">
        <f t="shared" si="193"/>
        <v/>
      </c>
      <c r="J1935">
        <v>92</v>
      </c>
      <c r="T1935">
        <v>1</v>
      </c>
      <c r="U1935" s="8">
        <f t="shared" si="196"/>
        <v>2</v>
      </c>
      <c r="AD1935" t="str">
        <f t="shared" si="195"/>
        <v>o</v>
      </c>
      <c r="AE1935" t="str">
        <f t="shared" si="199"/>
        <v>Pass</v>
      </c>
      <c r="AF1935" t="str">
        <f t="shared" si="197"/>
        <v>Pass_Completed</v>
      </c>
      <c r="AG1935" t="str">
        <f t="shared" si="198"/>
        <v>Pass-Forehand</v>
      </c>
      <c r="AN1935" t="str">
        <f t="shared" si="194"/>
        <v>Defensive</v>
      </c>
    </row>
    <row r="1936" spans="1:40" x14ac:dyDescent="0.2">
      <c r="A1936">
        <v>968</v>
      </c>
      <c r="B1936" t="str">
        <f t="shared" si="193"/>
        <v/>
      </c>
      <c r="J1936">
        <v>7</v>
      </c>
      <c r="U1936" s="8">
        <f t="shared" si="196"/>
        <v>2</v>
      </c>
      <c r="AD1936" t="str">
        <f t="shared" si="195"/>
        <v>o</v>
      </c>
      <c r="AE1936" t="str">
        <f t="shared" si="199"/>
        <v>Pass</v>
      </c>
      <c r="AF1936" t="str">
        <f t="shared" si="197"/>
        <v>Pass_Completed</v>
      </c>
      <c r="AG1936" t="str">
        <f t="shared" si="198"/>
        <v>Pass-Forehand</v>
      </c>
      <c r="AN1936" t="str">
        <f t="shared" si="194"/>
        <v>Defensive</v>
      </c>
    </row>
    <row r="1937" spans="1:40" x14ac:dyDescent="0.2">
      <c r="A1937">
        <v>969</v>
      </c>
      <c r="B1937">
        <v>164</v>
      </c>
      <c r="E1937" s="5" t="s">
        <v>890</v>
      </c>
      <c r="F1937" s="5" t="s">
        <v>889</v>
      </c>
      <c r="I1937" t="s">
        <v>835</v>
      </c>
      <c r="J1937">
        <v>55</v>
      </c>
      <c r="K1937">
        <v>1</v>
      </c>
      <c r="L1937" t="s">
        <v>401</v>
      </c>
      <c r="M1937" t="s">
        <v>7</v>
      </c>
      <c r="N1937" t="s">
        <v>198</v>
      </c>
      <c r="O1937" t="s">
        <v>53</v>
      </c>
      <c r="P1937" t="s">
        <v>688</v>
      </c>
      <c r="T1937">
        <v>1</v>
      </c>
      <c r="U1937" s="8">
        <f t="shared" si="196"/>
        <v>2</v>
      </c>
      <c r="AD1937" t="str">
        <f t="shared" si="195"/>
        <v>e</v>
      </c>
      <c r="AE1937" t="str">
        <f t="shared" si="199"/>
        <v>Shot</v>
      </c>
      <c r="AF1937" t="str">
        <f t="shared" si="197"/>
        <v>Shot_Missed</v>
      </c>
      <c r="AG1937" t="str">
        <f t="shared" si="198"/>
        <v>Shot-Wrist</v>
      </c>
      <c r="AN1937" t="str">
        <f t="shared" si="194"/>
        <v>Offensive</v>
      </c>
    </row>
    <row r="1938" spans="1:40" x14ac:dyDescent="0.2">
      <c r="A1938">
        <v>969</v>
      </c>
      <c r="B1938">
        <f t="shared" si="193"/>
        <v>164</v>
      </c>
      <c r="J1938">
        <v>7</v>
      </c>
      <c r="Q1938" t="s">
        <v>658</v>
      </c>
      <c r="T1938">
        <v>1</v>
      </c>
      <c r="U1938" s="8">
        <f t="shared" si="196"/>
        <v>2</v>
      </c>
      <c r="AD1938" t="str">
        <f t="shared" si="195"/>
        <v>o</v>
      </c>
      <c r="AE1938" t="str">
        <f t="shared" si="199"/>
        <v>Shot</v>
      </c>
      <c r="AF1938" t="str">
        <f t="shared" si="197"/>
        <v>Shot_Missed</v>
      </c>
      <c r="AG1938" t="str">
        <f t="shared" si="198"/>
        <v>Shot-Wrist</v>
      </c>
      <c r="AN1938" t="str">
        <f t="shared" si="194"/>
        <v>Defensive</v>
      </c>
    </row>
    <row r="1939" spans="1:40" x14ac:dyDescent="0.2">
      <c r="A1939">
        <v>970</v>
      </c>
      <c r="B1939">
        <v>164</v>
      </c>
      <c r="E1939" s="5" t="s">
        <v>890</v>
      </c>
      <c r="F1939" s="5" t="s">
        <v>889</v>
      </c>
      <c r="I1939" t="s">
        <v>835</v>
      </c>
      <c r="J1939">
        <v>55</v>
      </c>
      <c r="K1939">
        <v>1</v>
      </c>
      <c r="L1939" t="s">
        <v>401</v>
      </c>
      <c r="M1939" t="s">
        <v>10</v>
      </c>
      <c r="N1939" t="s">
        <v>190</v>
      </c>
      <c r="O1939" t="s">
        <v>79</v>
      </c>
      <c r="P1939" t="s">
        <v>688</v>
      </c>
      <c r="T1939">
        <v>1</v>
      </c>
      <c r="U1939" s="8">
        <f t="shared" si="196"/>
        <v>2</v>
      </c>
      <c r="AD1939" t="str">
        <f t="shared" si="195"/>
        <v>e</v>
      </c>
      <c r="AE1939" t="str">
        <f t="shared" si="199"/>
        <v>Turnover</v>
      </c>
      <c r="AF1939" t="str">
        <f t="shared" si="197"/>
        <v>Turnover_Giveaway</v>
      </c>
      <c r="AG1939" t="str">
        <f t="shared" si="198"/>
        <v>Giveaway-ShotMissed</v>
      </c>
      <c r="AN1939" t="str">
        <f t="shared" si="194"/>
        <v>Offensive</v>
      </c>
    </row>
    <row r="1940" spans="1:40" x14ac:dyDescent="0.2">
      <c r="A1940">
        <v>970</v>
      </c>
      <c r="B1940">
        <f t="shared" si="193"/>
        <v>164</v>
      </c>
      <c r="J1940">
        <v>7</v>
      </c>
      <c r="Q1940" t="s">
        <v>658</v>
      </c>
      <c r="T1940">
        <v>1</v>
      </c>
      <c r="U1940" s="8">
        <f t="shared" si="196"/>
        <v>2</v>
      </c>
      <c r="AD1940" t="str">
        <f t="shared" si="195"/>
        <v>o</v>
      </c>
      <c r="AE1940" t="str">
        <f t="shared" si="199"/>
        <v>Turnover</v>
      </c>
      <c r="AF1940" t="str">
        <f t="shared" si="197"/>
        <v>Turnover_Giveaway</v>
      </c>
      <c r="AG1940" t="str">
        <f t="shared" si="198"/>
        <v>Giveaway-ShotMissed</v>
      </c>
      <c r="AN1940" t="str">
        <f t="shared" si="194"/>
        <v>Defensive</v>
      </c>
    </row>
    <row r="1941" spans="1:40" x14ac:dyDescent="0.2">
      <c r="A1941">
        <v>971</v>
      </c>
      <c r="B1941" t="str">
        <f t="shared" si="193"/>
        <v/>
      </c>
      <c r="E1941" s="5" t="s">
        <v>890</v>
      </c>
      <c r="F1941" s="5" t="s">
        <v>897</v>
      </c>
      <c r="G1941" s="5" t="s">
        <v>890</v>
      </c>
      <c r="H1941" s="7" t="s">
        <v>855</v>
      </c>
      <c r="I1941" s="5" t="s">
        <v>840</v>
      </c>
      <c r="J1941">
        <v>7</v>
      </c>
      <c r="K1941">
        <v>1</v>
      </c>
      <c r="L1941" s="5" t="s">
        <v>845</v>
      </c>
      <c r="M1941" t="s">
        <v>16</v>
      </c>
      <c r="N1941" t="s">
        <v>205</v>
      </c>
      <c r="P1941" t="s">
        <v>689</v>
      </c>
      <c r="Q1941" t="s">
        <v>926</v>
      </c>
      <c r="S1941" t="s">
        <v>689</v>
      </c>
      <c r="T1941">
        <v>1</v>
      </c>
      <c r="U1941" s="8">
        <f t="shared" si="196"/>
        <v>2</v>
      </c>
      <c r="AD1941" t="str">
        <f t="shared" si="195"/>
        <v>e</v>
      </c>
      <c r="AE1941" t="str">
        <f t="shared" si="199"/>
        <v>LoosePuck</v>
      </c>
      <c r="AF1941" t="str">
        <f t="shared" si="197"/>
        <v>LoosePuck_Battle</v>
      </c>
      <c r="AG1941" t="str">
        <f t="shared" si="198"/>
        <v/>
      </c>
      <c r="AN1941" t="str">
        <f t="shared" si="194"/>
        <v>Offensive</v>
      </c>
    </row>
    <row r="1942" spans="1:40" x14ac:dyDescent="0.2">
      <c r="A1942">
        <v>971</v>
      </c>
      <c r="B1942" t="str">
        <f t="shared" si="193"/>
        <v/>
      </c>
      <c r="J1942">
        <v>55</v>
      </c>
      <c r="Q1942" t="s">
        <v>927</v>
      </c>
      <c r="S1942" t="s">
        <v>689</v>
      </c>
      <c r="T1942">
        <v>1</v>
      </c>
      <c r="U1942" s="8">
        <f t="shared" si="196"/>
        <v>2</v>
      </c>
      <c r="AD1942" t="str">
        <f t="shared" si="195"/>
        <v>o</v>
      </c>
      <c r="AE1942" t="str">
        <f t="shared" si="199"/>
        <v>LoosePuck</v>
      </c>
      <c r="AF1942" t="str">
        <f t="shared" si="197"/>
        <v>LoosePuck_Battle</v>
      </c>
      <c r="AG1942" t="str">
        <f t="shared" si="198"/>
        <v/>
      </c>
      <c r="AN1942" t="str">
        <f t="shared" si="194"/>
        <v>Defensive</v>
      </c>
    </row>
    <row r="1943" spans="1:40" x14ac:dyDescent="0.2">
      <c r="A1943">
        <v>972</v>
      </c>
      <c r="B1943" t="str">
        <f t="shared" si="193"/>
        <v/>
      </c>
      <c r="E1943" s="5" t="s">
        <v>890</v>
      </c>
      <c r="F1943" s="5" t="s">
        <v>855</v>
      </c>
      <c r="I1943" t="s">
        <v>840</v>
      </c>
      <c r="J1943">
        <v>7</v>
      </c>
      <c r="K1943">
        <v>1</v>
      </c>
      <c r="L1943" t="s">
        <v>845</v>
      </c>
      <c r="M1943" t="s">
        <v>15</v>
      </c>
      <c r="N1943" t="s">
        <v>680</v>
      </c>
      <c r="P1943" t="s">
        <v>689</v>
      </c>
      <c r="Q1943" t="s">
        <v>939</v>
      </c>
      <c r="S1943" t="s">
        <v>689</v>
      </c>
      <c r="T1943">
        <v>1</v>
      </c>
      <c r="U1943" s="8">
        <f t="shared" si="196"/>
        <v>2</v>
      </c>
      <c r="AD1943" t="str">
        <f t="shared" si="195"/>
        <v>e</v>
      </c>
      <c r="AE1943" t="str">
        <f t="shared" si="199"/>
        <v>Possession</v>
      </c>
      <c r="AF1943" t="str">
        <f t="shared" si="197"/>
        <v>PuckRetrieval</v>
      </c>
      <c r="AG1943" t="str">
        <f t="shared" si="198"/>
        <v/>
      </c>
      <c r="AN1943" t="str">
        <f t="shared" si="194"/>
        <v>Offensive</v>
      </c>
    </row>
    <row r="1944" spans="1:40" x14ac:dyDescent="0.2">
      <c r="A1944">
        <v>972</v>
      </c>
      <c r="B1944" t="str">
        <f t="shared" si="193"/>
        <v/>
      </c>
      <c r="J1944">
        <v>55</v>
      </c>
      <c r="T1944">
        <v>1</v>
      </c>
      <c r="U1944" s="8">
        <f t="shared" si="196"/>
        <v>2</v>
      </c>
      <c r="AD1944" t="str">
        <f t="shared" si="195"/>
        <v>o</v>
      </c>
      <c r="AE1944" t="str">
        <f t="shared" si="199"/>
        <v>Possession</v>
      </c>
      <c r="AF1944" t="str">
        <f t="shared" si="197"/>
        <v>PuckRetrieval</v>
      </c>
      <c r="AG1944" t="str">
        <f t="shared" si="198"/>
        <v/>
      </c>
      <c r="AN1944" t="str">
        <f t="shared" si="194"/>
        <v>Defensive</v>
      </c>
    </row>
    <row r="1945" spans="1:40" x14ac:dyDescent="0.2">
      <c r="A1945">
        <v>973</v>
      </c>
      <c r="B1945" t="str">
        <f t="shared" si="193"/>
        <v/>
      </c>
      <c r="E1945" s="5" t="s">
        <v>890</v>
      </c>
      <c r="F1945" s="5" t="s">
        <v>855</v>
      </c>
      <c r="I1945" t="s">
        <v>840</v>
      </c>
      <c r="J1945">
        <v>7</v>
      </c>
      <c r="K1945">
        <v>1</v>
      </c>
      <c r="L1945" t="s">
        <v>845</v>
      </c>
      <c r="M1945" t="s">
        <v>10</v>
      </c>
      <c r="N1945" t="s">
        <v>190</v>
      </c>
      <c r="O1945" t="s">
        <v>398</v>
      </c>
      <c r="P1945" t="s">
        <v>688</v>
      </c>
      <c r="Q1945" t="s">
        <v>931</v>
      </c>
      <c r="S1945" t="s">
        <v>688</v>
      </c>
      <c r="U1945" s="8">
        <f t="shared" si="196"/>
        <v>2</v>
      </c>
      <c r="AD1945" t="str">
        <f t="shared" si="195"/>
        <v>e</v>
      </c>
      <c r="AE1945" t="str">
        <f t="shared" si="199"/>
        <v>Turnover</v>
      </c>
      <c r="AF1945" t="str">
        <f t="shared" si="197"/>
        <v>Turnover_Giveaway</v>
      </c>
      <c r="AG1945" t="str">
        <f t="shared" si="198"/>
        <v>Giveaway-AttemptedZoneClear/Dump</v>
      </c>
      <c r="AN1945" t="str">
        <f t="shared" si="194"/>
        <v>Offensive</v>
      </c>
    </row>
    <row r="1946" spans="1:40" x14ac:dyDescent="0.2">
      <c r="A1946">
        <v>974</v>
      </c>
      <c r="B1946">
        <v>165</v>
      </c>
      <c r="E1946" s="5" t="s">
        <v>890</v>
      </c>
      <c r="F1946" s="5" t="s">
        <v>856</v>
      </c>
      <c r="I1946" t="s">
        <v>835</v>
      </c>
      <c r="J1946">
        <v>84</v>
      </c>
      <c r="K1946">
        <v>1</v>
      </c>
      <c r="L1946" t="s">
        <v>401</v>
      </c>
      <c r="M1946" t="s">
        <v>15</v>
      </c>
      <c r="N1946" t="s">
        <v>680</v>
      </c>
      <c r="P1946" t="s">
        <v>689</v>
      </c>
      <c r="Q1946" t="s">
        <v>631</v>
      </c>
      <c r="R1946" t="s">
        <v>943</v>
      </c>
      <c r="S1946" t="s">
        <v>689</v>
      </c>
      <c r="T1946">
        <v>1</v>
      </c>
      <c r="U1946" s="8">
        <f t="shared" si="196"/>
        <v>2</v>
      </c>
      <c r="AD1946" t="str">
        <f t="shared" si="195"/>
        <v>e</v>
      </c>
      <c r="AE1946" t="str">
        <f t="shared" si="199"/>
        <v>Possession</v>
      </c>
      <c r="AF1946" t="str">
        <f t="shared" si="197"/>
        <v>PuckRetrieval</v>
      </c>
      <c r="AG1946" t="str">
        <f t="shared" si="198"/>
        <v/>
      </c>
      <c r="AN1946" t="str">
        <f t="shared" si="194"/>
        <v>Offensive</v>
      </c>
    </row>
    <row r="1947" spans="1:40" x14ac:dyDescent="0.2">
      <c r="A1947">
        <v>974</v>
      </c>
      <c r="B1947">
        <f t="shared" si="193"/>
        <v>165</v>
      </c>
      <c r="J1947">
        <v>9</v>
      </c>
      <c r="T1947">
        <v>1</v>
      </c>
      <c r="U1947" s="8">
        <f t="shared" si="196"/>
        <v>2</v>
      </c>
      <c r="AD1947" t="str">
        <f t="shared" si="195"/>
        <v>o</v>
      </c>
      <c r="AE1947" t="str">
        <f t="shared" si="199"/>
        <v>Possession</v>
      </c>
      <c r="AF1947" t="str">
        <f t="shared" si="197"/>
        <v>PuckRetrieval</v>
      </c>
      <c r="AG1947" t="str">
        <f t="shared" si="198"/>
        <v/>
      </c>
      <c r="AN1947" t="str">
        <f t="shared" si="194"/>
        <v>Defensive</v>
      </c>
    </row>
    <row r="1948" spans="1:40" x14ac:dyDescent="0.2">
      <c r="A1948">
        <v>975</v>
      </c>
      <c r="B1948">
        <v>165</v>
      </c>
      <c r="E1948" s="5" t="s">
        <v>890</v>
      </c>
      <c r="F1948" s="5" t="s">
        <v>856</v>
      </c>
      <c r="I1948" t="s">
        <v>835</v>
      </c>
      <c r="J1948">
        <v>84</v>
      </c>
      <c r="K1948">
        <v>1</v>
      </c>
      <c r="L1948" t="s">
        <v>401</v>
      </c>
      <c r="M1948" t="s">
        <v>257</v>
      </c>
      <c r="N1948" t="s">
        <v>210</v>
      </c>
      <c r="O1948" t="s">
        <v>93</v>
      </c>
      <c r="P1948" t="s">
        <v>689</v>
      </c>
      <c r="Q1948" t="s">
        <v>943</v>
      </c>
      <c r="S1948" t="s">
        <v>689</v>
      </c>
      <c r="T1948">
        <v>1</v>
      </c>
      <c r="U1948" s="8">
        <f t="shared" si="196"/>
        <v>2</v>
      </c>
      <c r="AD1948" t="str">
        <f t="shared" si="195"/>
        <v>e</v>
      </c>
      <c r="AE1948" t="str">
        <f t="shared" si="199"/>
        <v>Zone_Entry_Exit</v>
      </c>
      <c r="AF1948" t="str">
        <f t="shared" si="197"/>
        <v>Zone_Keepin</v>
      </c>
      <c r="AG1948" t="str">
        <f t="shared" si="198"/>
        <v>Zone-KeepIn</v>
      </c>
      <c r="AN1948" t="str">
        <f t="shared" si="194"/>
        <v>Offensive</v>
      </c>
    </row>
    <row r="1949" spans="1:40" x14ac:dyDescent="0.2">
      <c r="A1949">
        <v>975</v>
      </c>
      <c r="B1949">
        <f t="shared" si="193"/>
        <v>165</v>
      </c>
      <c r="J1949">
        <v>9</v>
      </c>
      <c r="T1949">
        <v>1</v>
      </c>
      <c r="U1949" s="8">
        <f t="shared" si="196"/>
        <v>2</v>
      </c>
      <c r="AD1949" t="str">
        <f t="shared" si="195"/>
        <v>o</v>
      </c>
      <c r="AE1949" t="str">
        <f t="shared" si="199"/>
        <v>Zone_Entry_Exit</v>
      </c>
      <c r="AF1949" t="str">
        <f t="shared" si="197"/>
        <v>Zone_Keepin</v>
      </c>
      <c r="AG1949" t="str">
        <f t="shared" si="198"/>
        <v>Zone-KeepIn</v>
      </c>
      <c r="AN1949" t="str">
        <f t="shared" si="194"/>
        <v>Defensive</v>
      </c>
    </row>
    <row r="1950" spans="1:40" x14ac:dyDescent="0.2">
      <c r="A1950">
        <v>976</v>
      </c>
      <c r="B1950" t="str">
        <f t="shared" si="193"/>
        <v/>
      </c>
      <c r="E1950" s="5" t="s">
        <v>890</v>
      </c>
      <c r="F1950" s="5" t="s">
        <v>857</v>
      </c>
      <c r="I1950" t="s">
        <v>835</v>
      </c>
      <c r="J1950">
        <v>84</v>
      </c>
      <c r="K1950">
        <v>1</v>
      </c>
      <c r="L1950" t="s">
        <v>401</v>
      </c>
      <c r="M1950" t="s">
        <v>8</v>
      </c>
      <c r="N1950" t="s">
        <v>189</v>
      </c>
      <c r="O1950" t="s">
        <v>70</v>
      </c>
      <c r="P1950" t="s">
        <v>689</v>
      </c>
      <c r="Q1950" t="s">
        <v>669</v>
      </c>
      <c r="S1950" t="s">
        <v>689</v>
      </c>
      <c r="T1950">
        <v>1</v>
      </c>
      <c r="U1950" s="8">
        <f t="shared" si="196"/>
        <v>2</v>
      </c>
      <c r="AD1950" t="str">
        <f t="shared" si="195"/>
        <v>e</v>
      </c>
      <c r="AE1950" t="str">
        <f t="shared" si="199"/>
        <v>Pass</v>
      </c>
      <c r="AF1950" t="str">
        <f t="shared" si="197"/>
        <v>Pass_Completed</v>
      </c>
      <c r="AG1950" t="str">
        <f t="shared" si="198"/>
        <v>Pass-Forehand</v>
      </c>
      <c r="AN1950" t="str">
        <f t="shared" si="194"/>
        <v>Offensive</v>
      </c>
    </row>
    <row r="1951" spans="1:40" x14ac:dyDescent="0.2">
      <c r="A1951">
        <v>976</v>
      </c>
      <c r="B1951" t="str">
        <f t="shared" si="193"/>
        <v/>
      </c>
      <c r="J1951">
        <v>61</v>
      </c>
      <c r="K1951">
        <v>1</v>
      </c>
      <c r="U1951" s="8">
        <f t="shared" si="196"/>
        <v>2</v>
      </c>
      <c r="AD1951" t="str">
        <f t="shared" si="195"/>
        <v>e</v>
      </c>
      <c r="AE1951" t="str">
        <f t="shared" si="199"/>
        <v>Pass</v>
      </c>
      <c r="AF1951" t="str">
        <f t="shared" si="197"/>
        <v>Pass_Completed</v>
      </c>
      <c r="AG1951" t="str">
        <f t="shared" si="198"/>
        <v>Pass-Forehand</v>
      </c>
      <c r="AN1951" t="str">
        <f t="shared" si="194"/>
        <v>Offensive</v>
      </c>
    </row>
    <row r="1952" spans="1:40" x14ac:dyDescent="0.2">
      <c r="A1952">
        <v>976</v>
      </c>
      <c r="B1952" t="str">
        <f t="shared" si="193"/>
        <v/>
      </c>
      <c r="J1952">
        <v>9</v>
      </c>
      <c r="T1952">
        <v>1</v>
      </c>
      <c r="U1952" s="8">
        <f t="shared" si="196"/>
        <v>2</v>
      </c>
      <c r="AD1952" t="str">
        <f t="shared" si="195"/>
        <v>o</v>
      </c>
      <c r="AE1952" t="str">
        <f t="shared" si="199"/>
        <v>Pass</v>
      </c>
      <c r="AF1952" t="str">
        <f t="shared" si="197"/>
        <v>Pass_Completed</v>
      </c>
      <c r="AG1952" t="str">
        <f t="shared" si="198"/>
        <v>Pass-Forehand</v>
      </c>
      <c r="AN1952" t="str">
        <f t="shared" si="194"/>
        <v>Defensive</v>
      </c>
    </row>
    <row r="1953" spans="1:40" x14ac:dyDescent="0.2">
      <c r="A1953">
        <v>977</v>
      </c>
      <c r="B1953" t="str">
        <f t="shared" si="193"/>
        <v/>
      </c>
      <c r="E1953" s="5" t="s">
        <v>890</v>
      </c>
      <c r="F1953" s="5" t="s">
        <v>857</v>
      </c>
      <c r="G1953" s="5" t="s">
        <v>890</v>
      </c>
      <c r="H1953" s="7" t="s">
        <v>858</v>
      </c>
      <c r="I1953" s="5" t="s">
        <v>835</v>
      </c>
      <c r="J1953">
        <v>61</v>
      </c>
      <c r="K1953">
        <v>1</v>
      </c>
      <c r="L1953" s="5" t="s">
        <v>401</v>
      </c>
      <c r="M1953" t="s">
        <v>15</v>
      </c>
      <c r="U1953" s="8">
        <f t="shared" si="196"/>
        <v>2</v>
      </c>
      <c r="AD1953" t="str">
        <f t="shared" si="195"/>
        <v>e</v>
      </c>
      <c r="AE1953" t="str">
        <f t="shared" si="199"/>
        <v>Possession</v>
      </c>
      <c r="AF1953" t="str">
        <f t="shared" si="197"/>
        <v/>
      </c>
      <c r="AG1953" t="str">
        <f t="shared" si="198"/>
        <v/>
      </c>
      <c r="AN1953" t="str">
        <f t="shared" si="194"/>
        <v>Offensive</v>
      </c>
    </row>
    <row r="1954" spans="1:40" x14ac:dyDescent="0.2">
      <c r="A1954">
        <v>978</v>
      </c>
      <c r="B1954" t="str">
        <f t="shared" si="193"/>
        <v/>
      </c>
      <c r="E1954" s="5" t="s">
        <v>890</v>
      </c>
      <c r="F1954" s="5" t="s">
        <v>858</v>
      </c>
      <c r="I1954" t="s">
        <v>835</v>
      </c>
      <c r="J1954">
        <v>61</v>
      </c>
      <c r="K1954">
        <v>1</v>
      </c>
      <c r="L1954" t="s">
        <v>401</v>
      </c>
      <c r="M1954" t="s">
        <v>7</v>
      </c>
      <c r="N1954" t="s">
        <v>208</v>
      </c>
      <c r="O1954" t="s">
        <v>53</v>
      </c>
      <c r="P1954" t="s">
        <v>688</v>
      </c>
      <c r="T1954">
        <v>1</v>
      </c>
      <c r="U1954" s="8">
        <f t="shared" si="196"/>
        <v>2</v>
      </c>
      <c r="AD1954" t="str">
        <f t="shared" si="195"/>
        <v>e</v>
      </c>
      <c r="AE1954" t="str">
        <f t="shared" si="199"/>
        <v>Shot</v>
      </c>
      <c r="AF1954" t="str">
        <f t="shared" si="197"/>
        <v>Shot_Blocked</v>
      </c>
      <c r="AG1954" t="str">
        <f t="shared" si="198"/>
        <v>Shot-Wrist</v>
      </c>
      <c r="AN1954" t="str">
        <f t="shared" si="194"/>
        <v>Offensive</v>
      </c>
    </row>
    <row r="1955" spans="1:40" x14ac:dyDescent="0.2">
      <c r="A1955">
        <v>978</v>
      </c>
      <c r="B1955" t="str">
        <f t="shared" si="193"/>
        <v/>
      </c>
      <c r="J1955">
        <v>83</v>
      </c>
      <c r="Q1955" t="s">
        <v>646</v>
      </c>
      <c r="S1955" t="s">
        <v>689</v>
      </c>
      <c r="U1955" s="8">
        <f t="shared" si="196"/>
        <v>2</v>
      </c>
      <c r="AD1955" t="str">
        <f t="shared" si="195"/>
        <v>o</v>
      </c>
      <c r="AE1955" t="str">
        <f t="shared" si="199"/>
        <v>Shot</v>
      </c>
      <c r="AF1955" t="str">
        <f t="shared" si="197"/>
        <v>Shot_Blocked</v>
      </c>
      <c r="AG1955" t="str">
        <f t="shared" si="198"/>
        <v>Shot-Wrist</v>
      </c>
      <c r="AN1955" t="str">
        <f t="shared" si="194"/>
        <v>Defensive</v>
      </c>
    </row>
    <row r="1956" spans="1:40" x14ac:dyDescent="0.2">
      <c r="A1956">
        <v>978</v>
      </c>
      <c r="B1956" t="str">
        <f t="shared" si="193"/>
        <v/>
      </c>
      <c r="J1956">
        <v>46</v>
      </c>
      <c r="Q1956" t="s">
        <v>657</v>
      </c>
      <c r="R1956" t="s">
        <v>658</v>
      </c>
      <c r="T1956">
        <v>1</v>
      </c>
      <c r="U1956" s="8">
        <f t="shared" si="196"/>
        <v>2</v>
      </c>
      <c r="AD1956" t="str">
        <f t="shared" si="195"/>
        <v>o</v>
      </c>
      <c r="AE1956" t="str">
        <f t="shared" si="199"/>
        <v>Shot</v>
      </c>
      <c r="AF1956" t="str">
        <f t="shared" si="197"/>
        <v>Shot_Blocked</v>
      </c>
      <c r="AG1956" t="str">
        <f t="shared" si="198"/>
        <v>Shot-Wrist</v>
      </c>
      <c r="AN1956" t="str">
        <f t="shared" si="194"/>
        <v>Defensive</v>
      </c>
    </row>
    <row r="1957" spans="1:40" x14ac:dyDescent="0.2">
      <c r="A1957">
        <v>979</v>
      </c>
      <c r="B1957" t="str">
        <f t="shared" si="193"/>
        <v/>
      </c>
      <c r="E1957" s="5" t="s">
        <v>890</v>
      </c>
      <c r="F1957" s="5" t="s">
        <v>860</v>
      </c>
      <c r="G1957" s="5" t="s">
        <v>890</v>
      </c>
      <c r="H1957" s="7" t="s">
        <v>909</v>
      </c>
      <c r="I1957" s="5" t="s">
        <v>835</v>
      </c>
      <c r="J1957">
        <v>55</v>
      </c>
      <c r="K1957">
        <v>1</v>
      </c>
      <c r="L1957" s="5" t="s">
        <v>401</v>
      </c>
      <c r="M1957" t="s">
        <v>15</v>
      </c>
      <c r="U1957" s="8">
        <f t="shared" si="196"/>
        <v>2</v>
      </c>
      <c r="AD1957" t="str">
        <f t="shared" si="195"/>
        <v>e</v>
      </c>
      <c r="AE1957" t="str">
        <f t="shared" si="199"/>
        <v>Possession</v>
      </c>
      <c r="AF1957" t="str">
        <f t="shared" si="197"/>
        <v/>
      </c>
      <c r="AG1957" t="str">
        <f t="shared" si="198"/>
        <v/>
      </c>
      <c r="AN1957" t="str">
        <f t="shared" si="194"/>
        <v>Offensive</v>
      </c>
    </row>
    <row r="1958" spans="1:40" x14ac:dyDescent="0.2">
      <c r="A1958">
        <v>979</v>
      </c>
      <c r="B1958" t="str">
        <f t="shared" si="193"/>
        <v/>
      </c>
      <c r="J1958">
        <v>7</v>
      </c>
      <c r="U1958" s="8">
        <f t="shared" si="196"/>
        <v>2</v>
      </c>
      <c r="AD1958" t="str">
        <f t="shared" si="195"/>
        <v>o</v>
      </c>
      <c r="AE1958" t="str">
        <f t="shared" si="199"/>
        <v>Possession</v>
      </c>
      <c r="AF1958" t="str">
        <f t="shared" si="197"/>
        <v/>
      </c>
      <c r="AG1958" t="str">
        <f t="shared" si="198"/>
        <v/>
      </c>
      <c r="AN1958" t="str">
        <f t="shared" si="194"/>
        <v>Defensive</v>
      </c>
    </row>
    <row r="1959" spans="1:40" x14ac:dyDescent="0.2">
      <c r="A1959">
        <v>980</v>
      </c>
      <c r="B1959">
        <v>166</v>
      </c>
      <c r="E1959" s="5" t="s">
        <v>890</v>
      </c>
      <c r="F1959" s="5" t="s">
        <v>909</v>
      </c>
      <c r="I1959" t="s">
        <v>835</v>
      </c>
      <c r="J1959">
        <v>55</v>
      </c>
      <c r="K1959">
        <v>1</v>
      </c>
      <c r="L1959" t="s">
        <v>401</v>
      </c>
      <c r="M1959" t="s">
        <v>8</v>
      </c>
      <c r="N1959" t="s">
        <v>199</v>
      </c>
      <c r="O1959" t="s">
        <v>70</v>
      </c>
      <c r="P1959" t="s">
        <v>688</v>
      </c>
      <c r="U1959" s="8">
        <f t="shared" si="196"/>
        <v>2</v>
      </c>
      <c r="AD1959" t="str">
        <f t="shared" si="195"/>
        <v>e</v>
      </c>
      <c r="AE1959" t="str">
        <f t="shared" si="199"/>
        <v>Pass</v>
      </c>
      <c r="AF1959" t="str">
        <f t="shared" si="197"/>
        <v>Pass_Missed</v>
      </c>
      <c r="AG1959" t="str">
        <f t="shared" si="198"/>
        <v>Pass-Forehand</v>
      </c>
      <c r="AN1959" t="str">
        <f t="shared" si="194"/>
        <v>Offensive</v>
      </c>
    </row>
    <row r="1960" spans="1:40" x14ac:dyDescent="0.2">
      <c r="A1960">
        <v>980</v>
      </c>
      <c r="B1960">
        <f t="shared" si="193"/>
        <v>166</v>
      </c>
      <c r="J1960">
        <v>61</v>
      </c>
      <c r="T1960">
        <v>1</v>
      </c>
      <c r="U1960" s="8">
        <f t="shared" si="196"/>
        <v>2</v>
      </c>
      <c r="AD1960" t="str">
        <f t="shared" si="195"/>
        <v>o</v>
      </c>
      <c r="AE1960" t="str">
        <f t="shared" si="199"/>
        <v>Pass</v>
      </c>
      <c r="AF1960" t="str">
        <f t="shared" si="197"/>
        <v>Pass_Missed</v>
      </c>
      <c r="AG1960" t="str">
        <f t="shared" si="198"/>
        <v>Pass-Forehand</v>
      </c>
      <c r="AN1960" t="str">
        <f t="shared" si="194"/>
        <v>Defensive</v>
      </c>
    </row>
    <row r="1961" spans="1:40" x14ac:dyDescent="0.2">
      <c r="A1961">
        <v>980</v>
      </c>
      <c r="B1961">
        <f t="shared" si="193"/>
        <v>166</v>
      </c>
      <c r="J1961">
        <v>83</v>
      </c>
      <c r="T1961">
        <v>1</v>
      </c>
      <c r="U1961" s="8">
        <f t="shared" si="196"/>
        <v>2</v>
      </c>
      <c r="AD1961" t="str">
        <f t="shared" si="195"/>
        <v>o</v>
      </c>
      <c r="AE1961" t="str">
        <f t="shared" si="199"/>
        <v>Pass</v>
      </c>
      <c r="AF1961" t="str">
        <f t="shared" si="197"/>
        <v>Pass_Missed</v>
      </c>
      <c r="AG1961" t="str">
        <f t="shared" si="198"/>
        <v>Pass-Forehand</v>
      </c>
      <c r="AN1961" t="str">
        <f t="shared" si="194"/>
        <v>Defensive</v>
      </c>
    </row>
    <row r="1962" spans="1:40" x14ac:dyDescent="0.2">
      <c r="A1962">
        <v>981</v>
      </c>
      <c r="B1962">
        <v>166</v>
      </c>
      <c r="E1962" s="5" t="s">
        <v>890</v>
      </c>
      <c r="F1962" s="5" t="s">
        <v>909</v>
      </c>
      <c r="I1962" t="s">
        <v>835</v>
      </c>
      <c r="J1962">
        <v>55</v>
      </c>
      <c r="K1962">
        <v>1</v>
      </c>
      <c r="L1962" t="s">
        <v>401</v>
      </c>
      <c r="M1962" t="s">
        <v>10</v>
      </c>
      <c r="N1962" t="s">
        <v>190</v>
      </c>
      <c r="O1962" t="s">
        <v>76</v>
      </c>
      <c r="P1962" t="s">
        <v>688</v>
      </c>
      <c r="U1962" s="8">
        <f t="shared" si="196"/>
        <v>2</v>
      </c>
      <c r="AD1962" t="str">
        <f t="shared" si="195"/>
        <v>e</v>
      </c>
      <c r="AE1962" t="str">
        <f t="shared" si="199"/>
        <v>Turnover</v>
      </c>
      <c r="AF1962" t="str">
        <f t="shared" si="197"/>
        <v>Turnover_Giveaway</v>
      </c>
      <c r="AG1962" t="str">
        <f t="shared" si="198"/>
        <v>Giveaway-PassMissed</v>
      </c>
      <c r="AN1962" t="str">
        <f t="shared" si="194"/>
        <v>Offensive</v>
      </c>
    </row>
    <row r="1963" spans="1:40" x14ac:dyDescent="0.2">
      <c r="A1963">
        <v>981</v>
      </c>
      <c r="B1963">
        <f t="shared" si="193"/>
        <v>166</v>
      </c>
      <c r="J1963">
        <v>61</v>
      </c>
      <c r="T1963">
        <v>1</v>
      </c>
      <c r="U1963" s="8">
        <f t="shared" si="196"/>
        <v>2</v>
      </c>
      <c r="AD1963" t="str">
        <f t="shared" si="195"/>
        <v>o</v>
      </c>
      <c r="AE1963" t="str">
        <f t="shared" si="199"/>
        <v>Turnover</v>
      </c>
      <c r="AF1963" t="str">
        <f t="shared" si="197"/>
        <v>Turnover_Giveaway</v>
      </c>
      <c r="AG1963" t="str">
        <f t="shared" si="198"/>
        <v>Giveaway-PassMissed</v>
      </c>
      <c r="AN1963" t="str">
        <f t="shared" si="194"/>
        <v>Defensive</v>
      </c>
    </row>
    <row r="1964" spans="1:40" x14ac:dyDescent="0.2">
      <c r="A1964">
        <v>981</v>
      </c>
      <c r="B1964">
        <f t="shared" si="193"/>
        <v>166</v>
      </c>
      <c r="J1964">
        <v>83</v>
      </c>
      <c r="T1964">
        <v>1</v>
      </c>
      <c r="U1964" s="8">
        <f t="shared" si="196"/>
        <v>2</v>
      </c>
      <c r="AD1964" t="str">
        <f t="shared" si="195"/>
        <v>o</v>
      </c>
      <c r="AE1964" t="str">
        <f t="shared" si="199"/>
        <v>Turnover</v>
      </c>
      <c r="AF1964" t="str">
        <f t="shared" si="197"/>
        <v>Turnover_Giveaway</v>
      </c>
      <c r="AG1964" t="str">
        <f t="shared" si="198"/>
        <v>Giveaway-PassMissed</v>
      </c>
      <c r="AN1964" t="str">
        <f t="shared" si="194"/>
        <v>Defensive</v>
      </c>
    </row>
    <row r="1965" spans="1:40" x14ac:dyDescent="0.2">
      <c r="A1965">
        <v>982</v>
      </c>
      <c r="B1965" t="str">
        <f t="shared" si="193"/>
        <v/>
      </c>
      <c r="E1965" s="5" t="s">
        <v>890</v>
      </c>
      <c r="F1965" s="5" t="s">
        <v>863</v>
      </c>
      <c r="G1965" s="5" t="s">
        <v>890</v>
      </c>
      <c r="H1965" s="7" t="s">
        <v>836</v>
      </c>
      <c r="I1965" t="s">
        <v>840</v>
      </c>
      <c r="J1965">
        <v>92</v>
      </c>
      <c r="K1965">
        <v>1</v>
      </c>
      <c r="L1965" t="s">
        <v>845</v>
      </c>
      <c r="M1965" t="s">
        <v>15</v>
      </c>
      <c r="U1965" s="8">
        <f t="shared" si="196"/>
        <v>2</v>
      </c>
      <c r="AD1965" t="str">
        <f t="shared" si="195"/>
        <v>e</v>
      </c>
      <c r="AE1965" t="str">
        <f t="shared" si="199"/>
        <v>Possession</v>
      </c>
      <c r="AF1965" t="str">
        <f t="shared" si="197"/>
        <v/>
      </c>
      <c r="AG1965" t="str">
        <f t="shared" si="198"/>
        <v/>
      </c>
      <c r="AN1965" t="str">
        <f t="shared" si="194"/>
        <v>Offensive</v>
      </c>
    </row>
    <row r="1966" spans="1:40" x14ac:dyDescent="0.2">
      <c r="A1966">
        <v>983</v>
      </c>
      <c r="B1966" t="str">
        <f t="shared" si="193"/>
        <v/>
      </c>
      <c r="E1966" s="5" t="s">
        <v>890</v>
      </c>
      <c r="F1966" s="5" t="s">
        <v>836</v>
      </c>
      <c r="G1966" s="5" t="s">
        <v>890</v>
      </c>
      <c r="H1966" s="7" t="s">
        <v>871</v>
      </c>
      <c r="I1966" s="5" t="s">
        <v>840</v>
      </c>
      <c r="J1966">
        <v>92</v>
      </c>
      <c r="K1966">
        <v>1</v>
      </c>
      <c r="L1966" s="5" t="s">
        <v>845</v>
      </c>
      <c r="M1966" t="s">
        <v>257</v>
      </c>
      <c r="N1966" t="s">
        <v>201</v>
      </c>
      <c r="O1966" t="s">
        <v>90</v>
      </c>
      <c r="P1966" t="s">
        <v>689</v>
      </c>
      <c r="U1966" s="8">
        <f t="shared" si="196"/>
        <v>2</v>
      </c>
      <c r="AD1966" t="str">
        <f t="shared" si="195"/>
        <v>e</v>
      </c>
      <c r="AE1966" t="str">
        <f t="shared" si="199"/>
        <v>Zone_Entry_Exit</v>
      </c>
      <c r="AF1966" t="str">
        <f t="shared" si="197"/>
        <v>Zone_Exit</v>
      </c>
      <c r="AG1966" t="str">
        <f t="shared" si="198"/>
        <v>ZoneExit-Rush</v>
      </c>
      <c r="AN1966" t="str">
        <f t="shared" si="194"/>
        <v>Offensive</v>
      </c>
    </row>
    <row r="1967" spans="1:40" x14ac:dyDescent="0.2">
      <c r="A1967">
        <v>984</v>
      </c>
      <c r="B1967" t="str">
        <f t="shared" si="193"/>
        <v/>
      </c>
      <c r="E1967" s="5" t="s">
        <v>890</v>
      </c>
      <c r="F1967" s="5" t="s">
        <v>871</v>
      </c>
      <c r="G1967" s="5" t="s">
        <v>890</v>
      </c>
      <c r="H1967" s="7" t="s">
        <v>865</v>
      </c>
      <c r="I1967" s="5" t="s">
        <v>840</v>
      </c>
      <c r="J1967">
        <v>92</v>
      </c>
      <c r="K1967">
        <v>1</v>
      </c>
      <c r="L1967" s="5" t="s">
        <v>839</v>
      </c>
      <c r="M1967" t="s">
        <v>15</v>
      </c>
      <c r="U1967" s="8">
        <f t="shared" si="196"/>
        <v>2</v>
      </c>
      <c r="AD1967" t="str">
        <f t="shared" si="195"/>
        <v>e</v>
      </c>
      <c r="AE1967" t="str">
        <f t="shared" si="199"/>
        <v>Possession</v>
      </c>
      <c r="AF1967" t="str">
        <f t="shared" si="197"/>
        <v/>
      </c>
      <c r="AG1967" t="str">
        <f t="shared" si="198"/>
        <v/>
      </c>
      <c r="AN1967" t="str">
        <f t="shared" si="194"/>
        <v>Offensive</v>
      </c>
    </row>
    <row r="1968" spans="1:40" x14ac:dyDescent="0.2">
      <c r="A1968">
        <v>985</v>
      </c>
      <c r="B1968" t="str">
        <f t="shared" ref="B1968:B2031" si="200">IF(A1968=A1967,B1967,"")</f>
        <v/>
      </c>
      <c r="E1968" s="5" t="s">
        <v>890</v>
      </c>
      <c r="F1968" s="5" t="s">
        <v>865</v>
      </c>
      <c r="G1968" s="5" t="s">
        <v>890</v>
      </c>
      <c r="H1968" s="7" t="s">
        <v>898</v>
      </c>
      <c r="I1968" s="5" t="s">
        <v>840</v>
      </c>
      <c r="J1968">
        <v>92</v>
      </c>
      <c r="K1968">
        <v>1</v>
      </c>
      <c r="L1968" t="s">
        <v>401</v>
      </c>
      <c r="M1968" t="s">
        <v>257</v>
      </c>
      <c r="N1968" t="s">
        <v>191</v>
      </c>
      <c r="O1968" t="s">
        <v>87</v>
      </c>
      <c r="P1968" t="s">
        <v>689</v>
      </c>
      <c r="Q1968" t="s">
        <v>152</v>
      </c>
      <c r="S1968" t="s">
        <v>688</v>
      </c>
      <c r="T1968">
        <v>1</v>
      </c>
      <c r="U1968" s="8">
        <f t="shared" si="196"/>
        <v>2</v>
      </c>
      <c r="AD1968" t="str">
        <f t="shared" si="195"/>
        <v>e</v>
      </c>
      <c r="AE1968" t="str">
        <f t="shared" si="199"/>
        <v>Zone_Entry_Exit</v>
      </c>
      <c r="AF1968" t="str">
        <f t="shared" si="197"/>
        <v>Zone_Entry</v>
      </c>
      <c r="AG1968" t="str">
        <f t="shared" si="198"/>
        <v>ZoneEntry-Rush</v>
      </c>
      <c r="AN1968" t="str">
        <f t="shared" si="194"/>
        <v>Offensive</v>
      </c>
    </row>
    <row r="1969" spans="1:40" x14ac:dyDescent="0.2">
      <c r="A1969">
        <v>985</v>
      </c>
      <c r="B1969" t="str">
        <f t="shared" si="200"/>
        <v/>
      </c>
      <c r="J1969">
        <v>91</v>
      </c>
      <c r="Q1969" t="s">
        <v>945</v>
      </c>
      <c r="R1969" t="s">
        <v>160</v>
      </c>
      <c r="S1969" t="s">
        <v>689</v>
      </c>
      <c r="T1969">
        <v>1</v>
      </c>
      <c r="U1969" s="8">
        <f t="shared" si="196"/>
        <v>2</v>
      </c>
      <c r="AD1969" t="str">
        <f t="shared" si="195"/>
        <v>o</v>
      </c>
      <c r="AE1969" t="str">
        <f t="shared" si="199"/>
        <v>Zone_Entry_Exit</v>
      </c>
      <c r="AF1969" t="str">
        <f t="shared" si="197"/>
        <v>Zone_Entry</v>
      </c>
      <c r="AG1969" t="str">
        <f t="shared" si="198"/>
        <v>ZoneEntry-Rush</v>
      </c>
      <c r="AN1969" t="str">
        <f t="shared" si="194"/>
        <v>Defensive</v>
      </c>
    </row>
    <row r="1970" spans="1:40" x14ac:dyDescent="0.2">
      <c r="A1970">
        <v>86</v>
      </c>
      <c r="B1970" t="str">
        <f t="shared" si="200"/>
        <v/>
      </c>
      <c r="J1970">
        <v>84</v>
      </c>
      <c r="Q1970" t="s">
        <v>158</v>
      </c>
      <c r="S1970" t="s">
        <v>689</v>
      </c>
      <c r="T1970">
        <v>1</v>
      </c>
      <c r="U1970" s="8">
        <f t="shared" si="196"/>
        <v>2</v>
      </c>
      <c r="AD1970" t="str">
        <f t="shared" si="195"/>
        <v>o</v>
      </c>
      <c r="AE1970" t="str">
        <f t="shared" si="199"/>
        <v/>
      </c>
      <c r="AF1970" t="str">
        <f t="shared" si="197"/>
        <v/>
      </c>
      <c r="AG1970" t="str">
        <f t="shared" si="198"/>
        <v/>
      </c>
      <c r="AN1970" t="str">
        <f t="shared" si="194"/>
        <v>Defensive</v>
      </c>
    </row>
    <row r="1971" spans="1:40" x14ac:dyDescent="0.2">
      <c r="A1971">
        <v>986</v>
      </c>
      <c r="B1971" t="str">
        <f t="shared" si="200"/>
        <v/>
      </c>
      <c r="E1971" s="5" t="s">
        <v>890</v>
      </c>
      <c r="F1971" s="5" t="s">
        <v>898</v>
      </c>
      <c r="I1971" s="5" t="s">
        <v>835</v>
      </c>
      <c r="J1971">
        <v>84</v>
      </c>
      <c r="K1971">
        <v>1</v>
      </c>
      <c r="L1971" t="s">
        <v>845</v>
      </c>
      <c r="M1971" t="s">
        <v>247</v>
      </c>
      <c r="N1971" t="s">
        <v>422</v>
      </c>
      <c r="O1971" t="s">
        <v>467</v>
      </c>
      <c r="Q1971" t="s">
        <v>158</v>
      </c>
      <c r="R1971" t="s">
        <v>160</v>
      </c>
      <c r="S1971" t="s">
        <v>689</v>
      </c>
      <c r="T1971">
        <v>1</v>
      </c>
      <c r="U1971" s="8">
        <f t="shared" si="196"/>
        <v>2</v>
      </c>
      <c r="AD1971" t="str">
        <f t="shared" si="195"/>
        <v>e</v>
      </c>
      <c r="AE1971" t="str">
        <f t="shared" si="199"/>
        <v>Play</v>
      </c>
      <c r="AF1971" t="str">
        <f t="shared" si="197"/>
        <v>Play_Defensive</v>
      </c>
      <c r="AG1971" t="str">
        <f t="shared" si="198"/>
        <v>Play-SeperateFromPuck</v>
      </c>
      <c r="AN1971" t="str">
        <f t="shared" si="194"/>
        <v>Defensive</v>
      </c>
    </row>
    <row r="1972" spans="1:40" x14ac:dyDescent="0.2">
      <c r="A1972">
        <v>986</v>
      </c>
      <c r="B1972" t="str">
        <f t="shared" si="200"/>
        <v/>
      </c>
      <c r="J1972">
        <v>91</v>
      </c>
      <c r="Q1972" t="s">
        <v>945</v>
      </c>
      <c r="S1972" t="s">
        <v>689</v>
      </c>
      <c r="T1972">
        <v>1</v>
      </c>
      <c r="U1972" s="8">
        <f t="shared" si="196"/>
        <v>2</v>
      </c>
      <c r="AD1972" t="str">
        <f t="shared" si="195"/>
        <v>o</v>
      </c>
      <c r="AE1972" t="str">
        <f t="shared" si="199"/>
        <v>Play</v>
      </c>
      <c r="AF1972" t="str">
        <f t="shared" si="197"/>
        <v>Play_Defensive</v>
      </c>
      <c r="AG1972" t="str">
        <f t="shared" si="198"/>
        <v>Play-SeperateFromPuck</v>
      </c>
      <c r="AN1972" t="str">
        <f t="shared" si="194"/>
        <v>Offensive</v>
      </c>
    </row>
    <row r="1973" spans="1:40" x14ac:dyDescent="0.2">
      <c r="A1973">
        <v>986</v>
      </c>
      <c r="B1973" t="str">
        <f t="shared" si="200"/>
        <v/>
      </c>
      <c r="J1973">
        <v>92</v>
      </c>
      <c r="Q1973" t="s">
        <v>152</v>
      </c>
      <c r="S1973" t="s">
        <v>688</v>
      </c>
      <c r="T1973">
        <v>1</v>
      </c>
      <c r="U1973" s="8">
        <f t="shared" si="196"/>
        <v>2</v>
      </c>
      <c r="AD1973" t="str">
        <f t="shared" si="195"/>
        <v>o</v>
      </c>
      <c r="AE1973" t="str">
        <f t="shared" si="199"/>
        <v>Play</v>
      </c>
      <c r="AF1973" t="str">
        <f t="shared" si="197"/>
        <v>Play_Defensive</v>
      </c>
      <c r="AG1973" t="str">
        <f t="shared" si="198"/>
        <v>Play-SeperateFromPuck</v>
      </c>
      <c r="AN1973" t="str">
        <f t="shared" si="194"/>
        <v>Offensive</v>
      </c>
    </row>
    <row r="1974" spans="1:40" x14ac:dyDescent="0.2">
      <c r="A1974">
        <v>987</v>
      </c>
      <c r="B1974" t="str">
        <f t="shared" si="200"/>
        <v/>
      </c>
      <c r="E1974" s="5" t="s">
        <v>890</v>
      </c>
      <c r="F1974" s="5" t="s">
        <v>898</v>
      </c>
      <c r="G1974" s="5" t="s">
        <v>890</v>
      </c>
      <c r="H1974" s="7" t="s">
        <v>899</v>
      </c>
      <c r="I1974" s="5" t="s">
        <v>840</v>
      </c>
      <c r="J1974">
        <v>46</v>
      </c>
      <c r="K1974">
        <v>1</v>
      </c>
      <c r="L1974" s="5" t="s">
        <v>401</v>
      </c>
      <c r="M1974" t="s">
        <v>15</v>
      </c>
      <c r="N1974" t="s">
        <v>681</v>
      </c>
      <c r="P1974" t="s">
        <v>689</v>
      </c>
      <c r="Q1974" t="s">
        <v>674</v>
      </c>
      <c r="R1974" t="s">
        <v>151</v>
      </c>
      <c r="S1974" t="s">
        <v>689</v>
      </c>
      <c r="U1974" s="8">
        <f t="shared" si="196"/>
        <v>2</v>
      </c>
      <c r="AD1974" t="str">
        <f t="shared" si="195"/>
        <v>e</v>
      </c>
      <c r="AE1974" t="str">
        <f t="shared" si="199"/>
        <v>Possession</v>
      </c>
      <c r="AF1974" t="str">
        <f t="shared" si="197"/>
        <v>PuckRecovery</v>
      </c>
      <c r="AG1974" t="str">
        <f t="shared" si="198"/>
        <v/>
      </c>
      <c r="AN1974" t="str">
        <f t="shared" si="194"/>
        <v>Offensive</v>
      </c>
    </row>
    <row r="1975" spans="1:40" x14ac:dyDescent="0.2">
      <c r="A1975">
        <v>988</v>
      </c>
      <c r="B1975" t="str">
        <f t="shared" si="200"/>
        <v/>
      </c>
      <c r="E1975" s="5" t="s">
        <v>890</v>
      </c>
      <c r="F1975" s="5" t="s">
        <v>899</v>
      </c>
      <c r="I1975" t="s">
        <v>840</v>
      </c>
      <c r="J1975">
        <v>46</v>
      </c>
      <c r="K1975">
        <v>1</v>
      </c>
      <c r="L1975" t="s">
        <v>401</v>
      </c>
      <c r="M1975" t="s">
        <v>8</v>
      </c>
      <c r="N1975" t="s">
        <v>189</v>
      </c>
      <c r="O1975" t="s">
        <v>70</v>
      </c>
      <c r="P1975" t="s">
        <v>689</v>
      </c>
      <c r="U1975" s="8">
        <f t="shared" si="196"/>
        <v>2</v>
      </c>
      <c r="AD1975" t="str">
        <f t="shared" si="195"/>
        <v>e</v>
      </c>
      <c r="AE1975" t="str">
        <f t="shared" si="199"/>
        <v>Pass</v>
      </c>
      <c r="AF1975" t="str">
        <f t="shared" si="197"/>
        <v>Pass_Completed</v>
      </c>
      <c r="AG1975" t="str">
        <f t="shared" si="198"/>
        <v>Pass-Forehand</v>
      </c>
      <c r="AN1975" t="str">
        <f t="shared" si="194"/>
        <v>Offensive</v>
      </c>
    </row>
    <row r="1976" spans="1:40" x14ac:dyDescent="0.2">
      <c r="A1976">
        <v>988</v>
      </c>
      <c r="B1976" t="str">
        <f t="shared" si="200"/>
        <v/>
      </c>
      <c r="J1976">
        <v>92</v>
      </c>
      <c r="K1976">
        <v>1</v>
      </c>
      <c r="U1976" s="8">
        <f t="shared" si="196"/>
        <v>2</v>
      </c>
      <c r="AD1976" t="str">
        <f t="shared" si="195"/>
        <v>e</v>
      </c>
      <c r="AE1976" t="str">
        <f t="shared" si="199"/>
        <v>Pass</v>
      </c>
      <c r="AF1976" t="str">
        <f t="shared" si="197"/>
        <v>Pass_Completed</v>
      </c>
      <c r="AG1976" t="str">
        <f t="shared" si="198"/>
        <v>Pass-Forehand</v>
      </c>
      <c r="AN1976" t="str">
        <f t="shared" si="194"/>
        <v>Offensive</v>
      </c>
    </row>
    <row r="1977" spans="1:40" x14ac:dyDescent="0.2">
      <c r="A1977">
        <v>989</v>
      </c>
      <c r="B1977" t="str">
        <f t="shared" si="200"/>
        <v/>
      </c>
      <c r="E1977" s="5" t="s">
        <v>890</v>
      </c>
      <c r="F1977" s="5" t="s">
        <v>891</v>
      </c>
      <c r="I1977" t="s">
        <v>840</v>
      </c>
      <c r="J1977">
        <v>92</v>
      </c>
      <c r="K1977">
        <v>1</v>
      </c>
      <c r="L1977" t="s">
        <v>401</v>
      </c>
      <c r="M1977" t="s">
        <v>7</v>
      </c>
      <c r="N1977" t="s">
        <v>198</v>
      </c>
      <c r="O1977" t="s">
        <v>221</v>
      </c>
      <c r="P1977" t="s">
        <v>688</v>
      </c>
      <c r="U1977" s="8">
        <f t="shared" si="196"/>
        <v>2</v>
      </c>
      <c r="AD1977" t="str">
        <f t="shared" si="195"/>
        <v>e</v>
      </c>
      <c r="AE1977" t="str">
        <f t="shared" si="199"/>
        <v>Shot</v>
      </c>
      <c r="AF1977" t="str">
        <f t="shared" si="197"/>
        <v>Shot_Missed</v>
      </c>
      <c r="AG1977" t="str">
        <f t="shared" si="198"/>
        <v>Shot_Tipped</v>
      </c>
      <c r="AN1977" t="str">
        <f t="shared" ref="AN1977:AN2040" si="201">IF(AND(AD1977="e",OR(AE1977="Save",AF1977="Turnover_Takeaway",AF1977="Play_Defensive")),"Defensive",IF(AND(AD1977="o",OR(AE1977="Save",AF1977="Turnover_Takeaway",AF1977="Play_Defensive")),"Offensive",IF(OR(AE1977="Deadice",AE1977="Stoppage",AE1977="Intermission"),"",IF(AD1977="e","Offensive",IF(AD1977="o","Defensive","")))))</f>
        <v>Offensive</v>
      </c>
    </row>
    <row r="1978" spans="1:40" x14ac:dyDescent="0.2">
      <c r="A1978">
        <v>990</v>
      </c>
      <c r="B1978" t="str">
        <f t="shared" si="200"/>
        <v/>
      </c>
      <c r="E1978" s="5" t="s">
        <v>890</v>
      </c>
      <c r="F1978" s="5" t="s">
        <v>867</v>
      </c>
      <c r="G1978" s="5" t="s">
        <v>890</v>
      </c>
      <c r="H1978" s="7" t="s">
        <v>868</v>
      </c>
      <c r="I1978" s="5" t="s">
        <v>840</v>
      </c>
      <c r="J1978">
        <v>46</v>
      </c>
      <c r="K1978">
        <v>1</v>
      </c>
      <c r="L1978" s="5" t="s">
        <v>401</v>
      </c>
      <c r="M1978" t="s">
        <v>15</v>
      </c>
      <c r="N1978" t="s">
        <v>681</v>
      </c>
      <c r="P1978" t="s">
        <v>689</v>
      </c>
      <c r="Q1978" t="s">
        <v>673</v>
      </c>
      <c r="S1978" t="s">
        <v>689</v>
      </c>
      <c r="U1978" s="8">
        <f t="shared" si="196"/>
        <v>2</v>
      </c>
      <c r="AD1978" t="str">
        <f t="shared" si="195"/>
        <v>e</v>
      </c>
      <c r="AE1978" t="str">
        <f t="shared" si="199"/>
        <v>Possession</v>
      </c>
      <c r="AF1978" t="str">
        <f t="shared" si="197"/>
        <v>PuckRecovery</v>
      </c>
      <c r="AG1978" t="str">
        <f t="shared" si="198"/>
        <v/>
      </c>
      <c r="AN1978" t="str">
        <f t="shared" si="201"/>
        <v>Offensive</v>
      </c>
    </row>
    <row r="1979" spans="1:40" x14ac:dyDescent="0.2">
      <c r="A1979">
        <v>990</v>
      </c>
      <c r="B1979" t="str">
        <f t="shared" si="200"/>
        <v/>
      </c>
      <c r="J1979">
        <v>91</v>
      </c>
      <c r="U1979" s="8">
        <f t="shared" si="196"/>
        <v>2</v>
      </c>
      <c r="AD1979" t="str">
        <f t="shared" si="195"/>
        <v>o</v>
      </c>
      <c r="AE1979" t="str">
        <f t="shared" si="199"/>
        <v>Possession</v>
      </c>
      <c r="AF1979" t="str">
        <f t="shared" si="197"/>
        <v>PuckRecovery</v>
      </c>
      <c r="AG1979" t="str">
        <f t="shared" si="198"/>
        <v/>
      </c>
      <c r="AN1979" t="str">
        <f t="shared" si="201"/>
        <v>Defensive</v>
      </c>
    </row>
    <row r="1980" spans="1:40" x14ac:dyDescent="0.2">
      <c r="A1980">
        <v>991</v>
      </c>
      <c r="B1980" t="str">
        <f t="shared" si="200"/>
        <v/>
      </c>
      <c r="E1980" s="5" t="s">
        <v>890</v>
      </c>
      <c r="F1980" s="5" t="s">
        <v>868</v>
      </c>
      <c r="I1980" t="s">
        <v>840</v>
      </c>
      <c r="J1980">
        <v>46</v>
      </c>
      <c r="K1980">
        <v>1</v>
      </c>
      <c r="L1980" t="s">
        <v>401</v>
      </c>
      <c r="M1980" t="s">
        <v>8</v>
      </c>
      <c r="N1980" t="s">
        <v>199</v>
      </c>
      <c r="O1980" t="s">
        <v>70</v>
      </c>
      <c r="P1980" t="s">
        <v>688</v>
      </c>
      <c r="T1980">
        <v>1</v>
      </c>
      <c r="U1980" s="8">
        <f t="shared" si="196"/>
        <v>2</v>
      </c>
      <c r="AD1980" t="str">
        <f t="shared" si="195"/>
        <v>e</v>
      </c>
      <c r="AE1980" t="str">
        <f t="shared" si="199"/>
        <v>Pass</v>
      </c>
      <c r="AF1980" t="str">
        <f t="shared" si="197"/>
        <v>Pass_Missed</v>
      </c>
      <c r="AG1980" t="str">
        <f t="shared" si="198"/>
        <v>Pass-Forehand</v>
      </c>
      <c r="AN1980" t="str">
        <f t="shared" si="201"/>
        <v>Offensive</v>
      </c>
    </row>
    <row r="1981" spans="1:40" x14ac:dyDescent="0.2">
      <c r="A1981">
        <v>991</v>
      </c>
      <c r="B1981" t="str">
        <f t="shared" si="200"/>
        <v/>
      </c>
      <c r="J1981">
        <v>92</v>
      </c>
      <c r="K1981">
        <v>1</v>
      </c>
      <c r="T1981">
        <v>2</v>
      </c>
      <c r="U1981" s="8">
        <f t="shared" si="196"/>
        <v>2</v>
      </c>
      <c r="AD1981" t="str">
        <f t="shared" si="195"/>
        <v>e</v>
      </c>
      <c r="AE1981" t="str">
        <f t="shared" si="199"/>
        <v>Pass</v>
      </c>
      <c r="AF1981" t="str">
        <f t="shared" si="197"/>
        <v>Pass_Missed</v>
      </c>
      <c r="AG1981" t="str">
        <f t="shared" si="198"/>
        <v>Pass-Forehand</v>
      </c>
      <c r="AN1981" t="str">
        <f t="shared" si="201"/>
        <v>Offensive</v>
      </c>
    </row>
    <row r="1982" spans="1:40" x14ac:dyDescent="0.2">
      <c r="A1982">
        <v>991</v>
      </c>
      <c r="B1982" t="str">
        <f t="shared" si="200"/>
        <v/>
      </c>
      <c r="J1982">
        <v>91</v>
      </c>
      <c r="Q1982" t="s">
        <v>658</v>
      </c>
      <c r="T1982">
        <v>1</v>
      </c>
      <c r="U1982" s="8">
        <f t="shared" si="196"/>
        <v>2</v>
      </c>
      <c r="AD1982" t="str">
        <f t="shared" si="195"/>
        <v>o</v>
      </c>
      <c r="AE1982" t="str">
        <f t="shared" si="199"/>
        <v>Pass</v>
      </c>
      <c r="AF1982" t="str">
        <f t="shared" si="197"/>
        <v>Pass_Missed</v>
      </c>
      <c r="AG1982" t="str">
        <f t="shared" si="198"/>
        <v>Pass-Forehand</v>
      </c>
      <c r="AN1982" t="str">
        <f t="shared" si="201"/>
        <v>Defensive</v>
      </c>
    </row>
    <row r="1983" spans="1:40" x14ac:dyDescent="0.2">
      <c r="A1983">
        <v>991</v>
      </c>
      <c r="B1983" t="str">
        <f t="shared" si="200"/>
        <v/>
      </c>
      <c r="J1983">
        <v>84</v>
      </c>
      <c r="Q1983" t="s">
        <v>657</v>
      </c>
      <c r="T1983">
        <v>2</v>
      </c>
      <c r="U1983" s="8">
        <f t="shared" si="196"/>
        <v>2</v>
      </c>
      <c r="AD1983" t="str">
        <f t="shared" si="195"/>
        <v>o</v>
      </c>
      <c r="AE1983" t="str">
        <f t="shared" si="199"/>
        <v>Pass</v>
      </c>
      <c r="AF1983" t="str">
        <f t="shared" si="197"/>
        <v>Pass_Missed</v>
      </c>
      <c r="AG1983" t="str">
        <f t="shared" si="198"/>
        <v>Pass-Forehand</v>
      </c>
      <c r="AN1983" t="str">
        <f t="shared" si="201"/>
        <v>Defensive</v>
      </c>
    </row>
    <row r="1984" spans="1:40" x14ac:dyDescent="0.2">
      <c r="A1984">
        <v>992</v>
      </c>
      <c r="B1984" t="str">
        <f t="shared" si="200"/>
        <v/>
      </c>
      <c r="E1984" s="5" t="s">
        <v>890</v>
      </c>
      <c r="F1984" s="5" t="s">
        <v>893</v>
      </c>
      <c r="G1984" s="5" t="s">
        <v>890</v>
      </c>
      <c r="H1984" s="7" t="s">
        <v>446</v>
      </c>
      <c r="I1984" s="5" t="s">
        <v>840</v>
      </c>
      <c r="J1984">
        <v>92</v>
      </c>
      <c r="K1984">
        <v>1</v>
      </c>
      <c r="L1984" s="5" t="s">
        <v>401</v>
      </c>
      <c r="M1984" t="s">
        <v>15</v>
      </c>
      <c r="N1984" t="s">
        <v>681</v>
      </c>
      <c r="P1984" t="s">
        <v>689</v>
      </c>
      <c r="Q1984" t="s">
        <v>673</v>
      </c>
      <c r="S1984" t="s">
        <v>689</v>
      </c>
      <c r="T1984">
        <v>1</v>
      </c>
      <c r="U1984" s="8">
        <f t="shared" si="196"/>
        <v>2</v>
      </c>
      <c r="AD1984" t="str">
        <f t="shared" si="195"/>
        <v>e</v>
      </c>
      <c r="AE1984" t="str">
        <f t="shared" si="199"/>
        <v>Possession</v>
      </c>
      <c r="AF1984" t="str">
        <f t="shared" si="197"/>
        <v>PuckRecovery</v>
      </c>
      <c r="AG1984" t="str">
        <f t="shared" si="198"/>
        <v/>
      </c>
      <c r="AN1984" t="str">
        <f t="shared" si="201"/>
        <v>Offensive</v>
      </c>
    </row>
    <row r="1985" spans="1:40" x14ac:dyDescent="0.2">
      <c r="A1985">
        <v>992</v>
      </c>
      <c r="B1985" t="str">
        <f t="shared" si="200"/>
        <v/>
      </c>
      <c r="J1985">
        <v>55</v>
      </c>
      <c r="T1985">
        <v>1</v>
      </c>
      <c r="U1985" s="8">
        <f t="shared" si="196"/>
        <v>2</v>
      </c>
      <c r="AD1985" t="str">
        <f t="shared" si="195"/>
        <v>o</v>
      </c>
      <c r="AE1985" t="str">
        <f t="shared" si="199"/>
        <v>Possession</v>
      </c>
      <c r="AF1985" t="str">
        <f t="shared" si="197"/>
        <v>PuckRecovery</v>
      </c>
      <c r="AG1985" t="str">
        <f t="shared" si="198"/>
        <v/>
      </c>
      <c r="AN1985" t="str">
        <f t="shared" si="201"/>
        <v>Defensive</v>
      </c>
    </row>
    <row r="1986" spans="1:40" x14ac:dyDescent="0.2">
      <c r="A1986">
        <v>993</v>
      </c>
      <c r="B1986" t="str">
        <f t="shared" si="200"/>
        <v/>
      </c>
      <c r="I1986" t="s">
        <v>840</v>
      </c>
      <c r="J1986">
        <v>92</v>
      </c>
      <c r="K1986">
        <v>1</v>
      </c>
      <c r="L1986" t="s">
        <v>401</v>
      </c>
      <c r="M1986" t="s">
        <v>7</v>
      </c>
      <c r="N1986" t="s">
        <v>198</v>
      </c>
      <c r="O1986" t="s">
        <v>53</v>
      </c>
      <c r="P1986" t="s">
        <v>688</v>
      </c>
      <c r="U1986" s="8">
        <f t="shared" si="196"/>
        <v>2</v>
      </c>
      <c r="AD1986" t="str">
        <f t="shared" ref="AD1986:AD2049" si="202">IF(K1986="x","",IF(K1986=1,"e","o"))</f>
        <v>e</v>
      </c>
      <c r="AE1986" t="str">
        <f t="shared" si="199"/>
        <v>Shot</v>
      </c>
      <c r="AF1986" t="str">
        <f t="shared" si="197"/>
        <v>Shot_Missed</v>
      </c>
      <c r="AG1986" t="str">
        <f t="shared" si="198"/>
        <v>Shot-Wrist</v>
      </c>
      <c r="AN1986" t="str">
        <f t="shared" si="201"/>
        <v>Offensive</v>
      </c>
    </row>
    <row r="1987" spans="1:40" x14ac:dyDescent="0.2">
      <c r="A1987">
        <v>994</v>
      </c>
      <c r="B1987" t="str">
        <f t="shared" si="200"/>
        <v/>
      </c>
      <c r="E1987" s="5" t="s">
        <v>887</v>
      </c>
      <c r="F1987" s="5" t="s">
        <v>873</v>
      </c>
      <c r="G1987" s="5" t="s">
        <v>887</v>
      </c>
      <c r="H1987" s="7" t="s">
        <v>895</v>
      </c>
      <c r="I1987" s="5" t="s">
        <v>840</v>
      </c>
      <c r="J1987">
        <v>92</v>
      </c>
      <c r="K1987">
        <v>1</v>
      </c>
      <c r="L1987" s="5" t="s">
        <v>401</v>
      </c>
      <c r="M1987" t="s">
        <v>15</v>
      </c>
      <c r="N1987" t="s">
        <v>681</v>
      </c>
      <c r="P1987" t="s">
        <v>689</v>
      </c>
      <c r="Q1987" t="s">
        <v>673</v>
      </c>
      <c r="S1987" t="s">
        <v>689</v>
      </c>
      <c r="U1987" s="8">
        <f t="shared" ref="U1987:U2050" si="203">IF(M1987="Intermission",U1986+1,U1986)</f>
        <v>2</v>
      </c>
      <c r="AD1987" t="str">
        <f t="shared" si="202"/>
        <v>e</v>
      </c>
      <c r="AE1987" t="str">
        <f t="shared" si="199"/>
        <v>Possession</v>
      </c>
      <c r="AF1987" t="str">
        <f t="shared" ref="AF1987:AF2050" si="204">IF(N1987&lt;&gt;"",N1987,IF($A1987=$A1986,AF1986,""))</f>
        <v>PuckRecovery</v>
      </c>
      <c r="AG1987" t="str">
        <f t="shared" ref="AG1987:AG2050" si="205">IF(O1987&lt;&gt;"",O1987,IF($A1987=$A1986,AG1986,""))</f>
        <v/>
      </c>
      <c r="AN1987" t="str">
        <f t="shared" si="201"/>
        <v>Offensive</v>
      </c>
    </row>
    <row r="1988" spans="1:40" x14ac:dyDescent="0.2">
      <c r="A1988">
        <v>995</v>
      </c>
      <c r="B1988" t="str">
        <f t="shared" si="200"/>
        <v/>
      </c>
      <c r="E1988" s="5" t="s">
        <v>887</v>
      </c>
      <c r="F1988" s="5" t="s">
        <v>895</v>
      </c>
      <c r="I1988" t="s">
        <v>840</v>
      </c>
      <c r="J1988">
        <v>92</v>
      </c>
      <c r="K1988">
        <v>1</v>
      </c>
      <c r="L1988" t="s">
        <v>401</v>
      </c>
      <c r="M1988" t="s">
        <v>8</v>
      </c>
      <c r="N1988" t="s">
        <v>189</v>
      </c>
      <c r="O1988" t="s">
        <v>70</v>
      </c>
      <c r="P1988" t="s">
        <v>689</v>
      </c>
      <c r="U1988" s="8">
        <f t="shared" si="203"/>
        <v>2</v>
      </c>
      <c r="AD1988" t="str">
        <f t="shared" si="202"/>
        <v>e</v>
      </c>
      <c r="AE1988" t="str">
        <f t="shared" ref="AE1988:AE2051" si="206">IF(M1988&lt;&gt;"",M1988,IF($A1988=$A1987,AE1987,""))</f>
        <v>Pass</v>
      </c>
      <c r="AF1988" t="str">
        <f t="shared" si="204"/>
        <v>Pass_Completed</v>
      </c>
      <c r="AG1988" t="str">
        <f t="shared" si="205"/>
        <v>Pass-Forehand</v>
      </c>
      <c r="AN1988" t="str">
        <f t="shared" si="201"/>
        <v>Offensive</v>
      </c>
    </row>
    <row r="1989" spans="1:40" x14ac:dyDescent="0.2">
      <c r="A1989">
        <v>995</v>
      </c>
      <c r="B1989" t="str">
        <f t="shared" si="200"/>
        <v/>
      </c>
      <c r="J1989">
        <v>46</v>
      </c>
      <c r="K1989">
        <v>1</v>
      </c>
      <c r="U1989" s="8">
        <f t="shared" si="203"/>
        <v>2</v>
      </c>
      <c r="AD1989" t="str">
        <f t="shared" si="202"/>
        <v>e</v>
      </c>
      <c r="AE1989" t="str">
        <f t="shared" si="206"/>
        <v>Pass</v>
      </c>
      <c r="AF1989" t="str">
        <f t="shared" si="204"/>
        <v>Pass_Completed</v>
      </c>
      <c r="AG1989" t="str">
        <f t="shared" si="205"/>
        <v>Pass-Forehand</v>
      </c>
      <c r="AN1989" t="str">
        <f t="shared" si="201"/>
        <v>Offensive</v>
      </c>
    </row>
    <row r="1990" spans="1:40" x14ac:dyDescent="0.2">
      <c r="A1990">
        <v>996</v>
      </c>
      <c r="B1990" t="str">
        <f t="shared" si="200"/>
        <v/>
      </c>
      <c r="E1990" s="5" t="s">
        <v>887</v>
      </c>
      <c r="F1990" s="5" t="s">
        <v>895</v>
      </c>
      <c r="G1990" s="5" t="s">
        <v>887</v>
      </c>
      <c r="H1990" s="7" t="s">
        <v>874</v>
      </c>
      <c r="I1990" s="5" t="s">
        <v>840</v>
      </c>
      <c r="J1990">
        <v>46</v>
      </c>
      <c r="K1990">
        <v>1</v>
      </c>
      <c r="L1990" s="5" t="s">
        <v>401</v>
      </c>
      <c r="M1990" t="s">
        <v>15</v>
      </c>
      <c r="Q1990" t="s">
        <v>151</v>
      </c>
      <c r="U1990" s="8">
        <f t="shared" si="203"/>
        <v>2</v>
      </c>
      <c r="AD1990" t="str">
        <f t="shared" si="202"/>
        <v>e</v>
      </c>
      <c r="AE1990" t="str">
        <f t="shared" si="206"/>
        <v>Possession</v>
      </c>
      <c r="AF1990" t="str">
        <f t="shared" si="204"/>
        <v/>
      </c>
      <c r="AG1990" t="str">
        <f t="shared" si="205"/>
        <v/>
      </c>
      <c r="AN1990" t="str">
        <f t="shared" si="201"/>
        <v>Offensive</v>
      </c>
    </row>
    <row r="1991" spans="1:40" x14ac:dyDescent="0.2">
      <c r="A1991">
        <v>997</v>
      </c>
      <c r="B1991" t="str">
        <f t="shared" si="200"/>
        <v/>
      </c>
      <c r="E1991" s="5" t="s">
        <v>887</v>
      </c>
      <c r="F1991" s="5" t="s">
        <v>874</v>
      </c>
      <c r="I1991" t="s">
        <v>840</v>
      </c>
      <c r="J1991">
        <v>46</v>
      </c>
      <c r="K1991">
        <v>1</v>
      </c>
      <c r="L1991" t="s">
        <v>401</v>
      </c>
      <c r="M1991" t="s">
        <v>8</v>
      </c>
      <c r="N1991" t="s">
        <v>189</v>
      </c>
      <c r="O1991" t="s">
        <v>70</v>
      </c>
      <c r="P1991" t="s">
        <v>689</v>
      </c>
      <c r="Q1991" t="s">
        <v>628</v>
      </c>
      <c r="S1991" t="s">
        <v>689</v>
      </c>
      <c r="T1991">
        <v>1</v>
      </c>
      <c r="U1991" s="8">
        <f t="shared" si="203"/>
        <v>2</v>
      </c>
      <c r="AD1991" t="str">
        <f t="shared" si="202"/>
        <v>e</v>
      </c>
      <c r="AE1991" t="str">
        <f t="shared" si="206"/>
        <v>Pass</v>
      </c>
      <c r="AF1991" t="str">
        <f t="shared" si="204"/>
        <v>Pass_Completed</v>
      </c>
      <c r="AG1991" t="str">
        <f t="shared" si="205"/>
        <v>Pass-Forehand</v>
      </c>
      <c r="AN1991" t="str">
        <f t="shared" si="201"/>
        <v>Offensive</v>
      </c>
    </row>
    <row r="1992" spans="1:40" x14ac:dyDescent="0.2">
      <c r="A1992">
        <v>997</v>
      </c>
      <c r="B1992" t="str">
        <f t="shared" si="200"/>
        <v/>
      </c>
      <c r="J1992">
        <v>92</v>
      </c>
      <c r="K1992">
        <v>1</v>
      </c>
      <c r="U1992" s="8">
        <f t="shared" si="203"/>
        <v>2</v>
      </c>
      <c r="AD1992" t="str">
        <f t="shared" si="202"/>
        <v>e</v>
      </c>
      <c r="AE1992" t="str">
        <f t="shared" si="206"/>
        <v>Pass</v>
      </c>
      <c r="AF1992" t="str">
        <f t="shared" si="204"/>
        <v>Pass_Completed</v>
      </c>
      <c r="AG1992" t="str">
        <f t="shared" si="205"/>
        <v>Pass-Forehand</v>
      </c>
      <c r="AN1992" t="str">
        <f t="shared" si="201"/>
        <v>Offensive</v>
      </c>
    </row>
    <row r="1993" spans="1:40" x14ac:dyDescent="0.2">
      <c r="A1993">
        <v>997</v>
      </c>
      <c r="B1993" t="str">
        <f t="shared" si="200"/>
        <v/>
      </c>
      <c r="J1993">
        <v>91</v>
      </c>
      <c r="Q1993" t="s">
        <v>657</v>
      </c>
      <c r="T1993">
        <v>1</v>
      </c>
      <c r="U1993" s="8">
        <f t="shared" si="203"/>
        <v>2</v>
      </c>
      <c r="AD1993" t="str">
        <f t="shared" si="202"/>
        <v>o</v>
      </c>
      <c r="AE1993" t="str">
        <f t="shared" si="206"/>
        <v>Pass</v>
      </c>
      <c r="AF1993" t="str">
        <f t="shared" si="204"/>
        <v>Pass_Completed</v>
      </c>
      <c r="AG1993" t="str">
        <f t="shared" si="205"/>
        <v>Pass-Forehand</v>
      </c>
      <c r="AN1993" t="str">
        <f t="shared" si="201"/>
        <v>Defensive</v>
      </c>
    </row>
    <row r="1994" spans="1:40" x14ac:dyDescent="0.2">
      <c r="A1994">
        <v>998</v>
      </c>
      <c r="B1994" t="str">
        <f t="shared" si="200"/>
        <v/>
      </c>
      <c r="E1994" s="5" t="s">
        <v>887</v>
      </c>
      <c r="F1994" s="5" t="s">
        <v>874</v>
      </c>
      <c r="G1994" s="5" t="s">
        <v>887</v>
      </c>
      <c r="H1994" s="7" t="s">
        <v>875</v>
      </c>
      <c r="I1994" s="5" t="s">
        <v>840</v>
      </c>
      <c r="J1994">
        <v>92</v>
      </c>
      <c r="K1994">
        <v>1</v>
      </c>
      <c r="L1994" s="5" t="s">
        <v>401</v>
      </c>
      <c r="M1994" t="s">
        <v>15</v>
      </c>
      <c r="Q1994" t="s">
        <v>150</v>
      </c>
      <c r="R1994" t="s">
        <v>638</v>
      </c>
      <c r="S1994" t="s">
        <v>689</v>
      </c>
      <c r="T1994">
        <v>1</v>
      </c>
      <c r="U1994" s="8">
        <f t="shared" si="203"/>
        <v>2</v>
      </c>
      <c r="AD1994" t="str">
        <f t="shared" si="202"/>
        <v>e</v>
      </c>
      <c r="AE1994" t="str">
        <f t="shared" si="206"/>
        <v>Possession</v>
      </c>
      <c r="AF1994" t="str">
        <f t="shared" si="204"/>
        <v/>
      </c>
      <c r="AG1994" t="str">
        <f t="shared" si="205"/>
        <v/>
      </c>
      <c r="AN1994" t="str">
        <f t="shared" si="201"/>
        <v>Offensive</v>
      </c>
    </row>
    <row r="1995" spans="1:40" x14ac:dyDescent="0.2">
      <c r="A1995">
        <v>998</v>
      </c>
      <c r="B1995" t="str">
        <f t="shared" si="200"/>
        <v/>
      </c>
      <c r="J1995">
        <v>9</v>
      </c>
      <c r="K1995">
        <v>1</v>
      </c>
      <c r="Q1995" t="s">
        <v>636</v>
      </c>
      <c r="T1995">
        <v>2</v>
      </c>
      <c r="U1995" s="8">
        <f t="shared" si="203"/>
        <v>2</v>
      </c>
      <c r="AD1995" t="str">
        <f t="shared" si="202"/>
        <v>e</v>
      </c>
      <c r="AE1995" t="str">
        <f t="shared" si="206"/>
        <v>Possession</v>
      </c>
      <c r="AF1995" t="str">
        <f t="shared" si="204"/>
        <v/>
      </c>
      <c r="AG1995" t="str">
        <f t="shared" si="205"/>
        <v/>
      </c>
      <c r="AN1995" t="str">
        <f t="shared" si="201"/>
        <v>Offensive</v>
      </c>
    </row>
    <row r="1996" spans="1:40" x14ac:dyDescent="0.2">
      <c r="A1996">
        <v>998</v>
      </c>
      <c r="B1996" t="str">
        <f t="shared" si="200"/>
        <v/>
      </c>
      <c r="J1996">
        <v>91</v>
      </c>
      <c r="Q1996" t="s">
        <v>164</v>
      </c>
      <c r="S1996" t="s">
        <v>688</v>
      </c>
      <c r="T1996">
        <v>1</v>
      </c>
      <c r="U1996" s="8">
        <f t="shared" si="203"/>
        <v>2</v>
      </c>
      <c r="AD1996" t="str">
        <f t="shared" si="202"/>
        <v>o</v>
      </c>
      <c r="AE1996" t="str">
        <f t="shared" si="206"/>
        <v>Possession</v>
      </c>
      <c r="AF1996" t="str">
        <f t="shared" si="204"/>
        <v/>
      </c>
      <c r="AG1996" t="str">
        <f t="shared" si="205"/>
        <v/>
      </c>
      <c r="AN1996" t="str">
        <f t="shared" si="201"/>
        <v>Defensive</v>
      </c>
    </row>
    <row r="1997" spans="1:40" x14ac:dyDescent="0.2">
      <c r="A1997">
        <v>998</v>
      </c>
      <c r="B1997" t="str">
        <f t="shared" si="200"/>
        <v/>
      </c>
      <c r="J1997">
        <v>84</v>
      </c>
      <c r="Q1997" t="s">
        <v>168</v>
      </c>
      <c r="T1997">
        <v>2</v>
      </c>
      <c r="U1997" s="8">
        <f t="shared" si="203"/>
        <v>2</v>
      </c>
      <c r="AD1997" t="str">
        <f t="shared" si="202"/>
        <v>o</v>
      </c>
      <c r="AE1997" t="str">
        <f t="shared" si="206"/>
        <v>Possession</v>
      </c>
      <c r="AF1997" t="str">
        <f t="shared" si="204"/>
        <v/>
      </c>
      <c r="AG1997" t="str">
        <f t="shared" si="205"/>
        <v/>
      </c>
      <c r="AN1997" t="str">
        <f t="shared" si="201"/>
        <v>Defensive</v>
      </c>
    </row>
    <row r="1998" spans="1:40" x14ac:dyDescent="0.2">
      <c r="A1998">
        <v>999</v>
      </c>
      <c r="B1998">
        <v>167</v>
      </c>
      <c r="E1998" s="5" t="s">
        <v>887</v>
      </c>
      <c r="F1998" s="5" t="s">
        <v>875</v>
      </c>
      <c r="I1998" t="s">
        <v>840</v>
      </c>
      <c r="J1998">
        <v>92</v>
      </c>
      <c r="K1998">
        <v>1</v>
      </c>
      <c r="L1998" t="s">
        <v>401</v>
      </c>
      <c r="M1998" t="s">
        <v>7</v>
      </c>
      <c r="N1998" t="s">
        <v>261</v>
      </c>
      <c r="Q1998" t="s">
        <v>152</v>
      </c>
      <c r="S1998" t="s">
        <v>689</v>
      </c>
      <c r="U1998" s="8">
        <f t="shared" si="203"/>
        <v>2</v>
      </c>
      <c r="AD1998" t="str">
        <f t="shared" si="202"/>
        <v>e</v>
      </c>
      <c r="AE1998" t="str">
        <f t="shared" si="206"/>
        <v>Shot</v>
      </c>
      <c r="AF1998" t="str">
        <f t="shared" si="204"/>
        <v>Shot_Goal</v>
      </c>
      <c r="AG1998" t="str">
        <f t="shared" si="205"/>
        <v/>
      </c>
      <c r="AN1998" t="str">
        <f t="shared" si="201"/>
        <v>Offensive</v>
      </c>
    </row>
    <row r="1999" spans="1:40" x14ac:dyDescent="0.2">
      <c r="A1999">
        <v>999</v>
      </c>
      <c r="B1999">
        <f t="shared" si="200"/>
        <v>167</v>
      </c>
      <c r="J1999">
        <v>39</v>
      </c>
      <c r="Q1999" t="s">
        <v>166</v>
      </c>
      <c r="S1999" t="s">
        <v>688</v>
      </c>
      <c r="U1999" s="8">
        <f t="shared" si="203"/>
        <v>2</v>
      </c>
      <c r="AD1999" t="str">
        <f t="shared" si="202"/>
        <v>o</v>
      </c>
      <c r="AE1999" t="str">
        <f t="shared" si="206"/>
        <v>Shot</v>
      </c>
      <c r="AF1999" t="str">
        <f t="shared" si="204"/>
        <v>Shot_Goal</v>
      </c>
      <c r="AG1999" t="str">
        <f t="shared" si="205"/>
        <v/>
      </c>
      <c r="AN1999" t="str">
        <f t="shared" si="201"/>
        <v>Defensive</v>
      </c>
    </row>
    <row r="2000" spans="1:40" x14ac:dyDescent="0.2">
      <c r="A2000">
        <v>1000</v>
      </c>
      <c r="B2000">
        <v>167</v>
      </c>
      <c r="E2000" s="5" t="s">
        <v>887</v>
      </c>
      <c r="F2000" s="5" t="s">
        <v>875</v>
      </c>
      <c r="I2000" t="s">
        <v>840</v>
      </c>
      <c r="J2000">
        <v>92</v>
      </c>
      <c r="K2000">
        <v>1</v>
      </c>
      <c r="L2000" t="s">
        <v>401</v>
      </c>
      <c r="M2000" t="s">
        <v>9</v>
      </c>
      <c r="N2000" t="s">
        <v>230</v>
      </c>
      <c r="O2000" t="s">
        <v>235</v>
      </c>
      <c r="P2000" t="s">
        <v>689</v>
      </c>
      <c r="Q2000" t="s">
        <v>152</v>
      </c>
      <c r="S2000" t="s">
        <v>689</v>
      </c>
      <c r="U2000" s="8">
        <f t="shared" si="203"/>
        <v>2</v>
      </c>
      <c r="AD2000" t="str">
        <f t="shared" si="202"/>
        <v>e</v>
      </c>
      <c r="AE2000" t="str">
        <f t="shared" si="206"/>
        <v>Goal</v>
      </c>
      <c r="AF2000" t="str">
        <f t="shared" si="204"/>
        <v>Goal_Scored</v>
      </c>
      <c r="AG2000" t="str">
        <f t="shared" si="205"/>
        <v>Goal-Backhand</v>
      </c>
      <c r="AN2000" t="str">
        <f t="shared" si="201"/>
        <v>Offensive</v>
      </c>
    </row>
    <row r="2001" spans="1:40" x14ac:dyDescent="0.2">
      <c r="A2001">
        <v>1000</v>
      </c>
      <c r="B2001">
        <f t="shared" si="200"/>
        <v>167</v>
      </c>
      <c r="J2001">
        <v>39</v>
      </c>
      <c r="Q2001" t="s">
        <v>166</v>
      </c>
      <c r="S2001" t="s">
        <v>688</v>
      </c>
      <c r="U2001" s="8">
        <f t="shared" si="203"/>
        <v>2</v>
      </c>
      <c r="AD2001" t="str">
        <f t="shared" si="202"/>
        <v>o</v>
      </c>
      <c r="AE2001" t="str">
        <f t="shared" si="206"/>
        <v>Goal</v>
      </c>
      <c r="AF2001" t="str">
        <f t="shared" si="204"/>
        <v>Goal_Scored</v>
      </c>
      <c r="AG2001" t="str">
        <f t="shared" si="205"/>
        <v>Goal-Backhand</v>
      </c>
      <c r="AN2001" t="str">
        <f t="shared" si="201"/>
        <v>Defensive</v>
      </c>
    </row>
    <row r="2002" spans="1:40" x14ac:dyDescent="0.2">
      <c r="A2002">
        <v>1001</v>
      </c>
      <c r="B2002">
        <v>167</v>
      </c>
      <c r="E2002" s="5" t="s">
        <v>887</v>
      </c>
      <c r="F2002" s="5" t="s">
        <v>875</v>
      </c>
      <c r="I2002" t="s">
        <v>840</v>
      </c>
      <c r="J2002">
        <v>92</v>
      </c>
      <c r="K2002">
        <v>1</v>
      </c>
      <c r="L2002" t="s">
        <v>401</v>
      </c>
      <c r="M2002" t="s">
        <v>13</v>
      </c>
      <c r="N2002" t="s">
        <v>204</v>
      </c>
      <c r="O2002" t="s">
        <v>42</v>
      </c>
      <c r="U2002" s="8">
        <f t="shared" si="203"/>
        <v>2</v>
      </c>
      <c r="AD2002" t="str">
        <f t="shared" si="202"/>
        <v>e</v>
      </c>
      <c r="AE2002" t="str">
        <f t="shared" si="206"/>
        <v>Stoppage</v>
      </c>
      <c r="AF2002" t="str">
        <f t="shared" si="204"/>
        <v>Stoppage_Play</v>
      </c>
      <c r="AG2002" t="str">
        <f t="shared" si="205"/>
        <v>Stoppage-Goal</v>
      </c>
      <c r="AN2002" t="str">
        <f t="shared" si="201"/>
        <v/>
      </c>
    </row>
    <row r="2003" spans="1:40" x14ac:dyDescent="0.2">
      <c r="A2003">
        <v>1002</v>
      </c>
      <c r="B2003">
        <v>167</v>
      </c>
      <c r="E2003" s="5" t="s">
        <v>887</v>
      </c>
      <c r="F2003" s="5" t="s">
        <v>875</v>
      </c>
      <c r="G2003" s="5" t="s">
        <v>887</v>
      </c>
      <c r="H2003" s="7" t="s">
        <v>883</v>
      </c>
      <c r="I2003" t="s">
        <v>840</v>
      </c>
      <c r="J2003">
        <v>92</v>
      </c>
      <c r="K2003">
        <v>1</v>
      </c>
      <c r="L2003" t="s">
        <v>401</v>
      </c>
      <c r="M2003" t="s">
        <v>262</v>
      </c>
      <c r="U2003" s="8">
        <f t="shared" si="203"/>
        <v>2</v>
      </c>
      <c r="AD2003" t="str">
        <f t="shared" si="202"/>
        <v>e</v>
      </c>
      <c r="AE2003" t="str">
        <f t="shared" si="206"/>
        <v>DeadIce</v>
      </c>
      <c r="AF2003" t="str">
        <f t="shared" si="204"/>
        <v/>
      </c>
      <c r="AG2003" t="str">
        <f t="shared" si="205"/>
        <v/>
      </c>
      <c r="AN2003" t="str">
        <f t="shared" si="201"/>
        <v/>
      </c>
    </row>
    <row r="2004" spans="1:40" x14ac:dyDescent="0.2">
      <c r="A2004">
        <v>1003</v>
      </c>
      <c r="B2004" t="str">
        <f t="shared" si="200"/>
        <v/>
      </c>
      <c r="E2004" s="5" t="s">
        <v>887</v>
      </c>
      <c r="F2004" s="5" t="s">
        <v>883</v>
      </c>
      <c r="I2004" t="s">
        <v>840</v>
      </c>
      <c r="J2004">
        <v>13</v>
      </c>
      <c r="K2004">
        <v>1</v>
      </c>
      <c r="L2004" t="s">
        <v>839</v>
      </c>
      <c r="M2004" t="s">
        <v>6</v>
      </c>
      <c r="N2004" t="s">
        <v>255</v>
      </c>
      <c r="U2004" s="8">
        <f t="shared" si="203"/>
        <v>2</v>
      </c>
      <c r="AD2004" t="str">
        <f t="shared" si="202"/>
        <v>e</v>
      </c>
      <c r="AE2004" t="str">
        <f t="shared" si="206"/>
        <v>Faceoff</v>
      </c>
      <c r="AF2004" t="str">
        <f t="shared" si="204"/>
        <v>Faceoff_AfterStoppage</v>
      </c>
      <c r="AG2004" t="str">
        <f t="shared" si="205"/>
        <v/>
      </c>
      <c r="AN2004" t="str">
        <f t="shared" si="201"/>
        <v>Offensive</v>
      </c>
    </row>
    <row r="2005" spans="1:40" x14ac:dyDescent="0.2">
      <c r="A2005">
        <v>1003</v>
      </c>
      <c r="B2005" t="str">
        <f t="shared" si="200"/>
        <v/>
      </c>
      <c r="J2005">
        <v>83</v>
      </c>
      <c r="K2005">
        <v>1</v>
      </c>
      <c r="L2005" t="s">
        <v>839</v>
      </c>
      <c r="U2005" s="8">
        <f t="shared" si="203"/>
        <v>2</v>
      </c>
      <c r="AD2005" t="str">
        <f t="shared" si="202"/>
        <v>e</v>
      </c>
      <c r="AE2005" t="str">
        <f t="shared" si="206"/>
        <v>Faceoff</v>
      </c>
      <c r="AF2005" t="str">
        <f t="shared" si="204"/>
        <v>Faceoff_AfterStoppage</v>
      </c>
      <c r="AG2005" t="str">
        <f t="shared" si="205"/>
        <v/>
      </c>
      <c r="AN2005" t="str">
        <f t="shared" si="201"/>
        <v>Offensive</v>
      </c>
    </row>
    <row r="2006" spans="1:40" x14ac:dyDescent="0.2">
      <c r="A2006">
        <v>1003</v>
      </c>
      <c r="B2006" t="str">
        <f t="shared" si="200"/>
        <v/>
      </c>
      <c r="J2006">
        <v>70</v>
      </c>
      <c r="U2006" s="8">
        <f t="shared" si="203"/>
        <v>2</v>
      </c>
      <c r="AD2006" t="str">
        <f t="shared" si="202"/>
        <v>o</v>
      </c>
      <c r="AE2006" t="str">
        <f t="shared" si="206"/>
        <v>Faceoff</v>
      </c>
      <c r="AF2006" t="str">
        <f t="shared" si="204"/>
        <v>Faceoff_AfterStoppage</v>
      </c>
      <c r="AG2006" t="str">
        <f t="shared" si="205"/>
        <v/>
      </c>
      <c r="AN2006" t="str">
        <f t="shared" si="201"/>
        <v>Defensive</v>
      </c>
    </row>
    <row r="2007" spans="1:40" x14ac:dyDescent="0.2">
      <c r="A2007">
        <v>1004</v>
      </c>
      <c r="B2007" t="str">
        <f t="shared" si="200"/>
        <v/>
      </c>
      <c r="E2007" s="5" t="s">
        <v>887</v>
      </c>
      <c r="F2007" s="5" t="s">
        <v>858</v>
      </c>
      <c r="G2007" s="5" t="s">
        <v>887</v>
      </c>
      <c r="H2007" s="7" t="s">
        <v>836</v>
      </c>
      <c r="I2007" s="5" t="s">
        <v>840</v>
      </c>
      <c r="J2007">
        <v>83</v>
      </c>
      <c r="K2007">
        <v>1</v>
      </c>
      <c r="L2007" s="5" t="s">
        <v>839</v>
      </c>
      <c r="M2007" t="s">
        <v>15</v>
      </c>
      <c r="Q2007" t="s">
        <v>638</v>
      </c>
      <c r="T2007">
        <v>1</v>
      </c>
      <c r="U2007" s="8">
        <f t="shared" si="203"/>
        <v>2</v>
      </c>
      <c r="AD2007" t="str">
        <f t="shared" si="202"/>
        <v>e</v>
      </c>
      <c r="AE2007" t="str">
        <f t="shared" si="206"/>
        <v>Possession</v>
      </c>
      <c r="AF2007" t="str">
        <f t="shared" si="204"/>
        <v/>
      </c>
      <c r="AG2007" t="str">
        <f t="shared" si="205"/>
        <v/>
      </c>
      <c r="AN2007" t="str">
        <f t="shared" si="201"/>
        <v>Offensive</v>
      </c>
    </row>
    <row r="2008" spans="1:40" x14ac:dyDescent="0.2">
      <c r="A2008">
        <v>1004</v>
      </c>
      <c r="B2008" t="str">
        <f t="shared" si="200"/>
        <v/>
      </c>
      <c r="J2008">
        <v>70</v>
      </c>
      <c r="T2008">
        <v>1</v>
      </c>
      <c r="U2008" s="8">
        <f t="shared" si="203"/>
        <v>2</v>
      </c>
      <c r="AD2008" t="str">
        <f t="shared" si="202"/>
        <v>o</v>
      </c>
      <c r="AE2008" t="str">
        <f t="shared" si="206"/>
        <v>Possession</v>
      </c>
      <c r="AF2008" t="str">
        <f t="shared" si="204"/>
        <v/>
      </c>
      <c r="AG2008" t="str">
        <f t="shared" si="205"/>
        <v/>
      </c>
      <c r="AN2008" t="str">
        <f t="shared" si="201"/>
        <v>Defensive</v>
      </c>
    </row>
    <row r="2009" spans="1:40" x14ac:dyDescent="0.2">
      <c r="A2009">
        <v>1005</v>
      </c>
      <c r="B2009">
        <v>168</v>
      </c>
      <c r="E2009" s="5" t="s">
        <v>887</v>
      </c>
      <c r="F2009" s="5" t="s">
        <v>836</v>
      </c>
      <c r="I2009" t="s">
        <v>840</v>
      </c>
      <c r="J2009">
        <v>83</v>
      </c>
      <c r="K2009">
        <v>1</v>
      </c>
      <c r="L2009" t="s">
        <v>839</v>
      </c>
      <c r="M2009" t="s">
        <v>8</v>
      </c>
      <c r="N2009" t="s">
        <v>199</v>
      </c>
      <c r="O2009" t="s">
        <v>70</v>
      </c>
      <c r="P2009" t="s">
        <v>688</v>
      </c>
      <c r="T2009">
        <v>1</v>
      </c>
      <c r="U2009" s="8">
        <f t="shared" si="203"/>
        <v>2</v>
      </c>
      <c r="AD2009" t="str">
        <f t="shared" si="202"/>
        <v>e</v>
      </c>
      <c r="AE2009" t="str">
        <f t="shared" si="206"/>
        <v>Pass</v>
      </c>
      <c r="AF2009" t="str">
        <f t="shared" si="204"/>
        <v>Pass_Missed</v>
      </c>
      <c r="AG2009" t="str">
        <f t="shared" si="205"/>
        <v>Pass-Forehand</v>
      </c>
      <c r="AN2009" t="str">
        <f t="shared" si="201"/>
        <v>Offensive</v>
      </c>
    </row>
    <row r="2010" spans="1:40" x14ac:dyDescent="0.2">
      <c r="A2010">
        <v>1005</v>
      </c>
      <c r="B2010">
        <f t="shared" si="200"/>
        <v>168</v>
      </c>
      <c r="J2010">
        <v>5</v>
      </c>
      <c r="K2010">
        <v>1</v>
      </c>
      <c r="U2010" s="8">
        <f t="shared" si="203"/>
        <v>2</v>
      </c>
      <c r="AD2010" t="str">
        <f t="shared" si="202"/>
        <v>e</v>
      </c>
      <c r="AE2010" t="str">
        <f t="shared" si="206"/>
        <v>Pass</v>
      </c>
      <c r="AF2010" t="str">
        <f t="shared" si="204"/>
        <v>Pass_Missed</v>
      </c>
      <c r="AG2010" t="str">
        <f t="shared" si="205"/>
        <v>Pass-Forehand</v>
      </c>
      <c r="AN2010" t="str">
        <f t="shared" si="201"/>
        <v>Offensive</v>
      </c>
    </row>
    <row r="2011" spans="1:40" x14ac:dyDescent="0.2">
      <c r="A2011">
        <v>1005</v>
      </c>
      <c r="B2011">
        <f t="shared" si="200"/>
        <v>168</v>
      </c>
      <c r="J2011">
        <v>14</v>
      </c>
      <c r="T2011">
        <v>1</v>
      </c>
      <c r="U2011" s="8">
        <f t="shared" si="203"/>
        <v>2</v>
      </c>
      <c r="AD2011" t="str">
        <f t="shared" si="202"/>
        <v>o</v>
      </c>
      <c r="AE2011" t="str">
        <f t="shared" si="206"/>
        <v>Pass</v>
      </c>
      <c r="AF2011" t="str">
        <f t="shared" si="204"/>
        <v>Pass_Missed</v>
      </c>
      <c r="AG2011" t="str">
        <f t="shared" si="205"/>
        <v>Pass-Forehand</v>
      </c>
      <c r="AN2011" t="str">
        <f t="shared" si="201"/>
        <v>Defensive</v>
      </c>
    </row>
    <row r="2012" spans="1:40" x14ac:dyDescent="0.2">
      <c r="A2012">
        <v>1006</v>
      </c>
      <c r="B2012">
        <v>168</v>
      </c>
      <c r="E2012" s="5" t="s">
        <v>887</v>
      </c>
      <c r="F2012" s="5" t="s">
        <v>836</v>
      </c>
      <c r="I2012" t="s">
        <v>840</v>
      </c>
      <c r="J2012">
        <v>83</v>
      </c>
      <c r="K2012">
        <v>1</v>
      </c>
      <c r="L2012" t="s">
        <v>839</v>
      </c>
      <c r="M2012" t="s">
        <v>257</v>
      </c>
      <c r="N2012" t="s">
        <v>191</v>
      </c>
      <c r="O2012" t="s">
        <v>423</v>
      </c>
      <c r="P2012" t="s">
        <v>688</v>
      </c>
      <c r="T2012">
        <v>1</v>
      </c>
      <c r="U2012" s="8">
        <f t="shared" si="203"/>
        <v>2</v>
      </c>
      <c r="AD2012" t="str">
        <f t="shared" si="202"/>
        <v>e</v>
      </c>
      <c r="AE2012" t="str">
        <f t="shared" si="206"/>
        <v>Zone_Entry_Exit</v>
      </c>
      <c r="AF2012" t="str">
        <f t="shared" si="204"/>
        <v>Zone_Entry</v>
      </c>
      <c r="AG2012" t="str">
        <f t="shared" si="205"/>
        <v>ZoneEntry-PassMiss/Misplay</v>
      </c>
      <c r="AN2012" t="str">
        <f t="shared" si="201"/>
        <v>Offensive</v>
      </c>
    </row>
    <row r="2013" spans="1:40" x14ac:dyDescent="0.2">
      <c r="A2013">
        <v>1006</v>
      </c>
      <c r="B2013">
        <f t="shared" si="200"/>
        <v>168</v>
      </c>
      <c r="J2013">
        <v>5</v>
      </c>
      <c r="K2013">
        <v>1</v>
      </c>
      <c r="U2013" s="8">
        <f t="shared" si="203"/>
        <v>2</v>
      </c>
      <c r="AD2013" t="str">
        <f t="shared" si="202"/>
        <v>e</v>
      </c>
      <c r="AE2013" t="str">
        <f t="shared" si="206"/>
        <v>Zone_Entry_Exit</v>
      </c>
      <c r="AF2013" t="str">
        <f t="shared" si="204"/>
        <v>Zone_Entry</v>
      </c>
      <c r="AG2013" t="str">
        <f t="shared" si="205"/>
        <v>ZoneEntry-PassMiss/Misplay</v>
      </c>
      <c r="AN2013" t="str">
        <f t="shared" si="201"/>
        <v>Offensive</v>
      </c>
    </row>
    <row r="2014" spans="1:40" x14ac:dyDescent="0.2">
      <c r="A2014">
        <v>1006</v>
      </c>
      <c r="B2014">
        <f t="shared" si="200"/>
        <v>168</v>
      </c>
      <c r="J2014">
        <v>14</v>
      </c>
      <c r="T2014">
        <v>1</v>
      </c>
      <c r="U2014" s="8">
        <f t="shared" si="203"/>
        <v>2</v>
      </c>
      <c r="AD2014" t="str">
        <f t="shared" si="202"/>
        <v>o</v>
      </c>
      <c r="AE2014" t="str">
        <f t="shared" si="206"/>
        <v>Zone_Entry_Exit</v>
      </c>
      <c r="AF2014" t="str">
        <f t="shared" si="204"/>
        <v>Zone_Entry</v>
      </c>
      <c r="AG2014" t="str">
        <f t="shared" si="205"/>
        <v>ZoneEntry-PassMiss/Misplay</v>
      </c>
      <c r="AN2014" t="str">
        <f t="shared" si="201"/>
        <v>Defensive</v>
      </c>
    </row>
    <row r="2015" spans="1:40" x14ac:dyDescent="0.2">
      <c r="A2015">
        <v>1007</v>
      </c>
      <c r="B2015">
        <v>168</v>
      </c>
      <c r="I2015" t="s">
        <v>840</v>
      </c>
      <c r="J2015">
        <v>83</v>
      </c>
      <c r="K2015">
        <v>1</v>
      </c>
      <c r="L2015" t="s">
        <v>839</v>
      </c>
      <c r="M2015" t="s">
        <v>10</v>
      </c>
      <c r="N2015" t="s">
        <v>190</v>
      </c>
      <c r="O2015" t="s">
        <v>76</v>
      </c>
      <c r="P2015" t="s">
        <v>688</v>
      </c>
      <c r="T2015">
        <v>1</v>
      </c>
      <c r="U2015" s="8">
        <f t="shared" si="203"/>
        <v>2</v>
      </c>
      <c r="AD2015" t="str">
        <f t="shared" si="202"/>
        <v>e</v>
      </c>
      <c r="AE2015" t="str">
        <f t="shared" si="206"/>
        <v>Turnover</v>
      </c>
      <c r="AF2015" t="str">
        <f t="shared" si="204"/>
        <v>Turnover_Giveaway</v>
      </c>
      <c r="AG2015" t="str">
        <f t="shared" si="205"/>
        <v>Giveaway-PassMissed</v>
      </c>
      <c r="AN2015" t="str">
        <f t="shared" si="201"/>
        <v>Offensive</v>
      </c>
    </row>
    <row r="2016" spans="1:40" x14ac:dyDescent="0.2">
      <c r="A2016">
        <v>1007</v>
      </c>
      <c r="B2016">
        <f t="shared" si="200"/>
        <v>168</v>
      </c>
      <c r="J2016">
        <v>5</v>
      </c>
      <c r="K2016">
        <v>1</v>
      </c>
      <c r="U2016" s="8">
        <f t="shared" si="203"/>
        <v>2</v>
      </c>
      <c r="AD2016" t="str">
        <f t="shared" si="202"/>
        <v>e</v>
      </c>
      <c r="AE2016" t="str">
        <f t="shared" si="206"/>
        <v>Turnover</v>
      </c>
      <c r="AF2016" t="str">
        <f t="shared" si="204"/>
        <v>Turnover_Giveaway</v>
      </c>
      <c r="AG2016" t="str">
        <f t="shared" si="205"/>
        <v>Giveaway-PassMissed</v>
      </c>
      <c r="AN2016" t="str">
        <f t="shared" si="201"/>
        <v>Offensive</v>
      </c>
    </row>
    <row r="2017" spans="1:40" x14ac:dyDescent="0.2">
      <c r="A2017">
        <v>1007</v>
      </c>
      <c r="B2017">
        <f t="shared" si="200"/>
        <v>168</v>
      </c>
      <c r="J2017">
        <v>14</v>
      </c>
      <c r="T2017">
        <v>1</v>
      </c>
      <c r="U2017" s="8">
        <f t="shared" si="203"/>
        <v>2</v>
      </c>
      <c r="AD2017" t="str">
        <f t="shared" si="202"/>
        <v>o</v>
      </c>
      <c r="AE2017" t="str">
        <f t="shared" si="206"/>
        <v>Turnover</v>
      </c>
      <c r="AF2017" t="str">
        <f t="shared" si="204"/>
        <v>Turnover_Giveaway</v>
      </c>
      <c r="AG2017" t="str">
        <f t="shared" si="205"/>
        <v>Giveaway-PassMissed</v>
      </c>
      <c r="AN2017" t="str">
        <f t="shared" si="201"/>
        <v>Defensive</v>
      </c>
    </row>
    <row r="2018" spans="1:40" x14ac:dyDescent="0.2">
      <c r="A2018">
        <v>1008</v>
      </c>
      <c r="B2018" t="str">
        <f t="shared" si="200"/>
        <v/>
      </c>
      <c r="E2018" s="5" t="s">
        <v>887</v>
      </c>
      <c r="F2018" s="5" t="s">
        <v>898</v>
      </c>
      <c r="G2018" s="5" t="s">
        <v>887</v>
      </c>
      <c r="H2018" s="7" t="s">
        <v>891</v>
      </c>
      <c r="I2018" t="s">
        <v>835</v>
      </c>
      <c r="J2018">
        <v>9</v>
      </c>
      <c r="K2018">
        <v>1</v>
      </c>
      <c r="L2018" t="s">
        <v>845</v>
      </c>
      <c r="M2018" t="s">
        <v>15</v>
      </c>
      <c r="N2018" t="s">
        <v>680</v>
      </c>
      <c r="P2018" t="s">
        <v>688</v>
      </c>
      <c r="Q2018" t="s">
        <v>634</v>
      </c>
      <c r="R2018" t="s">
        <v>638</v>
      </c>
      <c r="S2018" t="s">
        <v>688</v>
      </c>
      <c r="T2018">
        <v>1</v>
      </c>
      <c r="U2018" s="8">
        <f t="shared" si="203"/>
        <v>2</v>
      </c>
      <c r="AD2018" t="str">
        <f t="shared" si="202"/>
        <v>e</v>
      </c>
      <c r="AE2018" t="str">
        <f t="shared" si="206"/>
        <v>Possession</v>
      </c>
      <c r="AF2018" t="str">
        <f t="shared" si="204"/>
        <v>PuckRetrieval</v>
      </c>
      <c r="AG2018" t="str">
        <f t="shared" si="205"/>
        <v/>
      </c>
      <c r="AN2018" t="str">
        <f t="shared" si="201"/>
        <v>Offensive</v>
      </c>
    </row>
    <row r="2019" spans="1:40" x14ac:dyDescent="0.2">
      <c r="A2019">
        <v>1008</v>
      </c>
      <c r="B2019" t="str">
        <f t="shared" si="200"/>
        <v/>
      </c>
      <c r="J2019">
        <v>13</v>
      </c>
      <c r="T2019">
        <v>1</v>
      </c>
      <c r="U2019" s="8">
        <f t="shared" si="203"/>
        <v>2</v>
      </c>
      <c r="AD2019" t="str">
        <f t="shared" si="202"/>
        <v>o</v>
      </c>
      <c r="AE2019" t="str">
        <f t="shared" si="206"/>
        <v>Possession</v>
      </c>
      <c r="AF2019" t="str">
        <f t="shared" si="204"/>
        <v>PuckRetrieval</v>
      </c>
      <c r="AG2019" t="str">
        <f t="shared" si="205"/>
        <v/>
      </c>
      <c r="AN2019" t="str">
        <f t="shared" si="201"/>
        <v>Defensive</v>
      </c>
    </row>
    <row r="2020" spans="1:40" x14ac:dyDescent="0.2">
      <c r="A2020">
        <v>1009</v>
      </c>
      <c r="B2020">
        <v>169</v>
      </c>
      <c r="E2020" s="5" t="s">
        <v>887</v>
      </c>
      <c r="F2020" s="5" t="s">
        <v>891</v>
      </c>
      <c r="I2020" t="s">
        <v>835</v>
      </c>
      <c r="J2020">
        <v>9</v>
      </c>
      <c r="K2020">
        <v>1</v>
      </c>
      <c r="L2020" t="s">
        <v>845</v>
      </c>
      <c r="M2020" t="s">
        <v>8</v>
      </c>
      <c r="N2020" t="s">
        <v>199</v>
      </c>
      <c r="O2020" t="s">
        <v>68</v>
      </c>
      <c r="P2020" t="s">
        <v>688</v>
      </c>
      <c r="T2020">
        <v>1</v>
      </c>
      <c r="U2020" s="8">
        <f t="shared" si="203"/>
        <v>2</v>
      </c>
      <c r="AD2020" t="str">
        <f t="shared" si="202"/>
        <v>e</v>
      </c>
      <c r="AE2020" t="str">
        <f t="shared" si="206"/>
        <v>Pass</v>
      </c>
      <c r="AF2020" t="str">
        <f t="shared" si="204"/>
        <v>Pass_Missed</v>
      </c>
      <c r="AG2020" t="str">
        <f t="shared" si="205"/>
        <v>Pass-Rim/Wrap</v>
      </c>
      <c r="AN2020" t="str">
        <f t="shared" si="201"/>
        <v>Offensive</v>
      </c>
    </row>
    <row r="2021" spans="1:40" x14ac:dyDescent="0.2">
      <c r="A2021">
        <v>1009</v>
      </c>
      <c r="B2021">
        <f t="shared" si="200"/>
        <v>169</v>
      </c>
      <c r="J2021">
        <v>14</v>
      </c>
      <c r="K2021">
        <v>1</v>
      </c>
      <c r="U2021" s="8">
        <f t="shared" si="203"/>
        <v>2</v>
      </c>
      <c r="AD2021" t="str">
        <f t="shared" si="202"/>
        <v>e</v>
      </c>
      <c r="AE2021" t="str">
        <f t="shared" si="206"/>
        <v>Pass</v>
      </c>
      <c r="AF2021" t="str">
        <f t="shared" si="204"/>
        <v>Pass_Missed</v>
      </c>
      <c r="AG2021" t="str">
        <f t="shared" si="205"/>
        <v>Pass-Rim/Wrap</v>
      </c>
      <c r="AN2021" t="str">
        <f t="shared" si="201"/>
        <v>Offensive</v>
      </c>
    </row>
    <row r="2022" spans="1:40" x14ac:dyDescent="0.2">
      <c r="A2022">
        <v>1010</v>
      </c>
      <c r="B2022">
        <v>169</v>
      </c>
      <c r="I2022" t="s">
        <v>835</v>
      </c>
      <c r="J2022">
        <v>9</v>
      </c>
      <c r="K2022">
        <v>1</v>
      </c>
      <c r="L2022" t="s">
        <v>845</v>
      </c>
      <c r="M2022" t="s">
        <v>10</v>
      </c>
      <c r="N2022" t="s">
        <v>190</v>
      </c>
      <c r="O2022" t="s">
        <v>76</v>
      </c>
      <c r="P2022" t="s">
        <v>688</v>
      </c>
      <c r="U2022" s="8">
        <f t="shared" si="203"/>
        <v>2</v>
      </c>
      <c r="AD2022" t="str">
        <f t="shared" si="202"/>
        <v>e</v>
      </c>
      <c r="AE2022" t="str">
        <f t="shared" si="206"/>
        <v>Turnover</v>
      </c>
      <c r="AF2022" t="str">
        <f t="shared" si="204"/>
        <v>Turnover_Giveaway</v>
      </c>
      <c r="AG2022" t="str">
        <f t="shared" si="205"/>
        <v>Giveaway-PassMissed</v>
      </c>
      <c r="AN2022" t="str">
        <f t="shared" si="201"/>
        <v>Offensive</v>
      </c>
    </row>
    <row r="2023" spans="1:40" x14ac:dyDescent="0.2">
      <c r="A2023">
        <v>1010</v>
      </c>
      <c r="B2023">
        <f t="shared" si="200"/>
        <v>169</v>
      </c>
      <c r="J2023">
        <v>14</v>
      </c>
      <c r="K2023">
        <v>1</v>
      </c>
      <c r="U2023" s="8">
        <f t="shared" si="203"/>
        <v>2</v>
      </c>
      <c r="AD2023" t="str">
        <f t="shared" si="202"/>
        <v>e</v>
      </c>
      <c r="AE2023" t="str">
        <f t="shared" si="206"/>
        <v>Turnover</v>
      </c>
      <c r="AF2023" t="str">
        <f t="shared" si="204"/>
        <v>Turnover_Giveaway</v>
      </c>
      <c r="AG2023" t="str">
        <f t="shared" si="205"/>
        <v>Giveaway-PassMissed</v>
      </c>
      <c r="AN2023" t="str">
        <f t="shared" si="201"/>
        <v>Offensive</v>
      </c>
    </row>
    <row r="2024" spans="1:40" x14ac:dyDescent="0.2">
      <c r="A2024">
        <v>1011</v>
      </c>
      <c r="B2024" t="str">
        <f t="shared" si="200"/>
        <v/>
      </c>
      <c r="E2024" s="5" t="s">
        <v>887</v>
      </c>
      <c r="F2024" s="5" t="s">
        <v>892</v>
      </c>
      <c r="G2024" s="5" t="s">
        <v>887</v>
      </c>
      <c r="H2024" s="7" t="s">
        <v>902</v>
      </c>
      <c r="I2024" s="5" t="s">
        <v>840</v>
      </c>
      <c r="J2024">
        <v>5</v>
      </c>
      <c r="K2024">
        <v>1</v>
      </c>
      <c r="L2024" s="5" t="s">
        <v>401</v>
      </c>
      <c r="M2024" t="s">
        <v>15</v>
      </c>
      <c r="N2024" t="s">
        <v>680</v>
      </c>
      <c r="P2024" t="s">
        <v>689</v>
      </c>
      <c r="Q2024" t="s">
        <v>634</v>
      </c>
      <c r="S2024" t="s">
        <v>689</v>
      </c>
      <c r="U2024" s="8">
        <f t="shared" si="203"/>
        <v>2</v>
      </c>
      <c r="AD2024" t="str">
        <f t="shared" si="202"/>
        <v>e</v>
      </c>
      <c r="AE2024" t="str">
        <f t="shared" si="206"/>
        <v>Possession</v>
      </c>
      <c r="AF2024" t="str">
        <f t="shared" si="204"/>
        <v>PuckRetrieval</v>
      </c>
      <c r="AG2024" t="str">
        <f t="shared" si="205"/>
        <v/>
      </c>
      <c r="AN2024" t="str">
        <f t="shared" si="201"/>
        <v>Offensive</v>
      </c>
    </row>
    <row r="2025" spans="1:40" x14ac:dyDescent="0.2">
      <c r="A2025">
        <v>1012</v>
      </c>
      <c r="B2025" t="str">
        <f t="shared" si="200"/>
        <v/>
      </c>
      <c r="E2025" s="5" t="s">
        <v>887</v>
      </c>
      <c r="F2025" s="5" t="s">
        <v>902</v>
      </c>
      <c r="I2025" t="s">
        <v>840</v>
      </c>
      <c r="J2025">
        <v>5</v>
      </c>
      <c r="K2025">
        <v>1</v>
      </c>
      <c r="L2025" t="s">
        <v>401</v>
      </c>
      <c r="M2025" t="s">
        <v>8</v>
      </c>
      <c r="N2025" t="s">
        <v>189</v>
      </c>
      <c r="O2025" t="s">
        <v>70</v>
      </c>
      <c r="P2025" t="s">
        <v>689</v>
      </c>
      <c r="T2025">
        <v>1</v>
      </c>
      <c r="U2025" s="8">
        <f t="shared" si="203"/>
        <v>2</v>
      </c>
      <c r="AD2025" t="str">
        <f t="shared" si="202"/>
        <v>e</v>
      </c>
      <c r="AE2025" t="str">
        <f t="shared" si="206"/>
        <v>Pass</v>
      </c>
      <c r="AF2025" t="str">
        <f t="shared" si="204"/>
        <v>Pass_Completed</v>
      </c>
      <c r="AG2025" t="str">
        <f t="shared" si="205"/>
        <v>Pass-Forehand</v>
      </c>
      <c r="AN2025" t="str">
        <f t="shared" si="201"/>
        <v>Offensive</v>
      </c>
    </row>
    <row r="2026" spans="1:40" x14ac:dyDescent="0.2">
      <c r="A2026">
        <v>1012</v>
      </c>
      <c r="B2026" t="str">
        <f t="shared" si="200"/>
        <v/>
      </c>
      <c r="J2026">
        <v>13</v>
      </c>
      <c r="K2026">
        <v>1</v>
      </c>
      <c r="U2026" s="8">
        <f t="shared" si="203"/>
        <v>2</v>
      </c>
      <c r="AD2026" t="str">
        <f t="shared" si="202"/>
        <v>e</v>
      </c>
      <c r="AE2026" t="str">
        <f t="shared" si="206"/>
        <v>Pass</v>
      </c>
      <c r="AF2026" t="str">
        <f t="shared" si="204"/>
        <v>Pass_Completed</v>
      </c>
      <c r="AG2026" t="str">
        <f t="shared" si="205"/>
        <v>Pass-Forehand</v>
      </c>
      <c r="AN2026" t="str">
        <f t="shared" si="201"/>
        <v>Offensive</v>
      </c>
    </row>
    <row r="2027" spans="1:40" x14ac:dyDescent="0.2">
      <c r="A2027">
        <v>1012</v>
      </c>
      <c r="B2027" t="str">
        <f t="shared" si="200"/>
        <v/>
      </c>
      <c r="J2027">
        <v>14</v>
      </c>
      <c r="T2027">
        <v>1</v>
      </c>
      <c r="U2027" s="8">
        <f t="shared" si="203"/>
        <v>2</v>
      </c>
      <c r="AD2027" t="str">
        <f t="shared" si="202"/>
        <v>o</v>
      </c>
      <c r="AE2027" t="str">
        <f t="shared" si="206"/>
        <v>Pass</v>
      </c>
      <c r="AF2027" t="str">
        <f t="shared" si="204"/>
        <v>Pass_Completed</v>
      </c>
      <c r="AG2027" t="str">
        <f t="shared" si="205"/>
        <v>Pass-Forehand</v>
      </c>
      <c r="AN2027" t="str">
        <f t="shared" si="201"/>
        <v>Defensive</v>
      </c>
    </row>
    <row r="2028" spans="1:40" x14ac:dyDescent="0.2">
      <c r="A2028">
        <v>1013</v>
      </c>
      <c r="B2028">
        <v>170</v>
      </c>
      <c r="E2028" s="5" t="s">
        <v>887</v>
      </c>
      <c r="F2028" s="5" t="s">
        <v>902</v>
      </c>
      <c r="I2028" t="s">
        <v>835</v>
      </c>
      <c r="J2028">
        <v>13</v>
      </c>
      <c r="K2028">
        <v>1</v>
      </c>
      <c r="L2028" t="s">
        <v>401</v>
      </c>
      <c r="M2028" t="s">
        <v>7</v>
      </c>
      <c r="N2028" t="s">
        <v>222</v>
      </c>
      <c r="O2028" t="s">
        <v>55</v>
      </c>
      <c r="P2028" t="s">
        <v>689</v>
      </c>
      <c r="U2028" s="8">
        <f t="shared" si="203"/>
        <v>2</v>
      </c>
      <c r="AD2028" t="str">
        <f t="shared" si="202"/>
        <v>e</v>
      </c>
      <c r="AE2028" t="str">
        <f t="shared" si="206"/>
        <v>Shot</v>
      </c>
      <c r="AF2028" t="str">
        <f t="shared" si="204"/>
        <v>Shot_OnNetSaved</v>
      </c>
      <c r="AG2028" t="str">
        <f t="shared" si="205"/>
        <v>Shot-Backhand</v>
      </c>
      <c r="AN2028" t="str">
        <f t="shared" si="201"/>
        <v>Offensive</v>
      </c>
    </row>
    <row r="2029" spans="1:40" x14ac:dyDescent="0.2">
      <c r="A2029">
        <v>1013</v>
      </c>
      <c r="B2029">
        <f t="shared" si="200"/>
        <v>170</v>
      </c>
      <c r="J2029">
        <v>39</v>
      </c>
      <c r="U2029" s="8">
        <f t="shared" si="203"/>
        <v>2</v>
      </c>
      <c r="AD2029" t="str">
        <f t="shared" si="202"/>
        <v>o</v>
      </c>
      <c r="AE2029" t="str">
        <f t="shared" si="206"/>
        <v>Shot</v>
      </c>
      <c r="AF2029" t="str">
        <f t="shared" si="204"/>
        <v>Shot_OnNetSaved</v>
      </c>
      <c r="AG2029" t="str">
        <f t="shared" si="205"/>
        <v>Shot-Backhand</v>
      </c>
      <c r="AN2029" t="str">
        <f t="shared" si="201"/>
        <v>Defensive</v>
      </c>
    </row>
    <row r="2030" spans="1:40" x14ac:dyDescent="0.2">
      <c r="A2030">
        <v>1014</v>
      </c>
      <c r="B2030">
        <v>170</v>
      </c>
      <c r="I2030" t="s">
        <v>840</v>
      </c>
      <c r="J2030">
        <v>39</v>
      </c>
      <c r="K2030">
        <v>1</v>
      </c>
      <c r="L2030" t="s">
        <v>845</v>
      </c>
      <c r="M2030" t="s">
        <v>17</v>
      </c>
      <c r="N2030" t="s">
        <v>196</v>
      </c>
      <c r="O2030" t="s">
        <v>102</v>
      </c>
      <c r="U2030" s="8">
        <f t="shared" si="203"/>
        <v>2</v>
      </c>
      <c r="AD2030" t="str">
        <f t="shared" si="202"/>
        <v>e</v>
      </c>
      <c r="AE2030" t="str">
        <f t="shared" si="206"/>
        <v>Save</v>
      </c>
      <c r="AF2030" t="str">
        <f t="shared" si="204"/>
        <v>Save_Rebound</v>
      </c>
      <c r="AG2030" t="str">
        <f t="shared" si="205"/>
        <v>Save-Butterfly</v>
      </c>
      <c r="AN2030" t="str">
        <f t="shared" si="201"/>
        <v>Defensive</v>
      </c>
    </row>
    <row r="2031" spans="1:40" x14ac:dyDescent="0.2">
      <c r="A2031">
        <v>1014</v>
      </c>
      <c r="B2031">
        <f t="shared" si="200"/>
        <v>170</v>
      </c>
      <c r="J2031">
        <v>13</v>
      </c>
      <c r="U2031" s="8">
        <f t="shared" si="203"/>
        <v>2</v>
      </c>
      <c r="AD2031" t="str">
        <f t="shared" si="202"/>
        <v>o</v>
      </c>
      <c r="AE2031" t="str">
        <f t="shared" si="206"/>
        <v>Save</v>
      </c>
      <c r="AF2031" t="str">
        <f t="shared" si="204"/>
        <v>Save_Rebound</v>
      </c>
      <c r="AG2031" t="str">
        <f t="shared" si="205"/>
        <v>Save-Butterfly</v>
      </c>
      <c r="AN2031" t="str">
        <f t="shared" si="201"/>
        <v>Offensive</v>
      </c>
    </row>
    <row r="2032" spans="1:40" x14ac:dyDescent="0.2">
      <c r="A2032">
        <v>1015</v>
      </c>
      <c r="B2032">
        <v>170</v>
      </c>
      <c r="I2032" t="s">
        <v>840</v>
      </c>
      <c r="J2032">
        <v>39</v>
      </c>
      <c r="K2032">
        <v>1</v>
      </c>
      <c r="L2032" t="s">
        <v>845</v>
      </c>
      <c r="M2032" t="s">
        <v>250</v>
      </c>
      <c r="U2032" s="8">
        <f t="shared" si="203"/>
        <v>2</v>
      </c>
      <c r="AD2032" t="str">
        <f t="shared" si="202"/>
        <v>e</v>
      </c>
      <c r="AE2032" t="str">
        <f t="shared" si="206"/>
        <v>Rebound</v>
      </c>
      <c r="AF2032" t="str">
        <f t="shared" si="204"/>
        <v/>
      </c>
      <c r="AG2032" t="str">
        <f t="shared" si="205"/>
        <v/>
      </c>
      <c r="AN2032" t="str">
        <f t="shared" si="201"/>
        <v>Offensive</v>
      </c>
    </row>
    <row r="2033" spans="1:40" x14ac:dyDescent="0.2">
      <c r="A2033">
        <v>1016</v>
      </c>
      <c r="B2033" t="str">
        <f t="shared" ref="B2033:B2095" si="207">IF(A2033=A2032,B2032,"")</f>
        <v/>
      </c>
      <c r="E2033" s="5" t="s">
        <v>887</v>
      </c>
      <c r="F2033" s="5" t="s">
        <v>884</v>
      </c>
      <c r="G2033" s="5" t="s">
        <v>887</v>
      </c>
      <c r="H2033" s="7" t="s">
        <v>870</v>
      </c>
      <c r="I2033" t="s">
        <v>840</v>
      </c>
      <c r="J2033">
        <v>13</v>
      </c>
      <c r="K2033">
        <v>1</v>
      </c>
      <c r="L2033" t="s">
        <v>401</v>
      </c>
      <c r="M2033" t="s">
        <v>15</v>
      </c>
      <c r="N2033" t="s">
        <v>681</v>
      </c>
      <c r="P2033" t="s">
        <v>688</v>
      </c>
      <c r="Q2033" t="s">
        <v>679</v>
      </c>
      <c r="S2033" t="s">
        <v>688</v>
      </c>
      <c r="T2033">
        <v>1</v>
      </c>
      <c r="U2033" s="8">
        <f t="shared" si="203"/>
        <v>2</v>
      </c>
      <c r="AD2033" t="str">
        <f t="shared" si="202"/>
        <v>e</v>
      </c>
      <c r="AE2033" t="str">
        <f t="shared" si="206"/>
        <v>Possession</v>
      </c>
      <c r="AF2033" t="str">
        <f t="shared" si="204"/>
        <v>PuckRecovery</v>
      </c>
      <c r="AG2033" t="str">
        <f t="shared" si="205"/>
        <v/>
      </c>
      <c r="AN2033" t="str">
        <f t="shared" si="201"/>
        <v>Offensive</v>
      </c>
    </row>
    <row r="2034" spans="1:40" x14ac:dyDescent="0.2">
      <c r="A2034">
        <v>1016</v>
      </c>
      <c r="B2034" t="str">
        <f t="shared" si="207"/>
        <v/>
      </c>
      <c r="J2034">
        <v>52</v>
      </c>
      <c r="T2034">
        <v>1</v>
      </c>
      <c r="U2034" s="8">
        <f t="shared" si="203"/>
        <v>2</v>
      </c>
      <c r="AD2034" t="str">
        <f t="shared" si="202"/>
        <v>o</v>
      </c>
      <c r="AE2034" t="str">
        <f t="shared" si="206"/>
        <v>Possession</v>
      </c>
      <c r="AF2034" t="str">
        <f t="shared" si="204"/>
        <v>PuckRecovery</v>
      </c>
      <c r="AG2034" t="str">
        <f t="shared" si="205"/>
        <v/>
      </c>
      <c r="AN2034" t="str">
        <f t="shared" si="201"/>
        <v>Defensive</v>
      </c>
    </row>
    <row r="2035" spans="1:40" x14ac:dyDescent="0.2">
      <c r="A2035">
        <v>1017</v>
      </c>
      <c r="B2035">
        <v>171</v>
      </c>
      <c r="E2035" s="5" t="s">
        <v>887</v>
      </c>
      <c r="F2035" s="5" t="s">
        <v>870</v>
      </c>
      <c r="I2035" t="s">
        <v>840</v>
      </c>
      <c r="J2035">
        <v>13</v>
      </c>
      <c r="K2035">
        <v>1</v>
      </c>
      <c r="L2035" t="s">
        <v>401</v>
      </c>
      <c r="M2035" t="s">
        <v>8</v>
      </c>
      <c r="N2035" t="s">
        <v>199</v>
      </c>
      <c r="O2035" t="s">
        <v>478</v>
      </c>
      <c r="P2035" t="s">
        <v>688</v>
      </c>
      <c r="U2035" s="8">
        <f t="shared" si="203"/>
        <v>2</v>
      </c>
      <c r="AD2035" t="str">
        <f t="shared" si="202"/>
        <v>e</v>
      </c>
      <c r="AE2035" t="str">
        <f t="shared" si="206"/>
        <v>Pass</v>
      </c>
      <c r="AF2035" t="str">
        <f t="shared" si="204"/>
        <v>Pass_Missed</v>
      </c>
      <c r="AG2035" t="str">
        <f t="shared" si="205"/>
        <v>Pass-ReceiverMissed</v>
      </c>
      <c r="AN2035" t="str">
        <f t="shared" si="201"/>
        <v>Offensive</v>
      </c>
    </row>
    <row r="2036" spans="1:40" x14ac:dyDescent="0.2">
      <c r="A2036">
        <v>1017</v>
      </c>
      <c r="B2036">
        <f t="shared" si="207"/>
        <v>171</v>
      </c>
      <c r="J2036">
        <v>83</v>
      </c>
      <c r="K2036">
        <v>1</v>
      </c>
      <c r="Q2036" t="s">
        <v>687</v>
      </c>
      <c r="S2036" t="s">
        <v>688</v>
      </c>
      <c r="U2036" s="8">
        <f t="shared" si="203"/>
        <v>2</v>
      </c>
      <c r="AD2036" t="str">
        <f t="shared" si="202"/>
        <v>e</v>
      </c>
      <c r="AE2036" t="str">
        <f t="shared" si="206"/>
        <v>Pass</v>
      </c>
      <c r="AF2036" t="str">
        <f t="shared" si="204"/>
        <v>Pass_Missed</v>
      </c>
      <c r="AG2036" t="str">
        <f t="shared" si="205"/>
        <v>Pass-ReceiverMissed</v>
      </c>
      <c r="AN2036" t="str">
        <f t="shared" si="201"/>
        <v>Offensive</v>
      </c>
    </row>
    <row r="2037" spans="1:40" x14ac:dyDescent="0.2">
      <c r="A2037">
        <v>1018</v>
      </c>
      <c r="B2037">
        <v>171</v>
      </c>
      <c r="I2037" t="s">
        <v>840</v>
      </c>
      <c r="J2037">
        <v>13</v>
      </c>
      <c r="K2037">
        <v>1</v>
      </c>
      <c r="L2037" t="s">
        <v>401</v>
      </c>
      <c r="M2037" t="s">
        <v>10</v>
      </c>
      <c r="N2037" t="s">
        <v>190</v>
      </c>
      <c r="O2037" t="s">
        <v>76</v>
      </c>
      <c r="P2037" t="s">
        <v>688</v>
      </c>
      <c r="U2037" s="8">
        <f t="shared" si="203"/>
        <v>2</v>
      </c>
      <c r="AD2037" t="str">
        <f t="shared" si="202"/>
        <v>e</v>
      </c>
      <c r="AE2037" t="str">
        <f t="shared" si="206"/>
        <v>Turnover</v>
      </c>
      <c r="AF2037" t="str">
        <f t="shared" si="204"/>
        <v>Turnover_Giveaway</v>
      </c>
      <c r="AG2037" t="str">
        <f t="shared" si="205"/>
        <v>Giveaway-PassMissed</v>
      </c>
      <c r="AN2037" t="str">
        <f t="shared" si="201"/>
        <v>Offensive</v>
      </c>
    </row>
    <row r="2038" spans="1:40" x14ac:dyDescent="0.2">
      <c r="A2038">
        <v>1018</v>
      </c>
      <c r="B2038">
        <f t="shared" si="207"/>
        <v>171</v>
      </c>
      <c r="J2038">
        <v>83</v>
      </c>
      <c r="K2038">
        <v>1</v>
      </c>
      <c r="U2038" s="8">
        <f t="shared" si="203"/>
        <v>2</v>
      </c>
      <c r="AD2038" t="str">
        <f t="shared" si="202"/>
        <v>e</v>
      </c>
      <c r="AE2038" t="str">
        <f t="shared" si="206"/>
        <v>Turnover</v>
      </c>
      <c r="AF2038" t="str">
        <f t="shared" si="204"/>
        <v>Turnover_Giveaway</v>
      </c>
      <c r="AG2038" t="str">
        <f t="shared" si="205"/>
        <v>Giveaway-PassMissed</v>
      </c>
      <c r="AN2038" t="str">
        <f t="shared" si="201"/>
        <v>Offensive</v>
      </c>
    </row>
    <row r="2039" spans="1:40" x14ac:dyDescent="0.2">
      <c r="A2039">
        <v>1019</v>
      </c>
      <c r="B2039">
        <v>171</v>
      </c>
      <c r="I2039" t="s">
        <v>835</v>
      </c>
      <c r="K2039">
        <v>1</v>
      </c>
      <c r="L2039" t="s">
        <v>845</v>
      </c>
      <c r="M2039" t="s">
        <v>257</v>
      </c>
      <c r="N2039" t="s">
        <v>201</v>
      </c>
      <c r="O2039" t="s">
        <v>411</v>
      </c>
      <c r="U2039" s="8">
        <f t="shared" si="203"/>
        <v>2</v>
      </c>
      <c r="AD2039" t="str">
        <f t="shared" si="202"/>
        <v>e</v>
      </c>
      <c r="AE2039" t="str">
        <f t="shared" si="206"/>
        <v>Zone_Entry_Exit</v>
      </c>
      <c r="AF2039" t="str">
        <f t="shared" si="204"/>
        <v>Zone_Exit</v>
      </c>
      <c r="AG2039" t="str">
        <f t="shared" si="205"/>
        <v>ZoneExit-OppTeam</v>
      </c>
      <c r="AN2039" t="str">
        <f t="shared" si="201"/>
        <v>Offensive</v>
      </c>
    </row>
    <row r="2040" spans="1:40" x14ac:dyDescent="0.2">
      <c r="A2040">
        <v>1020</v>
      </c>
      <c r="B2040" t="str">
        <f t="shared" si="207"/>
        <v/>
      </c>
      <c r="E2040" s="5" t="s">
        <v>910</v>
      </c>
      <c r="F2040" s="5" t="s">
        <v>873</v>
      </c>
      <c r="I2040" t="s">
        <v>840</v>
      </c>
      <c r="J2040">
        <v>83</v>
      </c>
      <c r="K2040">
        <v>1</v>
      </c>
      <c r="L2040" t="s">
        <v>839</v>
      </c>
      <c r="M2040" t="s">
        <v>15</v>
      </c>
      <c r="N2040" t="s">
        <v>681</v>
      </c>
      <c r="P2040" t="s">
        <v>689</v>
      </c>
      <c r="Q2040" t="s">
        <v>676</v>
      </c>
      <c r="S2040" t="s">
        <v>689</v>
      </c>
      <c r="U2040" s="8">
        <f t="shared" si="203"/>
        <v>2</v>
      </c>
      <c r="AD2040" t="str">
        <f t="shared" si="202"/>
        <v>e</v>
      </c>
      <c r="AE2040" t="str">
        <f t="shared" si="206"/>
        <v>Possession</v>
      </c>
      <c r="AF2040" t="str">
        <f t="shared" si="204"/>
        <v>PuckRecovery</v>
      </c>
      <c r="AG2040" t="str">
        <f t="shared" si="205"/>
        <v/>
      </c>
      <c r="AN2040" t="str">
        <f t="shared" si="201"/>
        <v>Offensive</v>
      </c>
    </row>
    <row r="2041" spans="1:40" x14ac:dyDescent="0.2">
      <c r="A2041">
        <v>1021</v>
      </c>
      <c r="B2041" t="str">
        <f t="shared" si="207"/>
        <v/>
      </c>
      <c r="E2041" s="5" t="s">
        <v>910</v>
      </c>
      <c r="F2041" s="5" t="s">
        <v>873</v>
      </c>
      <c r="I2041" t="s">
        <v>840</v>
      </c>
      <c r="J2041">
        <v>83</v>
      </c>
      <c r="K2041">
        <v>1</v>
      </c>
      <c r="L2041" t="s">
        <v>839</v>
      </c>
      <c r="M2041" t="s">
        <v>8</v>
      </c>
      <c r="N2041" t="s">
        <v>189</v>
      </c>
      <c r="O2041" t="s">
        <v>70</v>
      </c>
      <c r="P2041" t="s">
        <v>689</v>
      </c>
      <c r="Q2041" t="s">
        <v>669</v>
      </c>
      <c r="S2041" t="s">
        <v>689</v>
      </c>
      <c r="U2041" s="8">
        <f t="shared" si="203"/>
        <v>2</v>
      </c>
      <c r="AD2041" t="str">
        <f t="shared" si="202"/>
        <v>e</v>
      </c>
      <c r="AE2041" t="str">
        <f t="shared" si="206"/>
        <v>Pass</v>
      </c>
      <c r="AF2041" t="str">
        <f t="shared" si="204"/>
        <v>Pass_Completed</v>
      </c>
      <c r="AG2041" t="str">
        <f t="shared" si="205"/>
        <v>Pass-Forehand</v>
      </c>
      <c r="AN2041" t="str">
        <f t="shared" ref="AN2041:AN2104" si="208">IF(AND(AD2041="e",OR(AE2041="Save",AF2041="Turnover_Takeaway",AF2041="Play_Defensive")),"Defensive",IF(AND(AD2041="o",OR(AE2041="Save",AF2041="Turnover_Takeaway",AF2041="Play_Defensive")),"Offensive",IF(OR(AE2041="Deadice",AE2041="Stoppage",AE2041="Intermission"),"",IF(AD2041="e","Offensive",IF(AD2041="o","Defensive","")))))</f>
        <v>Offensive</v>
      </c>
    </row>
    <row r="2042" spans="1:40" x14ac:dyDescent="0.2">
      <c r="A2042">
        <v>1021</v>
      </c>
      <c r="B2042" t="str">
        <f t="shared" si="207"/>
        <v/>
      </c>
      <c r="J2042">
        <v>13</v>
      </c>
      <c r="U2042" s="8">
        <f t="shared" si="203"/>
        <v>2</v>
      </c>
      <c r="AD2042" t="str">
        <f t="shared" si="202"/>
        <v>o</v>
      </c>
      <c r="AE2042" t="str">
        <f t="shared" si="206"/>
        <v>Pass</v>
      </c>
      <c r="AF2042" t="str">
        <f t="shared" si="204"/>
        <v>Pass_Completed</v>
      </c>
      <c r="AG2042" t="str">
        <f t="shared" si="205"/>
        <v>Pass-Forehand</v>
      </c>
      <c r="AN2042" t="str">
        <f t="shared" si="208"/>
        <v>Defensive</v>
      </c>
    </row>
    <row r="2043" spans="1:40" x14ac:dyDescent="0.2">
      <c r="A2043">
        <v>1022</v>
      </c>
      <c r="B2043" t="str">
        <f t="shared" si="207"/>
        <v/>
      </c>
      <c r="E2043" s="5" t="s">
        <v>910</v>
      </c>
      <c r="F2043" s="5" t="s">
        <v>838</v>
      </c>
      <c r="G2043" s="5" t="s">
        <v>910</v>
      </c>
      <c r="H2043" s="7" t="s">
        <v>874</v>
      </c>
      <c r="I2043" t="s">
        <v>840</v>
      </c>
      <c r="J2043">
        <v>13</v>
      </c>
      <c r="K2043">
        <v>1</v>
      </c>
      <c r="L2043" t="s">
        <v>839</v>
      </c>
      <c r="M2043" t="s">
        <v>15</v>
      </c>
      <c r="N2043" t="s">
        <v>667</v>
      </c>
      <c r="T2043">
        <v>1</v>
      </c>
      <c r="U2043" s="8">
        <f t="shared" si="203"/>
        <v>2</v>
      </c>
      <c r="AD2043" t="str">
        <f t="shared" si="202"/>
        <v>e</v>
      </c>
      <c r="AE2043" t="str">
        <f t="shared" si="206"/>
        <v>Possession</v>
      </c>
      <c r="AF2043" t="str">
        <f t="shared" si="204"/>
        <v>Regroup</v>
      </c>
      <c r="AG2043" t="str">
        <f t="shared" si="205"/>
        <v/>
      </c>
      <c r="AN2043" t="str">
        <f t="shared" si="208"/>
        <v>Offensive</v>
      </c>
    </row>
    <row r="2044" spans="1:40" x14ac:dyDescent="0.2">
      <c r="A2044">
        <v>1022</v>
      </c>
      <c r="B2044" t="str">
        <f t="shared" si="207"/>
        <v/>
      </c>
      <c r="J2044">
        <v>70</v>
      </c>
      <c r="Q2044" t="s">
        <v>658</v>
      </c>
      <c r="T2044">
        <v>1</v>
      </c>
      <c r="U2044" s="8">
        <f t="shared" si="203"/>
        <v>2</v>
      </c>
      <c r="AD2044" t="str">
        <f t="shared" si="202"/>
        <v>o</v>
      </c>
      <c r="AE2044" t="str">
        <f t="shared" si="206"/>
        <v>Possession</v>
      </c>
      <c r="AF2044" t="str">
        <f t="shared" si="204"/>
        <v>Regroup</v>
      </c>
      <c r="AG2044" t="str">
        <f t="shared" si="205"/>
        <v/>
      </c>
      <c r="AN2044" t="str">
        <f t="shared" si="208"/>
        <v>Defensive</v>
      </c>
    </row>
    <row r="2045" spans="1:40" x14ac:dyDescent="0.2">
      <c r="A2045">
        <v>1023</v>
      </c>
      <c r="B2045" t="str">
        <f t="shared" si="207"/>
        <v/>
      </c>
      <c r="E2045" s="5" t="s">
        <v>910</v>
      </c>
      <c r="F2045" s="5" t="s">
        <v>874</v>
      </c>
      <c r="G2045" s="5" t="s">
        <v>910</v>
      </c>
      <c r="H2045" s="7" t="s">
        <v>886</v>
      </c>
      <c r="I2045" s="5" t="s">
        <v>840</v>
      </c>
      <c r="J2045">
        <v>13</v>
      </c>
      <c r="K2045">
        <v>1</v>
      </c>
      <c r="L2045" s="5" t="s">
        <v>839</v>
      </c>
      <c r="M2045" t="s">
        <v>15</v>
      </c>
      <c r="Q2045" t="s">
        <v>146</v>
      </c>
      <c r="S2045" t="s">
        <v>689</v>
      </c>
      <c r="T2045">
        <v>1</v>
      </c>
      <c r="U2045" s="8">
        <f t="shared" si="203"/>
        <v>2</v>
      </c>
      <c r="AD2045" t="str">
        <f t="shared" si="202"/>
        <v>e</v>
      </c>
      <c r="AE2045" t="str">
        <f t="shared" si="206"/>
        <v>Possession</v>
      </c>
      <c r="AF2045" t="str">
        <f t="shared" si="204"/>
        <v/>
      </c>
      <c r="AG2045" t="str">
        <f t="shared" si="205"/>
        <v/>
      </c>
      <c r="AN2045" t="str">
        <f t="shared" si="208"/>
        <v>Offensive</v>
      </c>
    </row>
    <row r="2046" spans="1:40" x14ac:dyDescent="0.2">
      <c r="A2046">
        <v>1023</v>
      </c>
      <c r="B2046" t="str">
        <f t="shared" si="207"/>
        <v/>
      </c>
      <c r="J2046">
        <v>70</v>
      </c>
      <c r="Q2046" t="s">
        <v>658</v>
      </c>
      <c r="T2046">
        <v>1</v>
      </c>
      <c r="U2046" s="8">
        <f t="shared" si="203"/>
        <v>2</v>
      </c>
      <c r="AD2046" t="str">
        <f t="shared" si="202"/>
        <v>o</v>
      </c>
      <c r="AE2046" t="str">
        <f t="shared" si="206"/>
        <v>Possession</v>
      </c>
      <c r="AF2046" t="str">
        <f t="shared" si="204"/>
        <v/>
      </c>
      <c r="AG2046" t="str">
        <f t="shared" si="205"/>
        <v/>
      </c>
      <c r="AN2046" t="str">
        <f t="shared" si="208"/>
        <v>Defensive</v>
      </c>
    </row>
    <row r="2047" spans="1:40" x14ac:dyDescent="0.2">
      <c r="A2047">
        <v>1023</v>
      </c>
      <c r="B2047" t="str">
        <f t="shared" si="207"/>
        <v/>
      </c>
      <c r="J2047">
        <v>75</v>
      </c>
      <c r="Q2047" t="s">
        <v>658</v>
      </c>
      <c r="T2047">
        <v>1</v>
      </c>
      <c r="U2047" s="8">
        <f t="shared" si="203"/>
        <v>2</v>
      </c>
      <c r="AD2047" t="str">
        <f t="shared" si="202"/>
        <v>o</v>
      </c>
      <c r="AE2047" t="str">
        <f t="shared" si="206"/>
        <v>Possession</v>
      </c>
      <c r="AF2047" t="str">
        <f t="shared" si="204"/>
        <v/>
      </c>
      <c r="AG2047" t="str">
        <f t="shared" si="205"/>
        <v/>
      </c>
      <c r="AN2047" t="str">
        <f t="shared" si="208"/>
        <v>Defensive</v>
      </c>
    </row>
    <row r="2048" spans="1:40" x14ac:dyDescent="0.2">
      <c r="A2048">
        <v>1024</v>
      </c>
      <c r="B2048" t="str">
        <f t="shared" si="207"/>
        <v/>
      </c>
      <c r="E2048" s="5" t="s">
        <v>910</v>
      </c>
      <c r="F2048" s="5" t="s">
        <v>886</v>
      </c>
      <c r="G2048" s="5" t="s">
        <v>910</v>
      </c>
      <c r="H2048" s="7" t="s">
        <v>876</v>
      </c>
      <c r="I2048" t="s">
        <v>840</v>
      </c>
      <c r="J2048">
        <v>13</v>
      </c>
      <c r="K2048">
        <v>1</v>
      </c>
      <c r="L2048" t="s">
        <v>401</v>
      </c>
      <c r="M2048" t="s">
        <v>257</v>
      </c>
      <c r="N2048" t="s">
        <v>191</v>
      </c>
      <c r="O2048" t="s">
        <v>87</v>
      </c>
      <c r="P2048" t="s">
        <v>689</v>
      </c>
      <c r="Q2048" t="s">
        <v>146</v>
      </c>
      <c r="T2048">
        <v>1</v>
      </c>
      <c r="U2048" s="8">
        <f t="shared" si="203"/>
        <v>2</v>
      </c>
      <c r="AD2048" t="str">
        <f t="shared" si="202"/>
        <v>e</v>
      </c>
      <c r="AE2048" t="str">
        <f t="shared" si="206"/>
        <v>Zone_Entry_Exit</v>
      </c>
      <c r="AF2048" t="str">
        <f t="shared" si="204"/>
        <v>Zone_Entry</v>
      </c>
      <c r="AG2048" t="str">
        <f t="shared" si="205"/>
        <v>ZoneEntry-Rush</v>
      </c>
      <c r="AN2048" t="str">
        <f t="shared" si="208"/>
        <v>Offensive</v>
      </c>
    </row>
    <row r="2049" spans="1:40" x14ac:dyDescent="0.2">
      <c r="A2049">
        <v>1024</v>
      </c>
      <c r="B2049" t="str">
        <f t="shared" si="207"/>
        <v/>
      </c>
      <c r="J2049">
        <v>70</v>
      </c>
      <c r="Q2049" t="s">
        <v>658</v>
      </c>
      <c r="T2049">
        <v>1</v>
      </c>
      <c r="U2049" s="8">
        <f t="shared" si="203"/>
        <v>2</v>
      </c>
      <c r="AD2049" t="str">
        <f t="shared" si="202"/>
        <v>o</v>
      </c>
      <c r="AE2049" t="str">
        <f t="shared" si="206"/>
        <v>Zone_Entry_Exit</v>
      </c>
      <c r="AF2049" t="str">
        <f t="shared" si="204"/>
        <v>Zone_Entry</v>
      </c>
      <c r="AG2049" t="str">
        <f t="shared" si="205"/>
        <v>ZoneEntry-Rush</v>
      </c>
      <c r="AN2049" t="str">
        <f t="shared" si="208"/>
        <v>Defensive</v>
      </c>
    </row>
    <row r="2050" spans="1:40" x14ac:dyDescent="0.2">
      <c r="A2050">
        <v>1024</v>
      </c>
      <c r="B2050" t="str">
        <f t="shared" si="207"/>
        <v/>
      </c>
      <c r="J2050">
        <v>9</v>
      </c>
      <c r="Q2050" t="s">
        <v>936</v>
      </c>
      <c r="U2050" s="8">
        <f t="shared" si="203"/>
        <v>2</v>
      </c>
      <c r="AD2050" t="str">
        <f t="shared" ref="AD2050:AD2113" si="209">IF(K2050="x","",IF(K2050=1,"e","o"))</f>
        <v>o</v>
      </c>
      <c r="AE2050" t="str">
        <f t="shared" si="206"/>
        <v>Zone_Entry_Exit</v>
      </c>
      <c r="AF2050" t="str">
        <f t="shared" si="204"/>
        <v>Zone_Entry</v>
      </c>
      <c r="AG2050" t="str">
        <f t="shared" si="205"/>
        <v>ZoneEntry-Rush</v>
      </c>
      <c r="AN2050" t="str">
        <f t="shared" si="208"/>
        <v>Defensive</v>
      </c>
    </row>
    <row r="2051" spans="1:40" x14ac:dyDescent="0.2">
      <c r="A2051">
        <v>1025</v>
      </c>
      <c r="B2051" t="str">
        <f t="shared" si="207"/>
        <v/>
      </c>
      <c r="E2051" s="5" t="s">
        <v>910</v>
      </c>
      <c r="F2051" s="5" t="s">
        <v>876</v>
      </c>
      <c r="I2051" t="s">
        <v>840</v>
      </c>
      <c r="J2051">
        <v>13</v>
      </c>
      <c r="K2051">
        <v>1</v>
      </c>
      <c r="L2051" t="s">
        <v>401</v>
      </c>
      <c r="M2051" t="s">
        <v>7</v>
      </c>
      <c r="N2051" t="s">
        <v>198</v>
      </c>
      <c r="O2051" t="s">
        <v>53</v>
      </c>
      <c r="P2051" t="s">
        <v>688</v>
      </c>
      <c r="T2051">
        <v>1</v>
      </c>
      <c r="U2051" s="8">
        <f t="shared" ref="U2051:U2114" si="210">IF(M2051="Intermission",U2050+1,U2050)</f>
        <v>2</v>
      </c>
      <c r="AD2051" t="str">
        <f t="shared" si="209"/>
        <v>e</v>
      </c>
      <c r="AE2051" t="str">
        <f t="shared" si="206"/>
        <v>Shot</v>
      </c>
      <c r="AF2051" t="str">
        <f t="shared" ref="AF2051:AF2114" si="211">IF(N2051&lt;&gt;"",N2051,IF($A2051=$A2050,AF2050,""))</f>
        <v>Shot_Missed</v>
      </c>
      <c r="AG2051" t="str">
        <f t="shared" ref="AG2051:AG2114" si="212">IF(O2051&lt;&gt;"",O2051,IF($A2051=$A2050,AG2050,""))</f>
        <v>Shot-Wrist</v>
      </c>
      <c r="AN2051" t="str">
        <f t="shared" si="208"/>
        <v>Offensive</v>
      </c>
    </row>
    <row r="2052" spans="1:40" x14ac:dyDescent="0.2">
      <c r="A2052">
        <v>1025</v>
      </c>
      <c r="B2052" t="str">
        <f t="shared" si="207"/>
        <v/>
      </c>
      <c r="J2052">
        <v>9</v>
      </c>
      <c r="Q2052" t="s">
        <v>657</v>
      </c>
      <c r="R2052" t="s">
        <v>950</v>
      </c>
      <c r="U2052" s="8">
        <f t="shared" si="210"/>
        <v>2</v>
      </c>
      <c r="AD2052" t="str">
        <f t="shared" si="209"/>
        <v>o</v>
      </c>
      <c r="AE2052" t="str">
        <f t="shared" ref="AE2052:AE2115" si="213">IF(M2052&lt;&gt;"",M2052,IF($A2052=$A2051,AE2051,""))</f>
        <v>Shot</v>
      </c>
      <c r="AF2052" t="str">
        <f t="shared" si="211"/>
        <v>Shot_Missed</v>
      </c>
      <c r="AG2052" t="str">
        <f t="shared" si="212"/>
        <v>Shot-Wrist</v>
      </c>
      <c r="AN2052" t="str">
        <f t="shared" si="208"/>
        <v>Defensive</v>
      </c>
    </row>
    <row r="2053" spans="1:40" x14ac:dyDescent="0.2">
      <c r="A2053">
        <v>1025</v>
      </c>
      <c r="B2053" t="str">
        <f t="shared" si="207"/>
        <v/>
      </c>
      <c r="J2053">
        <v>70</v>
      </c>
      <c r="Q2053" t="s">
        <v>658</v>
      </c>
      <c r="T2053">
        <v>1</v>
      </c>
      <c r="U2053" s="8">
        <f t="shared" si="210"/>
        <v>2</v>
      </c>
      <c r="AD2053" t="str">
        <f t="shared" si="209"/>
        <v>o</v>
      </c>
      <c r="AE2053" t="str">
        <f t="shared" si="213"/>
        <v>Shot</v>
      </c>
      <c r="AF2053" t="str">
        <f t="shared" si="211"/>
        <v>Shot_Missed</v>
      </c>
      <c r="AG2053" t="str">
        <f t="shared" si="212"/>
        <v>Shot-Wrist</v>
      </c>
      <c r="AN2053" t="str">
        <f t="shared" si="208"/>
        <v>Defensive</v>
      </c>
    </row>
    <row r="2054" spans="1:40" x14ac:dyDescent="0.2">
      <c r="A2054">
        <v>1026</v>
      </c>
      <c r="B2054" t="str">
        <f t="shared" si="207"/>
        <v/>
      </c>
      <c r="E2054" s="5" t="s">
        <v>910</v>
      </c>
      <c r="F2054" s="5" t="s">
        <v>889</v>
      </c>
      <c r="I2054" t="s">
        <v>840</v>
      </c>
      <c r="J2054">
        <v>13</v>
      </c>
      <c r="K2054">
        <v>1</v>
      </c>
      <c r="L2054" t="s">
        <v>401</v>
      </c>
      <c r="M2054" t="s">
        <v>15</v>
      </c>
      <c r="N2054" t="s">
        <v>681</v>
      </c>
      <c r="P2054" t="s">
        <v>689</v>
      </c>
      <c r="Q2054" t="s">
        <v>673</v>
      </c>
      <c r="S2054" t="s">
        <v>689</v>
      </c>
      <c r="T2054">
        <v>1</v>
      </c>
      <c r="U2054" s="8">
        <f t="shared" si="210"/>
        <v>2</v>
      </c>
      <c r="AD2054" t="str">
        <f t="shared" si="209"/>
        <v>e</v>
      </c>
      <c r="AE2054" t="str">
        <f t="shared" si="213"/>
        <v>Possession</v>
      </c>
      <c r="AF2054" t="str">
        <f t="shared" si="211"/>
        <v>PuckRecovery</v>
      </c>
      <c r="AG2054" t="str">
        <f t="shared" si="212"/>
        <v/>
      </c>
      <c r="AN2054" t="str">
        <f t="shared" si="208"/>
        <v>Offensive</v>
      </c>
    </row>
    <row r="2055" spans="1:40" x14ac:dyDescent="0.2">
      <c r="A2055">
        <v>1026</v>
      </c>
      <c r="B2055" t="str">
        <f t="shared" si="207"/>
        <v/>
      </c>
      <c r="J2055">
        <v>5</v>
      </c>
      <c r="K2055">
        <v>1</v>
      </c>
      <c r="Q2055" t="s">
        <v>673</v>
      </c>
      <c r="T2055">
        <v>1</v>
      </c>
      <c r="U2055" s="8">
        <f t="shared" si="210"/>
        <v>2</v>
      </c>
      <c r="AD2055" t="str">
        <f t="shared" si="209"/>
        <v>e</v>
      </c>
      <c r="AE2055" t="str">
        <f t="shared" si="213"/>
        <v>Possession</v>
      </c>
      <c r="AF2055" t="str">
        <f t="shared" si="211"/>
        <v>PuckRecovery</v>
      </c>
      <c r="AG2055" t="str">
        <f t="shared" si="212"/>
        <v/>
      </c>
      <c r="AN2055" t="str">
        <f t="shared" si="208"/>
        <v>Offensive</v>
      </c>
    </row>
    <row r="2056" spans="1:40" x14ac:dyDescent="0.2">
      <c r="A2056">
        <v>1026</v>
      </c>
      <c r="B2056" t="str">
        <f t="shared" si="207"/>
        <v/>
      </c>
      <c r="J2056">
        <v>52</v>
      </c>
      <c r="Q2056" t="s">
        <v>632</v>
      </c>
      <c r="T2056">
        <v>1</v>
      </c>
      <c r="U2056" s="8">
        <f t="shared" si="210"/>
        <v>2</v>
      </c>
      <c r="AD2056" t="str">
        <f t="shared" si="209"/>
        <v>o</v>
      </c>
      <c r="AE2056" t="str">
        <f t="shared" si="213"/>
        <v>Possession</v>
      </c>
      <c r="AF2056" t="str">
        <f t="shared" si="211"/>
        <v>PuckRecovery</v>
      </c>
      <c r="AG2056" t="str">
        <f t="shared" si="212"/>
        <v/>
      </c>
      <c r="AN2056" t="str">
        <f t="shared" si="208"/>
        <v>Defensive</v>
      </c>
    </row>
    <row r="2057" spans="1:40" x14ac:dyDescent="0.2">
      <c r="A2057">
        <v>1027</v>
      </c>
      <c r="B2057" t="str">
        <f t="shared" si="207"/>
        <v/>
      </c>
      <c r="E2057" s="5" t="s">
        <v>910</v>
      </c>
      <c r="F2057" s="5" t="s">
        <v>848</v>
      </c>
      <c r="I2057" t="s">
        <v>840</v>
      </c>
      <c r="J2057">
        <v>13</v>
      </c>
      <c r="K2057">
        <v>1</v>
      </c>
      <c r="L2057" t="s">
        <v>401</v>
      </c>
      <c r="M2057" t="s">
        <v>8</v>
      </c>
      <c r="N2057" t="s">
        <v>189</v>
      </c>
      <c r="O2057" t="s">
        <v>70</v>
      </c>
      <c r="P2057" t="s">
        <v>689</v>
      </c>
      <c r="Q2057" t="s">
        <v>669</v>
      </c>
      <c r="S2057" t="s">
        <v>689</v>
      </c>
      <c r="T2057">
        <v>1</v>
      </c>
      <c r="U2057" s="8">
        <f t="shared" si="210"/>
        <v>2</v>
      </c>
      <c r="AD2057" t="str">
        <f t="shared" si="209"/>
        <v>e</v>
      </c>
      <c r="AE2057" t="str">
        <f t="shared" si="213"/>
        <v>Pass</v>
      </c>
      <c r="AF2057" t="str">
        <f t="shared" si="211"/>
        <v>Pass_Completed</v>
      </c>
      <c r="AG2057" t="str">
        <f t="shared" si="212"/>
        <v>Pass-Forehand</v>
      </c>
      <c r="AN2057" t="str">
        <f t="shared" si="208"/>
        <v>Offensive</v>
      </c>
    </row>
    <row r="2058" spans="1:40" x14ac:dyDescent="0.2">
      <c r="A2058">
        <v>1027</v>
      </c>
      <c r="B2058" t="str">
        <f t="shared" si="207"/>
        <v/>
      </c>
      <c r="J2058">
        <v>5</v>
      </c>
      <c r="K2058">
        <v>1</v>
      </c>
      <c r="U2058" s="8">
        <f t="shared" si="210"/>
        <v>2</v>
      </c>
      <c r="AD2058" t="str">
        <f t="shared" si="209"/>
        <v>e</v>
      </c>
      <c r="AE2058" t="str">
        <f t="shared" si="213"/>
        <v>Pass</v>
      </c>
      <c r="AF2058" t="str">
        <f t="shared" si="211"/>
        <v>Pass_Completed</v>
      </c>
      <c r="AG2058" t="str">
        <f t="shared" si="212"/>
        <v>Pass-Forehand</v>
      </c>
      <c r="AN2058" t="str">
        <f t="shared" si="208"/>
        <v>Offensive</v>
      </c>
    </row>
    <row r="2059" spans="1:40" x14ac:dyDescent="0.2">
      <c r="A2059">
        <v>1027</v>
      </c>
      <c r="B2059" t="str">
        <f t="shared" si="207"/>
        <v/>
      </c>
      <c r="J2059">
        <v>52</v>
      </c>
      <c r="T2059">
        <v>1</v>
      </c>
      <c r="U2059" s="8">
        <f t="shared" si="210"/>
        <v>2</v>
      </c>
      <c r="AD2059" t="str">
        <f t="shared" si="209"/>
        <v>o</v>
      </c>
      <c r="AE2059" t="str">
        <f t="shared" si="213"/>
        <v>Pass</v>
      </c>
      <c r="AF2059" t="str">
        <f t="shared" si="211"/>
        <v>Pass_Completed</v>
      </c>
      <c r="AG2059" t="str">
        <f t="shared" si="212"/>
        <v>Pass-Forehand</v>
      </c>
      <c r="AN2059" t="str">
        <f t="shared" si="208"/>
        <v>Defensive</v>
      </c>
    </row>
    <row r="2060" spans="1:40" x14ac:dyDescent="0.2">
      <c r="A2060">
        <v>1028</v>
      </c>
      <c r="B2060" t="str">
        <f t="shared" si="207"/>
        <v/>
      </c>
      <c r="E2060" s="5" t="s">
        <v>910</v>
      </c>
      <c r="F2060" s="5" t="s">
        <v>848</v>
      </c>
      <c r="G2060" s="5" t="s">
        <v>910</v>
      </c>
      <c r="H2060" s="7" t="s">
        <v>879</v>
      </c>
      <c r="I2060" s="5" t="s">
        <v>840</v>
      </c>
      <c r="J2060">
        <v>5</v>
      </c>
      <c r="K2060">
        <v>1</v>
      </c>
      <c r="L2060" s="5" t="s">
        <v>401</v>
      </c>
      <c r="M2060" t="s">
        <v>15</v>
      </c>
      <c r="Q2060" t="s">
        <v>638</v>
      </c>
      <c r="R2060" t="s">
        <v>641</v>
      </c>
      <c r="S2060" t="s">
        <v>689</v>
      </c>
      <c r="T2060">
        <v>1</v>
      </c>
      <c r="U2060" s="8">
        <f t="shared" si="210"/>
        <v>2</v>
      </c>
      <c r="AD2060" t="str">
        <f t="shared" si="209"/>
        <v>e</v>
      </c>
      <c r="AE2060" t="str">
        <f t="shared" si="213"/>
        <v>Possession</v>
      </c>
      <c r="AF2060" t="str">
        <f t="shared" si="211"/>
        <v/>
      </c>
      <c r="AG2060" t="str">
        <f t="shared" si="212"/>
        <v/>
      </c>
      <c r="AN2060" t="str">
        <f t="shared" si="208"/>
        <v>Offensive</v>
      </c>
    </row>
    <row r="2061" spans="1:40" x14ac:dyDescent="0.2">
      <c r="A2061">
        <v>1028</v>
      </c>
      <c r="B2061" t="str">
        <f t="shared" si="207"/>
        <v/>
      </c>
      <c r="J2061">
        <v>52</v>
      </c>
      <c r="Q2061" t="s">
        <v>658</v>
      </c>
      <c r="T2061">
        <v>1</v>
      </c>
      <c r="U2061" s="8">
        <f t="shared" si="210"/>
        <v>2</v>
      </c>
      <c r="AD2061" t="str">
        <f t="shared" si="209"/>
        <v>o</v>
      </c>
      <c r="AE2061" t="str">
        <f t="shared" si="213"/>
        <v>Possession</v>
      </c>
      <c r="AF2061" t="str">
        <f t="shared" si="211"/>
        <v/>
      </c>
      <c r="AG2061" t="str">
        <f t="shared" si="212"/>
        <v/>
      </c>
      <c r="AN2061" t="str">
        <f t="shared" si="208"/>
        <v>Defensive</v>
      </c>
    </row>
    <row r="2062" spans="1:40" x14ac:dyDescent="0.2">
      <c r="A2062">
        <v>1029</v>
      </c>
      <c r="B2062" t="str">
        <f t="shared" si="207"/>
        <v/>
      </c>
      <c r="E2062" s="5" t="s">
        <v>910</v>
      </c>
      <c r="F2062" s="5" t="s">
        <v>879</v>
      </c>
      <c r="I2062" t="s">
        <v>835</v>
      </c>
      <c r="J2062">
        <v>52</v>
      </c>
      <c r="K2062">
        <v>1</v>
      </c>
      <c r="L2062" t="s">
        <v>845</v>
      </c>
      <c r="M2062" t="s">
        <v>10</v>
      </c>
      <c r="N2062" t="s">
        <v>200</v>
      </c>
      <c r="O2062" t="s">
        <v>82</v>
      </c>
      <c r="P2062" t="s">
        <v>689</v>
      </c>
      <c r="Q2062" t="s">
        <v>158</v>
      </c>
      <c r="S2062" t="s">
        <v>689</v>
      </c>
      <c r="T2062">
        <v>1</v>
      </c>
      <c r="U2062" s="8">
        <f t="shared" si="210"/>
        <v>2</v>
      </c>
      <c r="AD2062" t="str">
        <f t="shared" si="209"/>
        <v>e</v>
      </c>
      <c r="AE2062" t="str">
        <f t="shared" si="213"/>
        <v>Turnover</v>
      </c>
      <c r="AF2062" t="str">
        <f t="shared" si="211"/>
        <v>Turnover_Takeaway</v>
      </c>
      <c r="AG2062" t="str">
        <f t="shared" si="212"/>
        <v>Takeaway-PokeCheck</v>
      </c>
      <c r="AN2062" t="str">
        <f t="shared" si="208"/>
        <v>Defensive</v>
      </c>
    </row>
    <row r="2063" spans="1:40" x14ac:dyDescent="0.2">
      <c r="A2063">
        <v>1029</v>
      </c>
      <c r="B2063" t="str">
        <f t="shared" si="207"/>
        <v/>
      </c>
      <c r="J2063">
        <v>5</v>
      </c>
      <c r="T2063">
        <v>1</v>
      </c>
      <c r="U2063" s="8">
        <f t="shared" si="210"/>
        <v>2</v>
      </c>
      <c r="AD2063" t="str">
        <f t="shared" si="209"/>
        <v>o</v>
      </c>
      <c r="AE2063" t="str">
        <f t="shared" si="213"/>
        <v>Turnover</v>
      </c>
      <c r="AF2063" t="str">
        <f t="shared" si="211"/>
        <v>Turnover_Takeaway</v>
      </c>
      <c r="AG2063" t="str">
        <f t="shared" si="212"/>
        <v>Takeaway-PokeCheck</v>
      </c>
      <c r="AN2063" t="str">
        <f t="shared" si="208"/>
        <v>Offensive</v>
      </c>
    </row>
    <row r="2064" spans="1:40" x14ac:dyDescent="0.2">
      <c r="A2064">
        <v>1030</v>
      </c>
      <c r="B2064" t="str">
        <f t="shared" si="207"/>
        <v/>
      </c>
      <c r="E2064" s="5" t="s">
        <v>910</v>
      </c>
      <c r="F2064" s="5" t="s">
        <v>880</v>
      </c>
      <c r="I2064" t="s">
        <v>835</v>
      </c>
      <c r="J2064">
        <v>14</v>
      </c>
      <c r="K2064">
        <v>1</v>
      </c>
      <c r="L2064" t="s">
        <v>845</v>
      </c>
      <c r="M2064" t="s">
        <v>15</v>
      </c>
      <c r="N2064" t="s">
        <v>680</v>
      </c>
      <c r="P2064" t="s">
        <v>688</v>
      </c>
      <c r="Q2064" t="s">
        <v>633</v>
      </c>
      <c r="S2064" t="s">
        <v>688</v>
      </c>
      <c r="U2064" s="8">
        <f t="shared" si="210"/>
        <v>2</v>
      </c>
      <c r="AD2064" t="str">
        <f t="shared" si="209"/>
        <v>e</v>
      </c>
      <c r="AE2064" t="str">
        <f t="shared" si="213"/>
        <v>Possession</v>
      </c>
      <c r="AF2064" t="str">
        <f t="shared" si="211"/>
        <v>PuckRetrieval</v>
      </c>
      <c r="AG2064" t="str">
        <f t="shared" si="212"/>
        <v/>
      </c>
      <c r="AN2064" t="str">
        <f t="shared" si="208"/>
        <v>Offensive</v>
      </c>
    </row>
    <row r="2065" spans="1:40" x14ac:dyDescent="0.2">
      <c r="A2065">
        <v>1031</v>
      </c>
      <c r="B2065" t="str">
        <f t="shared" si="207"/>
        <v/>
      </c>
      <c r="E2065" s="5" t="s">
        <v>910</v>
      </c>
      <c r="F2065" s="5" t="s">
        <v>880</v>
      </c>
      <c r="I2065" t="s">
        <v>835</v>
      </c>
      <c r="J2065">
        <v>14</v>
      </c>
      <c r="K2065">
        <v>1</v>
      </c>
      <c r="L2065" t="s">
        <v>845</v>
      </c>
      <c r="M2065" t="s">
        <v>10</v>
      </c>
      <c r="N2065" t="s">
        <v>190</v>
      </c>
      <c r="O2065" t="s">
        <v>398</v>
      </c>
      <c r="P2065" t="s">
        <v>688</v>
      </c>
      <c r="Q2065" t="s">
        <v>931</v>
      </c>
      <c r="S2065" t="s">
        <v>688</v>
      </c>
      <c r="U2065" s="8">
        <f t="shared" si="210"/>
        <v>2</v>
      </c>
      <c r="AD2065" t="str">
        <f t="shared" si="209"/>
        <v>e</v>
      </c>
      <c r="AE2065" t="str">
        <f t="shared" si="213"/>
        <v>Turnover</v>
      </c>
      <c r="AF2065" t="str">
        <f t="shared" si="211"/>
        <v>Turnover_Giveaway</v>
      </c>
      <c r="AG2065" t="str">
        <f t="shared" si="212"/>
        <v>Giveaway-AttemptedZoneClear/Dump</v>
      </c>
      <c r="AN2065" t="str">
        <f t="shared" si="208"/>
        <v>Offensive</v>
      </c>
    </row>
    <row r="2066" spans="1:40" x14ac:dyDescent="0.2">
      <c r="A2066">
        <v>1032</v>
      </c>
      <c r="B2066" t="str">
        <f t="shared" si="207"/>
        <v/>
      </c>
      <c r="E2066" s="5" t="s">
        <v>910</v>
      </c>
      <c r="F2066" s="5" t="s">
        <v>852</v>
      </c>
      <c r="G2066" s="5" t="s">
        <v>910</v>
      </c>
      <c r="H2066" s="7" t="s">
        <v>855</v>
      </c>
      <c r="I2066" s="5" t="s">
        <v>840</v>
      </c>
      <c r="J2066">
        <v>71</v>
      </c>
      <c r="K2066">
        <v>1</v>
      </c>
      <c r="L2066" t="s">
        <v>401</v>
      </c>
      <c r="M2066" t="s">
        <v>15</v>
      </c>
      <c r="N2066" t="s">
        <v>680</v>
      </c>
      <c r="P2066" t="s">
        <v>689</v>
      </c>
      <c r="Q2066" t="s">
        <v>633</v>
      </c>
      <c r="S2066" t="s">
        <v>689</v>
      </c>
      <c r="U2066" s="8">
        <f t="shared" si="210"/>
        <v>2</v>
      </c>
      <c r="AD2066" t="str">
        <f t="shared" si="209"/>
        <v>e</v>
      </c>
      <c r="AE2066" t="str">
        <f t="shared" si="213"/>
        <v>Possession</v>
      </c>
      <c r="AF2066" t="str">
        <f t="shared" si="211"/>
        <v>PuckRetrieval</v>
      </c>
      <c r="AG2066" t="str">
        <f t="shared" si="212"/>
        <v/>
      </c>
      <c r="AN2066" t="str">
        <f t="shared" si="208"/>
        <v>Offensive</v>
      </c>
    </row>
    <row r="2067" spans="1:40" x14ac:dyDescent="0.2">
      <c r="A2067">
        <v>1033</v>
      </c>
      <c r="B2067" t="str">
        <f t="shared" si="207"/>
        <v/>
      </c>
      <c r="E2067" s="5" t="s">
        <v>910</v>
      </c>
      <c r="F2067" s="5" t="s">
        <v>855</v>
      </c>
      <c r="I2067" t="s">
        <v>840</v>
      </c>
      <c r="J2067">
        <v>71</v>
      </c>
      <c r="K2067">
        <v>1</v>
      </c>
      <c r="L2067" t="s">
        <v>401</v>
      </c>
      <c r="M2067" t="s">
        <v>8</v>
      </c>
      <c r="N2067" t="s">
        <v>189</v>
      </c>
      <c r="O2067" t="s">
        <v>70</v>
      </c>
      <c r="P2067" t="s">
        <v>689</v>
      </c>
      <c r="Q2067" t="s">
        <v>669</v>
      </c>
      <c r="S2067" t="s">
        <v>689</v>
      </c>
      <c r="U2067" s="8">
        <f t="shared" si="210"/>
        <v>2</v>
      </c>
      <c r="AD2067" t="str">
        <f t="shared" si="209"/>
        <v>e</v>
      </c>
      <c r="AE2067" t="str">
        <f t="shared" si="213"/>
        <v>Pass</v>
      </c>
      <c r="AF2067" t="str">
        <f t="shared" si="211"/>
        <v>Pass_Completed</v>
      </c>
      <c r="AG2067" t="str">
        <f t="shared" si="212"/>
        <v>Pass-Forehand</v>
      </c>
      <c r="AN2067" t="str">
        <f t="shared" si="208"/>
        <v>Offensive</v>
      </c>
    </row>
    <row r="2068" spans="1:40" x14ac:dyDescent="0.2">
      <c r="A2068">
        <v>1033</v>
      </c>
      <c r="B2068" t="str">
        <f t="shared" si="207"/>
        <v/>
      </c>
      <c r="J2068">
        <v>13</v>
      </c>
      <c r="K2068">
        <v>1</v>
      </c>
      <c r="U2068" s="8">
        <f t="shared" si="210"/>
        <v>2</v>
      </c>
      <c r="AD2068" t="str">
        <f t="shared" si="209"/>
        <v>e</v>
      </c>
      <c r="AE2068" t="str">
        <f t="shared" si="213"/>
        <v>Pass</v>
      </c>
      <c r="AF2068" t="str">
        <f t="shared" si="211"/>
        <v>Pass_Completed</v>
      </c>
      <c r="AG2068" t="str">
        <f t="shared" si="212"/>
        <v>Pass-Forehand</v>
      </c>
      <c r="AN2068" t="str">
        <f t="shared" si="208"/>
        <v>Offensive</v>
      </c>
    </row>
    <row r="2069" spans="1:40" x14ac:dyDescent="0.2">
      <c r="A2069">
        <v>1034</v>
      </c>
      <c r="B2069">
        <v>172</v>
      </c>
      <c r="E2069" s="5" t="s">
        <v>910</v>
      </c>
      <c r="F2069" s="5" t="s">
        <v>855</v>
      </c>
      <c r="I2069" t="s">
        <v>840</v>
      </c>
      <c r="J2069">
        <v>13</v>
      </c>
      <c r="K2069">
        <v>1</v>
      </c>
      <c r="L2069" t="s">
        <v>401</v>
      </c>
      <c r="M2069" t="s">
        <v>7</v>
      </c>
      <c r="N2069" t="s">
        <v>222</v>
      </c>
      <c r="O2069" t="s">
        <v>56</v>
      </c>
      <c r="P2069" t="s">
        <v>689</v>
      </c>
      <c r="U2069" s="8">
        <f t="shared" si="210"/>
        <v>2</v>
      </c>
      <c r="AD2069" t="str">
        <f t="shared" si="209"/>
        <v>e</v>
      </c>
      <c r="AE2069" t="str">
        <f t="shared" si="213"/>
        <v>Shot</v>
      </c>
      <c r="AF2069" t="str">
        <f t="shared" si="211"/>
        <v>Shot_OnNetSaved</v>
      </c>
      <c r="AG2069" t="str">
        <f t="shared" si="212"/>
        <v>Shot-Tip</v>
      </c>
      <c r="AN2069" t="str">
        <f t="shared" si="208"/>
        <v>Offensive</v>
      </c>
    </row>
    <row r="2070" spans="1:40" x14ac:dyDescent="0.2">
      <c r="A2070">
        <v>1034</v>
      </c>
      <c r="B2070">
        <f t="shared" si="207"/>
        <v>172</v>
      </c>
      <c r="J2070">
        <v>39</v>
      </c>
      <c r="U2070" s="8">
        <f t="shared" si="210"/>
        <v>2</v>
      </c>
      <c r="AD2070" t="str">
        <f t="shared" si="209"/>
        <v>o</v>
      </c>
      <c r="AE2070" t="str">
        <f t="shared" si="213"/>
        <v>Shot</v>
      </c>
      <c r="AF2070" t="str">
        <f t="shared" si="211"/>
        <v>Shot_OnNetSaved</v>
      </c>
      <c r="AG2070" t="str">
        <f t="shared" si="212"/>
        <v>Shot-Tip</v>
      </c>
      <c r="AN2070" t="str">
        <f t="shared" si="208"/>
        <v>Defensive</v>
      </c>
    </row>
    <row r="2071" spans="1:40" x14ac:dyDescent="0.2">
      <c r="A2071">
        <v>1035</v>
      </c>
      <c r="B2071">
        <v>172</v>
      </c>
      <c r="I2071" t="s">
        <v>835</v>
      </c>
      <c r="J2071">
        <v>39</v>
      </c>
      <c r="K2071">
        <v>1</v>
      </c>
      <c r="L2071" t="s">
        <v>845</v>
      </c>
      <c r="M2071" t="s">
        <v>17</v>
      </c>
      <c r="N2071" t="s">
        <v>206</v>
      </c>
      <c r="O2071" t="s">
        <v>102</v>
      </c>
      <c r="U2071" s="8">
        <f t="shared" si="210"/>
        <v>2</v>
      </c>
      <c r="AD2071" t="str">
        <f t="shared" si="209"/>
        <v>e</v>
      </c>
      <c r="AE2071" t="str">
        <f t="shared" si="213"/>
        <v>Save</v>
      </c>
      <c r="AF2071" t="str">
        <f t="shared" si="211"/>
        <v>Save_Freeze</v>
      </c>
      <c r="AG2071" t="str">
        <f t="shared" si="212"/>
        <v>Save-Butterfly</v>
      </c>
      <c r="AN2071" t="str">
        <f t="shared" si="208"/>
        <v>Defensive</v>
      </c>
    </row>
    <row r="2072" spans="1:40" x14ac:dyDescent="0.2">
      <c r="A2072">
        <v>1035</v>
      </c>
      <c r="B2072">
        <f t="shared" si="207"/>
        <v>172</v>
      </c>
      <c r="J2072">
        <v>13</v>
      </c>
      <c r="U2072" s="8">
        <f t="shared" si="210"/>
        <v>2</v>
      </c>
      <c r="AD2072" t="str">
        <f t="shared" si="209"/>
        <v>o</v>
      </c>
      <c r="AE2072" t="str">
        <f t="shared" si="213"/>
        <v>Save</v>
      </c>
      <c r="AF2072" t="str">
        <f t="shared" si="211"/>
        <v>Save_Freeze</v>
      </c>
      <c r="AG2072" t="str">
        <f t="shared" si="212"/>
        <v>Save-Butterfly</v>
      </c>
      <c r="AN2072" t="str">
        <f t="shared" si="208"/>
        <v>Offensive</v>
      </c>
    </row>
    <row r="2073" spans="1:40" x14ac:dyDescent="0.2">
      <c r="A2073">
        <v>1036</v>
      </c>
      <c r="B2073">
        <v>172</v>
      </c>
      <c r="I2073" t="s">
        <v>835</v>
      </c>
      <c r="J2073">
        <v>39</v>
      </c>
      <c r="K2073">
        <v>1</v>
      </c>
      <c r="L2073" t="s">
        <v>845</v>
      </c>
      <c r="M2073" t="s">
        <v>13</v>
      </c>
      <c r="N2073" t="s">
        <v>204</v>
      </c>
      <c r="O2073" t="s">
        <v>110</v>
      </c>
      <c r="U2073" s="8">
        <f t="shared" si="210"/>
        <v>2</v>
      </c>
      <c r="AD2073" t="str">
        <f t="shared" si="209"/>
        <v>e</v>
      </c>
      <c r="AE2073" t="str">
        <f t="shared" si="213"/>
        <v>Stoppage</v>
      </c>
      <c r="AF2073" t="str">
        <f t="shared" si="211"/>
        <v>Stoppage_Play</v>
      </c>
      <c r="AG2073" t="str">
        <f t="shared" si="212"/>
        <v>Stoppage-GoalieStoppage</v>
      </c>
      <c r="AN2073" t="str">
        <f t="shared" si="208"/>
        <v/>
      </c>
    </row>
    <row r="2074" spans="1:40" x14ac:dyDescent="0.2">
      <c r="A2074">
        <v>1037</v>
      </c>
      <c r="B2074">
        <v>172</v>
      </c>
      <c r="E2074" s="5" t="s">
        <v>910</v>
      </c>
      <c r="F2074" s="5" t="s">
        <v>855</v>
      </c>
      <c r="G2074" s="5" t="s">
        <v>910</v>
      </c>
      <c r="H2074" s="7" t="s">
        <v>867</v>
      </c>
      <c r="I2074" t="s">
        <v>835</v>
      </c>
      <c r="J2074">
        <v>39</v>
      </c>
      <c r="K2074">
        <v>1</v>
      </c>
      <c r="L2074" t="s">
        <v>845</v>
      </c>
      <c r="M2074" t="s">
        <v>262</v>
      </c>
      <c r="U2074" s="8">
        <f t="shared" si="210"/>
        <v>2</v>
      </c>
      <c r="AD2074" t="str">
        <f t="shared" si="209"/>
        <v>e</v>
      </c>
      <c r="AE2074" t="str">
        <f t="shared" si="213"/>
        <v>DeadIce</v>
      </c>
      <c r="AF2074" t="str">
        <f t="shared" si="211"/>
        <v/>
      </c>
      <c r="AG2074" t="str">
        <f t="shared" si="212"/>
        <v/>
      </c>
      <c r="AN2074" t="str">
        <f t="shared" si="208"/>
        <v/>
      </c>
    </row>
    <row r="2075" spans="1:40" x14ac:dyDescent="0.2">
      <c r="A2075">
        <v>1038</v>
      </c>
      <c r="B2075" t="str">
        <f t="shared" si="207"/>
        <v/>
      </c>
      <c r="E2075" s="5" t="s">
        <v>910</v>
      </c>
      <c r="F2075" s="5" t="s">
        <v>867</v>
      </c>
      <c r="I2075" t="s">
        <v>835</v>
      </c>
      <c r="J2075">
        <v>70</v>
      </c>
      <c r="K2075">
        <v>1</v>
      </c>
      <c r="L2075" t="s">
        <v>845</v>
      </c>
      <c r="M2075" t="s">
        <v>6</v>
      </c>
      <c r="N2075" t="s">
        <v>255</v>
      </c>
      <c r="U2075" s="8">
        <f t="shared" si="210"/>
        <v>2</v>
      </c>
      <c r="AD2075" t="str">
        <f t="shared" si="209"/>
        <v>e</v>
      </c>
      <c r="AE2075" t="str">
        <f t="shared" si="213"/>
        <v>Faceoff</v>
      </c>
      <c r="AF2075" t="str">
        <f t="shared" si="211"/>
        <v>Faceoff_AfterStoppage</v>
      </c>
      <c r="AG2075" t="str">
        <f t="shared" si="212"/>
        <v/>
      </c>
      <c r="AN2075" t="str">
        <f t="shared" si="208"/>
        <v>Offensive</v>
      </c>
    </row>
    <row r="2076" spans="1:40" x14ac:dyDescent="0.2">
      <c r="A2076">
        <v>1038</v>
      </c>
      <c r="B2076" t="str">
        <f t="shared" si="207"/>
        <v/>
      </c>
      <c r="J2076">
        <v>8</v>
      </c>
      <c r="U2076" s="8">
        <f t="shared" si="210"/>
        <v>2</v>
      </c>
      <c r="AD2076" t="str">
        <f t="shared" si="209"/>
        <v>o</v>
      </c>
      <c r="AE2076" t="str">
        <f t="shared" si="213"/>
        <v>Faceoff</v>
      </c>
      <c r="AF2076" t="str">
        <f t="shared" si="211"/>
        <v>Faceoff_AfterStoppage</v>
      </c>
      <c r="AG2076" t="str">
        <f t="shared" si="212"/>
        <v/>
      </c>
      <c r="AN2076" t="str">
        <f t="shared" si="208"/>
        <v>Defensive</v>
      </c>
    </row>
    <row r="2077" spans="1:40" x14ac:dyDescent="0.2">
      <c r="A2077">
        <v>1039</v>
      </c>
      <c r="B2077" t="str">
        <f t="shared" si="207"/>
        <v/>
      </c>
      <c r="E2077" s="5" t="s">
        <v>910</v>
      </c>
      <c r="F2077" s="5" t="s">
        <v>867</v>
      </c>
      <c r="I2077" t="s">
        <v>835</v>
      </c>
      <c r="J2077">
        <v>70</v>
      </c>
      <c r="K2077">
        <v>1</v>
      </c>
      <c r="L2077" t="s">
        <v>845</v>
      </c>
      <c r="M2077" t="s">
        <v>257</v>
      </c>
      <c r="N2077" t="s">
        <v>201</v>
      </c>
      <c r="O2077" t="s">
        <v>183</v>
      </c>
      <c r="P2077" t="s">
        <v>689</v>
      </c>
      <c r="U2077" s="8">
        <f t="shared" si="210"/>
        <v>2</v>
      </c>
      <c r="AD2077" t="str">
        <f t="shared" si="209"/>
        <v>e</v>
      </c>
      <c r="AE2077" t="str">
        <f t="shared" si="213"/>
        <v>Zone_Entry_Exit</v>
      </c>
      <c r="AF2077" t="str">
        <f t="shared" si="211"/>
        <v>Zone_Exit</v>
      </c>
      <c r="AG2077" t="str">
        <f t="shared" si="212"/>
        <v>ZoneExit-Other</v>
      </c>
      <c r="AN2077" t="str">
        <f t="shared" si="208"/>
        <v>Offensive</v>
      </c>
    </row>
    <row r="2078" spans="1:40" x14ac:dyDescent="0.2">
      <c r="A2078">
        <v>1040</v>
      </c>
      <c r="B2078" t="str">
        <f t="shared" si="207"/>
        <v/>
      </c>
      <c r="E2078" s="5" t="s">
        <v>910</v>
      </c>
      <c r="F2078" s="5" t="s">
        <v>902</v>
      </c>
      <c r="G2078" s="5" t="s">
        <v>910</v>
      </c>
      <c r="H2078" s="7" t="s">
        <v>870</v>
      </c>
      <c r="I2078" t="s">
        <v>840</v>
      </c>
      <c r="J2078">
        <v>17</v>
      </c>
      <c r="K2078">
        <v>1</v>
      </c>
      <c r="L2078" t="s">
        <v>839</v>
      </c>
      <c r="M2078" t="s">
        <v>15</v>
      </c>
      <c r="R2078" t="s">
        <v>667</v>
      </c>
      <c r="U2078" s="8">
        <f t="shared" si="210"/>
        <v>2</v>
      </c>
      <c r="AD2078" t="str">
        <f t="shared" si="209"/>
        <v>e</v>
      </c>
      <c r="AE2078" t="str">
        <f t="shared" si="213"/>
        <v>Possession</v>
      </c>
      <c r="AF2078" t="str">
        <f t="shared" si="211"/>
        <v/>
      </c>
      <c r="AG2078" t="str">
        <f t="shared" si="212"/>
        <v/>
      </c>
      <c r="AN2078" t="str">
        <f t="shared" si="208"/>
        <v>Offensive</v>
      </c>
    </row>
    <row r="2079" spans="1:40" x14ac:dyDescent="0.2">
      <c r="A2079">
        <v>1041</v>
      </c>
      <c r="B2079" t="str">
        <f t="shared" si="207"/>
        <v/>
      </c>
      <c r="E2079" s="5" t="s">
        <v>910</v>
      </c>
      <c r="F2079" s="5" t="s">
        <v>870</v>
      </c>
      <c r="G2079" s="5" t="s">
        <v>911</v>
      </c>
      <c r="H2079" s="7" t="s">
        <v>872</v>
      </c>
      <c r="I2079" t="s">
        <v>840</v>
      </c>
      <c r="J2079">
        <v>17</v>
      </c>
      <c r="K2079">
        <v>1</v>
      </c>
      <c r="L2079" t="s">
        <v>401</v>
      </c>
      <c r="M2079" t="s">
        <v>257</v>
      </c>
      <c r="N2079" t="s">
        <v>191</v>
      </c>
      <c r="O2079" t="s">
        <v>87</v>
      </c>
      <c r="P2079" t="s">
        <v>688</v>
      </c>
      <c r="U2079" s="8">
        <f t="shared" si="210"/>
        <v>2</v>
      </c>
      <c r="AD2079" t="str">
        <f t="shared" si="209"/>
        <v>e</v>
      </c>
      <c r="AE2079" t="str">
        <f t="shared" si="213"/>
        <v>Zone_Entry_Exit</v>
      </c>
      <c r="AF2079" t="str">
        <f t="shared" si="211"/>
        <v>Zone_Entry</v>
      </c>
      <c r="AG2079" t="str">
        <f t="shared" si="212"/>
        <v>ZoneEntry-Rush</v>
      </c>
      <c r="AN2079" t="str">
        <f t="shared" si="208"/>
        <v>Offensive</v>
      </c>
    </row>
    <row r="2080" spans="1:40" x14ac:dyDescent="0.2">
      <c r="A2080">
        <v>1041</v>
      </c>
      <c r="B2080" t="str">
        <f t="shared" si="207"/>
        <v/>
      </c>
      <c r="J2080">
        <v>70</v>
      </c>
      <c r="U2080" s="8">
        <f t="shared" si="210"/>
        <v>2</v>
      </c>
      <c r="AD2080" t="str">
        <f t="shared" si="209"/>
        <v>o</v>
      </c>
      <c r="AE2080" t="str">
        <f t="shared" si="213"/>
        <v>Zone_Entry_Exit</v>
      </c>
      <c r="AF2080" t="str">
        <f t="shared" si="211"/>
        <v>Zone_Entry</v>
      </c>
      <c r="AG2080" t="str">
        <f t="shared" si="212"/>
        <v>ZoneEntry-Rush</v>
      </c>
      <c r="AN2080" t="str">
        <f t="shared" si="208"/>
        <v>Defensive</v>
      </c>
    </row>
    <row r="2081" spans="1:40" x14ac:dyDescent="0.2">
      <c r="A2081">
        <v>1041</v>
      </c>
      <c r="B2081" t="str">
        <f t="shared" si="207"/>
        <v/>
      </c>
      <c r="J2081">
        <v>9</v>
      </c>
      <c r="Q2081" t="s">
        <v>936</v>
      </c>
      <c r="U2081" s="8">
        <f t="shared" si="210"/>
        <v>2</v>
      </c>
      <c r="AD2081" t="str">
        <f t="shared" si="209"/>
        <v>o</v>
      </c>
      <c r="AE2081" t="str">
        <f t="shared" si="213"/>
        <v>Zone_Entry_Exit</v>
      </c>
      <c r="AF2081" t="str">
        <f t="shared" si="211"/>
        <v>Zone_Entry</v>
      </c>
      <c r="AG2081" t="str">
        <f t="shared" si="212"/>
        <v>ZoneEntry-Rush</v>
      </c>
      <c r="AN2081" t="str">
        <f t="shared" si="208"/>
        <v>Defensive</v>
      </c>
    </row>
    <row r="2082" spans="1:40" x14ac:dyDescent="0.2">
      <c r="A2082">
        <v>1042</v>
      </c>
      <c r="B2082">
        <v>173</v>
      </c>
      <c r="E2082" s="5" t="s">
        <v>911</v>
      </c>
      <c r="F2082" s="5" t="s">
        <v>872</v>
      </c>
      <c r="I2082" t="s">
        <v>840</v>
      </c>
      <c r="J2082">
        <v>17</v>
      </c>
      <c r="K2082">
        <v>1</v>
      </c>
      <c r="L2082" t="s">
        <v>401</v>
      </c>
      <c r="M2082" t="s">
        <v>8</v>
      </c>
      <c r="N2082" t="s">
        <v>209</v>
      </c>
      <c r="O2082" t="s">
        <v>70</v>
      </c>
      <c r="P2082" t="s">
        <v>688</v>
      </c>
      <c r="U2082" s="8">
        <f t="shared" si="210"/>
        <v>2</v>
      </c>
      <c r="AD2082" t="str">
        <f t="shared" si="209"/>
        <v>e</v>
      </c>
      <c r="AE2082" t="str">
        <f t="shared" si="213"/>
        <v>Pass</v>
      </c>
      <c r="AF2082" t="str">
        <f t="shared" si="211"/>
        <v>Pass_Deflected</v>
      </c>
      <c r="AG2082" t="str">
        <f t="shared" si="212"/>
        <v>Pass-Forehand</v>
      </c>
      <c r="AN2082" t="str">
        <f t="shared" si="208"/>
        <v>Offensive</v>
      </c>
    </row>
    <row r="2083" spans="1:40" x14ac:dyDescent="0.2">
      <c r="A2083">
        <v>1042</v>
      </c>
      <c r="B2083">
        <f t="shared" si="207"/>
        <v>173</v>
      </c>
      <c r="J2083">
        <v>8</v>
      </c>
      <c r="K2083">
        <v>1</v>
      </c>
      <c r="U2083" s="8">
        <f t="shared" si="210"/>
        <v>2</v>
      </c>
      <c r="AD2083" t="str">
        <f t="shared" si="209"/>
        <v>e</v>
      </c>
      <c r="AE2083" t="str">
        <f t="shared" si="213"/>
        <v>Pass</v>
      </c>
      <c r="AF2083" t="str">
        <f t="shared" si="211"/>
        <v>Pass_Deflected</v>
      </c>
      <c r="AG2083" t="str">
        <f t="shared" si="212"/>
        <v>Pass-Forehand</v>
      </c>
      <c r="AN2083" t="str">
        <f t="shared" si="208"/>
        <v>Offensive</v>
      </c>
    </row>
    <row r="2084" spans="1:40" x14ac:dyDescent="0.2">
      <c r="A2084">
        <v>1042</v>
      </c>
      <c r="B2084">
        <f t="shared" si="207"/>
        <v>173</v>
      </c>
      <c r="J2084">
        <v>70</v>
      </c>
      <c r="Q2084" t="s">
        <v>944</v>
      </c>
      <c r="S2084" t="s">
        <v>689</v>
      </c>
      <c r="U2084" s="8">
        <f t="shared" si="210"/>
        <v>2</v>
      </c>
      <c r="AD2084" t="str">
        <f t="shared" si="209"/>
        <v>o</v>
      </c>
      <c r="AE2084" t="str">
        <f t="shared" si="213"/>
        <v>Pass</v>
      </c>
      <c r="AF2084" t="str">
        <f t="shared" si="211"/>
        <v>Pass_Deflected</v>
      </c>
      <c r="AG2084" t="str">
        <f t="shared" si="212"/>
        <v>Pass-Forehand</v>
      </c>
      <c r="AN2084" t="str">
        <f t="shared" si="208"/>
        <v>Defensive</v>
      </c>
    </row>
    <row r="2085" spans="1:40" x14ac:dyDescent="0.2">
      <c r="A2085">
        <v>1043</v>
      </c>
      <c r="B2085">
        <v>173</v>
      </c>
      <c r="E2085" s="5" t="s">
        <v>911</v>
      </c>
      <c r="F2085" s="5" t="s">
        <v>872</v>
      </c>
      <c r="I2085" t="s">
        <v>840</v>
      </c>
      <c r="J2085">
        <v>17</v>
      </c>
      <c r="K2085">
        <v>1</v>
      </c>
      <c r="L2085" t="s">
        <v>401</v>
      </c>
      <c r="M2085" t="s">
        <v>10</v>
      </c>
      <c r="N2085" t="s">
        <v>190</v>
      </c>
      <c r="O2085" t="s">
        <v>77</v>
      </c>
      <c r="P2085" t="s">
        <v>688</v>
      </c>
      <c r="U2085" s="8">
        <f t="shared" si="210"/>
        <v>2</v>
      </c>
      <c r="AD2085" t="str">
        <f t="shared" si="209"/>
        <v>e</v>
      </c>
      <c r="AE2085" t="str">
        <f t="shared" si="213"/>
        <v>Turnover</v>
      </c>
      <c r="AF2085" t="str">
        <f t="shared" si="211"/>
        <v>Turnover_Giveaway</v>
      </c>
      <c r="AG2085" t="str">
        <f t="shared" si="212"/>
        <v>Giveaway-PassBlocked</v>
      </c>
      <c r="AN2085" t="str">
        <f t="shared" si="208"/>
        <v>Offensive</v>
      </c>
    </row>
    <row r="2086" spans="1:40" x14ac:dyDescent="0.2">
      <c r="A2086">
        <v>1043</v>
      </c>
      <c r="B2086">
        <f t="shared" si="207"/>
        <v>173</v>
      </c>
      <c r="J2086">
        <v>8</v>
      </c>
      <c r="K2086">
        <v>1</v>
      </c>
      <c r="U2086" s="8">
        <f t="shared" si="210"/>
        <v>2</v>
      </c>
      <c r="AD2086" t="str">
        <f t="shared" si="209"/>
        <v>e</v>
      </c>
      <c r="AE2086" t="str">
        <f t="shared" si="213"/>
        <v>Turnover</v>
      </c>
      <c r="AF2086" t="str">
        <f t="shared" si="211"/>
        <v>Turnover_Giveaway</v>
      </c>
      <c r="AG2086" t="str">
        <f t="shared" si="212"/>
        <v>Giveaway-PassBlocked</v>
      </c>
      <c r="AN2086" t="str">
        <f t="shared" si="208"/>
        <v>Offensive</v>
      </c>
    </row>
    <row r="2087" spans="1:40" x14ac:dyDescent="0.2">
      <c r="A2087">
        <v>1043</v>
      </c>
      <c r="B2087">
        <f t="shared" si="207"/>
        <v>173</v>
      </c>
      <c r="J2087">
        <v>70</v>
      </c>
      <c r="Q2087" t="s">
        <v>944</v>
      </c>
      <c r="S2087" t="s">
        <v>689</v>
      </c>
      <c r="U2087" s="8">
        <f t="shared" si="210"/>
        <v>2</v>
      </c>
      <c r="AD2087" t="str">
        <f t="shared" si="209"/>
        <v>o</v>
      </c>
      <c r="AE2087" t="str">
        <f t="shared" si="213"/>
        <v>Turnover</v>
      </c>
      <c r="AF2087" t="str">
        <f t="shared" si="211"/>
        <v>Turnover_Giveaway</v>
      </c>
      <c r="AG2087" t="str">
        <f t="shared" si="212"/>
        <v>Giveaway-PassBlocked</v>
      </c>
      <c r="AN2087" t="str">
        <f t="shared" si="208"/>
        <v>Defensive</v>
      </c>
    </row>
    <row r="2088" spans="1:40" x14ac:dyDescent="0.2">
      <c r="A2088">
        <v>1044</v>
      </c>
      <c r="B2088" t="str">
        <f t="shared" si="207"/>
        <v/>
      </c>
      <c r="E2088" s="5" t="s">
        <v>911</v>
      </c>
      <c r="F2088" s="5" t="s">
        <v>873</v>
      </c>
      <c r="I2088" t="s">
        <v>835</v>
      </c>
      <c r="J2088">
        <v>52</v>
      </c>
      <c r="K2088">
        <v>1</v>
      </c>
      <c r="L2088" t="s">
        <v>845</v>
      </c>
      <c r="M2088" t="s">
        <v>15</v>
      </c>
      <c r="N2088" t="s">
        <v>680</v>
      </c>
      <c r="P2088" t="s">
        <v>688</v>
      </c>
      <c r="Q2088" t="s">
        <v>634</v>
      </c>
      <c r="S2088" t="s">
        <v>688</v>
      </c>
      <c r="U2088" s="8">
        <f t="shared" si="210"/>
        <v>2</v>
      </c>
      <c r="AD2088" t="str">
        <f t="shared" si="209"/>
        <v>e</v>
      </c>
      <c r="AE2088" t="str">
        <f t="shared" si="213"/>
        <v>Possession</v>
      </c>
      <c r="AF2088" t="str">
        <f t="shared" si="211"/>
        <v>PuckRetrieval</v>
      </c>
      <c r="AG2088" t="str">
        <f t="shared" si="212"/>
        <v/>
      </c>
      <c r="AN2088" t="str">
        <f t="shared" si="208"/>
        <v>Offensive</v>
      </c>
    </row>
    <row r="2089" spans="1:40" x14ac:dyDescent="0.2">
      <c r="A2089">
        <v>1045</v>
      </c>
      <c r="B2089">
        <v>174</v>
      </c>
      <c r="E2089" s="5" t="s">
        <v>911</v>
      </c>
      <c r="F2089" s="5" t="s">
        <v>873</v>
      </c>
      <c r="I2089" t="s">
        <v>835</v>
      </c>
      <c r="J2089">
        <v>52</v>
      </c>
      <c r="K2089">
        <v>1</v>
      </c>
      <c r="L2089" t="s">
        <v>845</v>
      </c>
      <c r="M2089" t="s">
        <v>8</v>
      </c>
      <c r="N2089" t="s">
        <v>216</v>
      </c>
      <c r="O2089" t="s">
        <v>70</v>
      </c>
      <c r="P2089" t="s">
        <v>688</v>
      </c>
      <c r="Q2089" t="s">
        <v>669</v>
      </c>
      <c r="R2089" t="s">
        <v>929</v>
      </c>
      <c r="S2089" t="s">
        <v>688</v>
      </c>
      <c r="U2089" s="8">
        <f t="shared" si="210"/>
        <v>2</v>
      </c>
      <c r="AD2089" t="str">
        <f t="shared" si="209"/>
        <v>e</v>
      </c>
      <c r="AE2089" t="str">
        <f t="shared" si="213"/>
        <v>Pass</v>
      </c>
      <c r="AF2089" t="str">
        <f t="shared" si="211"/>
        <v>Pass_Intercepted</v>
      </c>
      <c r="AG2089" t="str">
        <f t="shared" si="212"/>
        <v>Pass-Forehand</v>
      </c>
      <c r="AN2089" t="str">
        <f t="shared" si="208"/>
        <v>Offensive</v>
      </c>
    </row>
    <row r="2090" spans="1:40" x14ac:dyDescent="0.2">
      <c r="A2090">
        <v>1045</v>
      </c>
      <c r="B2090">
        <f t="shared" si="207"/>
        <v>174</v>
      </c>
      <c r="J2090">
        <v>75</v>
      </c>
      <c r="K2090">
        <v>1</v>
      </c>
      <c r="U2090" s="8">
        <f t="shared" si="210"/>
        <v>2</v>
      </c>
      <c r="AD2090" t="str">
        <f t="shared" si="209"/>
        <v>e</v>
      </c>
      <c r="AE2090" t="str">
        <f t="shared" si="213"/>
        <v>Pass</v>
      </c>
      <c r="AF2090" t="str">
        <f t="shared" si="211"/>
        <v>Pass_Intercepted</v>
      </c>
      <c r="AG2090" t="str">
        <f t="shared" si="212"/>
        <v>Pass-Forehand</v>
      </c>
      <c r="AN2090" t="str">
        <f t="shared" si="208"/>
        <v>Offensive</v>
      </c>
    </row>
    <row r="2091" spans="1:40" x14ac:dyDescent="0.2">
      <c r="A2091">
        <v>1045</v>
      </c>
      <c r="B2091">
        <f t="shared" si="207"/>
        <v>174</v>
      </c>
      <c r="J2091">
        <v>8</v>
      </c>
      <c r="U2091" s="8">
        <f t="shared" si="210"/>
        <v>2</v>
      </c>
      <c r="AD2091" t="str">
        <f t="shared" si="209"/>
        <v>o</v>
      </c>
      <c r="AE2091" t="str">
        <f t="shared" si="213"/>
        <v>Pass</v>
      </c>
      <c r="AF2091" t="str">
        <f t="shared" si="211"/>
        <v>Pass_Intercepted</v>
      </c>
      <c r="AG2091" t="str">
        <f t="shared" si="212"/>
        <v>Pass-Forehand</v>
      </c>
      <c r="AN2091" t="str">
        <f t="shared" si="208"/>
        <v>Defensive</v>
      </c>
    </row>
    <row r="2092" spans="1:40" x14ac:dyDescent="0.2">
      <c r="A2092">
        <v>1046</v>
      </c>
      <c r="B2092">
        <v>174</v>
      </c>
      <c r="E2092" s="5" t="s">
        <v>911</v>
      </c>
      <c r="F2092" s="5" t="s">
        <v>873</v>
      </c>
      <c r="I2092" t="s">
        <v>835</v>
      </c>
      <c r="J2092">
        <v>52</v>
      </c>
      <c r="K2092">
        <v>1</v>
      </c>
      <c r="L2092" t="s">
        <v>845</v>
      </c>
      <c r="M2092" t="s">
        <v>10</v>
      </c>
      <c r="N2092" t="s">
        <v>190</v>
      </c>
      <c r="O2092" t="s">
        <v>75</v>
      </c>
      <c r="P2092" t="s">
        <v>688</v>
      </c>
      <c r="Q2092" t="s">
        <v>669</v>
      </c>
      <c r="R2092" t="s">
        <v>929</v>
      </c>
      <c r="S2092" t="s">
        <v>688</v>
      </c>
      <c r="U2092" s="8">
        <f t="shared" si="210"/>
        <v>2</v>
      </c>
      <c r="AD2092" t="str">
        <f t="shared" si="209"/>
        <v>e</v>
      </c>
      <c r="AE2092" t="str">
        <f t="shared" si="213"/>
        <v>Turnover</v>
      </c>
      <c r="AF2092" t="str">
        <f t="shared" si="211"/>
        <v>Turnover_Giveaway</v>
      </c>
      <c r="AG2092" t="str">
        <f t="shared" si="212"/>
        <v>Giveaway-PassIntercepted</v>
      </c>
      <c r="AN2092" t="str">
        <f t="shared" si="208"/>
        <v>Offensive</v>
      </c>
    </row>
    <row r="2093" spans="1:40" x14ac:dyDescent="0.2">
      <c r="A2093">
        <v>1046</v>
      </c>
      <c r="B2093">
        <v>174</v>
      </c>
      <c r="J2093">
        <v>75</v>
      </c>
      <c r="K2093">
        <v>1</v>
      </c>
      <c r="U2093" s="8">
        <f t="shared" si="210"/>
        <v>2</v>
      </c>
      <c r="AD2093" t="str">
        <f t="shared" si="209"/>
        <v>e</v>
      </c>
      <c r="AE2093" t="str">
        <f t="shared" si="213"/>
        <v>Turnover</v>
      </c>
      <c r="AF2093" t="str">
        <f t="shared" si="211"/>
        <v>Turnover_Giveaway</v>
      </c>
      <c r="AG2093" t="str">
        <f t="shared" si="212"/>
        <v>Giveaway-PassIntercepted</v>
      </c>
      <c r="AN2093" t="str">
        <f t="shared" si="208"/>
        <v>Offensive</v>
      </c>
    </row>
    <row r="2094" spans="1:40" x14ac:dyDescent="0.2">
      <c r="A2094">
        <v>1046</v>
      </c>
      <c r="B2094">
        <f t="shared" si="207"/>
        <v>174</v>
      </c>
      <c r="J2094">
        <v>8</v>
      </c>
      <c r="U2094" s="8">
        <f t="shared" si="210"/>
        <v>2</v>
      </c>
      <c r="AD2094" t="str">
        <f t="shared" si="209"/>
        <v>o</v>
      </c>
      <c r="AE2094" t="str">
        <f t="shared" si="213"/>
        <v>Turnover</v>
      </c>
      <c r="AF2094" t="str">
        <f t="shared" si="211"/>
        <v>Turnover_Giveaway</v>
      </c>
      <c r="AG2094" t="str">
        <f t="shared" si="212"/>
        <v>Giveaway-PassIntercepted</v>
      </c>
      <c r="AN2094" t="str">
        <f t="shared" si="208"/>
        <v>Defensive</v>
      </c>
    </row>
    <row r="2095" spans="1:40" x14ac:dyDescent="0.2">
      <c r="A2095">
        <v>1047</v>
      </c>
      <c r="B2095" t="str">
        <f t="shared" si="207"/>
        <v/>
      </c>
      <c r="E2095" s="5" t="s">
        <v>911</v>
      </c>
      <c r="F2095" s="5" t="s">
        <v>873</v>
      </c>
      <c r="G2095" s="5" t="s">
        <v>911</v>
      </c>
      <c r="H2095" s="7" t="s">
        <v>874</v>
      </c>
      <c r="I2095" t="s">
        <v>840</v>
      </c>
      <c r="J2095">
        <v>8</v>
      </c>
      <c r="K2095">
        <v>1</v>
      </c>
      <c r="L2095" t="s">
        <v>401</v>
      </c>
      <c r="M2095" t="s">
        <v>15</v>
      </c>
      <c r="Q2095" t="s">
        <v>146</v>
      </c>
      <c r="R2095" t="s">
        <v>151</v>
      </c>
      <c r="T2095">
        <v>1</v>
      </c>
      <c r="U2095" s="8">
        <f t="shared" si="210"/>
        <v>2</v>
      </c>
      <c r="AD2095" t="str">
        <f t="shared" si="209"/>
        <v>e</v>
      </c>
      <c r="AE2095" t="str">
        <f t="shared" si="213"/>
        <v>Possession</v>
      </c>
      <c r="AF2095" t="str">
        <f t="shared" si="211"/>
        <v/>
      </c>
      <c r="AG2095" t="str">
        <f t="shared" si="212"/>
        <v/>
      </c>
      <c r="AN2095" t="str">
        <f t="shared" si="208"/>
        <v>Offensive</v>
      </c>
    </row>
    <row r="2096" spans="1:40" x14ac:dyDescent="0.2">
      <c r="A2096">
        <v>1047</v>
      </c>
      <c r="B2096" t="str">
        <f t="shared" ref="B2096:B2159" si="214">IF(A2096=A2095,B2095,"")</f>
        <v/>
      </c>
      <c r="J2096">
        <v>52</v>
      </c>
      <c r="T2096">
        <v>1</v>
      </c>
      <c r="U2096" s="8">
        <f t="shared" si="210"/>
        <v>2</v>
      </c>
      <c r="AD2096" t="str">
        <f t="shared" si="209"/>
        <v>o</v>
      </c>
      <c r="AE2096" t="str">
        <f t="shared" si="213"/>
        <v>Possession</v>
      </c>
      <c r="AF2096" t="str">
        <f t="shared" si="211"/>
        <v/>
      </c>
      <c r="AG2096" t="str">
        <f t="shared" si="212"/>
        <v/>
      </c>
      <c r="AN2096" t="str">
        <f t="shared" si="208"/>
        <v>Defensive</v>
      </c>
    </row>
    <row r="2097" spans="1:40" x14ac:dyDescent="0.2">
      <c r="A2097">
        <v>1048</v>
      </c>
      <c r="B2097" t="str">
        <f t="shared" si="214"/>
        <v/>
      </c>
      <c r="E2097" s="5" t="s">
        <v>911</v>
      </c>
      <c r="F2097" s="5" t="s">
        <v>874</v>
      </c>
      <c r="I2097" t="s">
        <v>840</v>
      </c>
      <c r="J2097">
        <v>8</v>
      </c>
      <c r="K2097">
        <v>1</v>
      </c>
      <c r="L2097" t="s">
        <v>401</v>
      </c>
      <c r="M2097" t="s">
        <v>8</v>
      </c>
      <c r="N2097" t="s">
        <v>199</v>
      </c>
      <c r="O2097" t="s">
        <v>70</v>
      </c>
      <c r="P2097" t="s">
        <v>688</v>
      </c>
      <c r="T2097">
        <v>1</v>
      </c>
      <c r="U2097" s="8">
        <f t="shared" si="210"/>
        <v>2</v>
      </c>
      <c r="AD2097" t="str">
        <f t="shared" si="209"/>
        <v>e</v>
      </c>
      <c r="AE2097" t="str">
        <f t="shared" si="213"/>
        <v>Pass</v>
      </c>
      <c r="AF2097" t="str">
        <f t="shared" si="211"/>
        <v>Pass_Missed</v>
      </c>
      <c r="AG2097" t="str">
        <f t="shared" si="212"/>
        <v>Pass-Forehand</v>
      </c>
      <c r="AN2097" t="str">
        <f t="shared" si="208"/>
        <v>Offensive</v>
      </c>
    </row>
    <row r="2098" spans="1:40" x14ac:dyDescent="0.2">
      <c r="A2098">
        <v>1048</v>
      </c>
      <c r="B2098" t="str">
        <f t="shared" si="214"/>
        <v/>
      </c>
      <c r="J2098">
        <v>17</v>
      </c>
      <c r="K2098">
        <v>1</v>
      </c>
      <c r="U2098" s="8">
        <f t="shared" si="210"/>
        <v>2</v>
      </c>
      <c r="AD2098" t="str">
        <f t="shared" si="209"/>
        <v>e</v>
      </c>
      <c r="AE2098" t="str">
        <f t="shared" si="213"/>
        <v>Pass</v>
      </c>
      <c r="AF2098" t="str">
        <f t="shared" si="211"/>
        <v>Pass_Missed</v>
      </c>
      <c r="AG2098" t="str">
        <f t="shared" si="212"/>
        <v>Pass-Forehand</v>
      </c>
      <c r="AN2098" t="str">
        <f t="shared" si="208"/>
        <v>Offensive</v>
      </c>
    </row>
    <row r="2099" spans="1:40" x14ac:dyDescent="0.2">
      <c r="A2099">
        <v>1048</v>
      </c>
      <c r="B2099" t="str">
        <f t="shared" si="214"/>
        <v/>
      </c>
      <c r="J2099">
        <v>70</v>
      </c>
      <c r="T2099">
        <v>1</v>
      </c>
      <c r="U2099" s="8">
        <f t="shared" si="210"/>
        <v>2</v>
      </c>
      <c r="AD2099" t="str">
        <f t="shared" si="209"/>
        <v>o</v>
      </c>
      <c r="AE2099" t="str">
        <f t="shared" si="213"/>
        <v>Pass</v>
      </c>
      <c r="AF2099" t="str">
        <f t="shared" si="211"/>
        <v>Pass_Missed</v>
      </c>
      <c r="AG2099" t="str">
        <f t="shared" si="212"/>
        <v>Pass-Forehand</v>
      </c>
      <c r="AN2099" t="str">
        <f t="shared" si="208"/>
        <v>Defensive</v>
      </c>
    </row>
    <row r="2100" spans="1:40" x14ac:dyDescent="0.2">
      <c r="A2100">
        <v>1049</v>
      </c>
      <c r="B2100" t="str">
        <f t="shared" si="214"/>
        <v/>
      </c>
      <c r="E2100" s="5" t="s">
        <v>911</v>
      </c>
      <c r="F2100" s="5" t="s">
        <v>875</v>
      </c>
      <c r="G2100" s="5" t="s">
        <v>911</v>
      </c>
      <c r="H2100" s="7" t="s">
        <v>842</v>
      </c>
      <c r="I2100" t="s">
        <v>840</v>
      </c>
      <c r="J2100">
        <v>19</v>
      </c>
      <c r="K2100">
        <v>1</v>
      </c>
      <c r="L2100" t="s">
        <v>401</v>
      </c>
      <c r="M2100" t="s">
        <v>15</v>
      </c>
      <c r="N2100" t="s">
        <v>681</v>
      </c>
      <c r="U2100" s="8">
        <f t="shared" si="210"/>
        <v>2</v>
      </c>
      <c r="AD2100" t="str">
        <f t="shared" si="209"/>
        <v>e</v>
      </c>
      <c r="AE2100" t="str">
        <f t="shared" si="213"/>
        <v>Possession</v>
      </c>
      <c r="AF2100" t="str">
        <f t="shared" si="211"/>
        <v>PuckRecovery</v>
      </c>
      <c r="AG2100" t="str">
        <f t="shared" si="212"/>
        <v/>
      </c>
      <c r="AN2100" t="str">
        <f t="shared" si="208"/>
        <v>Offensive</v>
      </c>
    </row>
    <row r="2101" spans="1:40" x14ac:dyDescent="0.2">
      <c r="A2101">
        <v>1049</v>
      </c>
      <c r="B2101" t="str">
        <f t="shared" si="214"/>
        <v/>
      </c>
      <c r="J2101">
        <v>9</v>
      </c>
      <c r="Q2101" t="s">
        <v>654</v>
      </c>
      <c r="R2101" t="s">
        <v>658</v>
      </c>
      <c r="U2101" s="8">
        <f t="shared" si="210"/>
        <v>2</v>
      </c>
      <c r="AD2101" t="str">
        <f t="shared" si="209"/>
        <v>o</v>
      </c>
      <c r="AE2101" t="str">
        <f t="shared" si="213"/>
        <v>Possession</v>
      </c>
      <c r="AF2101" t="str">
        <f t="shared" si="211"/>
        <v>PuckRecovery</v>
      </c>
      <c r="AG2101" t="str">
        <f t="shared" si="212"/>
        <v/>
      </c>
      <c r="AN2101" t="str">
        <f t="shared" si="208"/>
        <v>Defensive</v>
      </c>
    </row>
    <row r="2102" spans="1:40" x14ac:dyDescent="0.2">
      <c r="A2102">
        <v>1050</v>
      </c>
      <c r="B2102" t="str">
        <f t="shared" si="214"/>
        <v/>
      </c>
      <c r="E2102" s="5" t="s">
        <v>911</v>
      </c>
      <c r="F2102" s="5" t="s">
        <v>842</v>
      </c>
      <c r="I2102" t="s">
        <v>840</v>
      </c>
      <c r="J2102">
        <v>19</v>
      </c>
      <c r="K2102">
        <v>1</v>
      </c>
      <c r="L2102" t="s">
        <v>401</v>
      </c>
      <c r="M2102" t="s">
        <v>7</v>
      </c>
      <c r="N2102" t="s">
        <v>198</v>
      </c>
      <c r="U2102" s="8">
        <f t="shared" si="210"/>
        <v>2</v>
      </c>
      <c r="AD2102" t="str">
        <f t="shared" si="209"/>
        <v>e</v>
      </c>
      <c r="AE2102" t="str">
        <f t="shared" si="213"/>
        <v>Shot</v>
      </c>
      <c r="AF2102" t="str">
        <f t="shared" si="211"/>
        <v>Shot_Missed</v>
      </c>
      <c r="AG2102" t="str">
        <f t="shared" si="212"/>
        <v/>
      </c>
      <c r="AN2102" t="str">
        <f t="shared" si="208"/>
        <v>Offensive</v>
      </c>
    </row>
    <row r="2103" spans="1:40" x14ac:dyDescent="0.2">
      <c r="A2103">
        <v>1050</v>
      </c>
      <c r="B2103" t="str">
        <f t="shared" si="214"/>
        <v/>
      </c>
      <c r="J2103">
        <v>52</v>
      </c>
      <c r="Q2103" t="s">
        <v>657</v>
      </c>
      <c r="U2103" s="8">
        <f t="shared" si="210"/>
        <v>2</v>
      </c>
      <c r="AD2103" t="str">
        <f t="shared" si="209"/>
        <v>o</v>
      </c>
      <c r="AE2103" t="str">
        <f t="shared" si="213"/>
        <v>Shot</v>
      </c>
      <c r="AF2103" t="str">
        <f t="shared" si="211"/>
        <v>Shot_Missed</v>
      </c>
      <c r="AG2103" t="str">
        <f t="shared" si="212"/>
        <v/>
      </c>
      <c r="AN2103" t="str">
        <f t="shared" si="208"/>
        <v>Defensive</v>
      </c>
    </row>
    <row r="2104" spans="1:40" x14ac:dyDescent="0.2">
      <c r="A2104">
        <v>1051</v>
      </c>
      <c r="B2104" t="str">
        <f t="shared" si="214"/>
        <v/>
      </c>
      <c r="E2104" s="5" t="s">
        <v>911</v>
      </c>
      <c r="F2104" s="5" t="s">
        <v>843</v>
      </c>
      <c r="I2104" t="s">
        <v>835</v>
      </c>
      <c r="J2104">
        <v>14</v>
      </c>
      <c r="K2104">
        <v>1</v>
      </c>
      <c r="L2104" t="s">
        <v>845</v>
      </c>
      <c r="M2104" t="s">
        <v>15</v>
      </c>
      <c r="N2104" t="s">
        <v>680</v>
      </c>
      <c r="P2104" t="s">
        <v>688</v>
      </c>
      <c r="Q2104" t="s">
        <v>632</v>
      </c>
      <c r="S2104" t="s">
        <v>688</v>
      </c>
      <c r="U2104" s="8">
        <f t="shared" si="210"/>
        <v>2</v>
      </c>
      <c r="AD2104" t="str">
        <f t="shared" si="209"/>
        <v>e</v>
      </c>
      <c r="AE2104" t="str">
        <f t="shared" si="213"/>
        <v>Possession</v>
      </c>
      <c r="AF2104" t="str">
        <f t="shared" si="211"/>
        <v>PuckRetrieval</v>
      </c>
      <c r="AG2104" t="str">
        <f t="shared" si="212"/>
        <v/>
      </c>
      <c r="AN2104" t="str">
        <f t="shared" si="208"/>
        <v>Offensive</v>
      </c>
    </row>
    <row r="2105" spans="1:40" x14ac:dyDescent="0.2">
      <c r="A2105">
        <v>1052</v>
      </c>
      <c r="B2105">
        <v>175</v>
      </c>
      <c r="E2105" s="5" t="s">
        <v>911</v>
      </c>
      <c r="F2105" s="5" t="s">
        <v>878</v>
      </c>
      <c r="I2105" t="s">
        <v>835</v>
      </c>
      <c r="J2105">
        <v>14</v>
      </c>
      <c r="K2105">
        <v>1</v>
      </c>
      <c r="L2105" t="s">
        <v>845</v>
      </c>
      <c r="M2105" t="s">
        <v>13</v>
      </c>
      <c r="N2105" t="s">
        <v>204</v>
      </c>
      <c r="O2105" t="s">
        <v>108</v>
      </c>
      <c r="U2105" s="8">
        <f t="shared" si="210"/>
        <v>2</v>
      </c>
      <c r="AD2105" t="str">
        <f t="shared" si="209"/>
        <v>e</v>
      </c>
      <c r="AE2105" t="str">
        <f t="shared" si="213"/>
        <v>Stoppage</v>
      </c>
      <c r="AF2105" t="str">
        <f t="shared" si="211"/>
        <v>Stoppage_Play</v>
      </c>
      <c r="AG2105" t="str">
        <f t="shared" si="212"/>
        <v>Stoppage-Icing</v>
      </c>
      <c r="AN2105" t="str">
        <f t="shared" ref="AN2105:AN2168" si="215">IF(AND(AD2105="e",OR(AE2105="Save",AF2105="Turnover_Takeaway",AF2105="Play_Defensive")),"Defensive",IF(AND(AD2105="o",OR(AE2105="Save",AF2105="Turnover_Takeaway",AF2105="Play_Defensive")),"Offensive",IF(OR(AE2105="Deadice",AE2105="Stoppage",AE2105="Intermission"),"",IF(AD2105="e","Offensive",IF(AD2105="o","Defensive","")))))</f>
        <v/>
      </c>
    </row>
    <row r="2106" spans="1:40" x14ac:dyDescent="0.2">
      <c r="A2106">
        <v>1053</v>
      </c>
      <c r="B2106">
        <v>175</v>
      </c>
      <c r="E2106" s="5" t="s">
        <v>911</v>
      </c>
      <c r="F2106" s="5" t="s">
        <v>878</v>
      </c>
      <c r="G2106" s="5" t="s">
        <v>911</v>
      </c>
      <c r="H2106" s="7" t="s">
        <v>871</v>
      </c>
      <c r="I2106" t="s">
        <v>835</v>
      </c>
      <c r="J2106">
        <v>14</v>
      </c>
      <c r="K2106">
        <v>1</v>
      </c>
      <c r="L2106" t="s">
        <v>845</v>
      </c>
      <c r="M2106" t="s">
        <v>262</v>
      </c>
      <c r="U2106" s="8">
        <f t="shared" si="210"/>
        <v>2</v>
      </c>
      <c r="AD2106" t="str">
        <f t="shared" si="209"/>
        <v>e</v>
      </c>
      <c r="AE2106" t="str">
        <f t="shared" si="213"/>
        <v>DeadIce</v>
      </c>
      <c r="AF2106" t="str">
        <f t="shared" si="211"/>
        <v/>
      </c>
      <c r="AG2106" t="str">
        <f t="shared" si="212"/>
        <v/>
      </c>
      <c r="AN2106" t="str">
        <f t="shared" si="215"/>
        <v/>
      </c>
    </row>
    <row r="2107" spans="1:40" x14ac:dyDescent="0.2">
      <c r="A2107">
        <v>1054</v>
      </c>
      <c r="B2107" t="str">
        <f t="shared" si="214"/>
        <v/>
      </c>
      <c r="E2107" s="5" t="s">
        <v>911</v>
      </c>
      <c r="F2107" s="5" t="s">
        <v>871</v>
      </c>
      <c r="I2107" t="s">
        <v>835</v>
      </c>
      <c r="J2107">
        <v>42</v>
      </c>
      <c r="M2107" t="s">
        <v>6</v>
      </c>
      <c r="U2107" s="8">
        <f t="shared" si="210"/>
        <v>2</v>
      </c>
      <c r="AD2107" t="str">
        <f t="shared" si="209"/>
        <v>o</v>
      </c>
      <c r="AE2107" t="str">
        <f t="shared" si="213"/>
        <v>Faceoff</v>
      </c>
      <c r="AF2107" t="str">
        <f t="shared" si="211"/>
        <v/>
      </c>
      <c r="AG2107" t="str">
        <f t="shared" si="212"/>
        <v/>
      </c>
      <c r="AN2107" t="str">
        <f t="shared" si="215"/>
        <v>Defensive</v>
      </c>
    </row>
    <row r="2108" spans="1:40" x14ac:dyDescent="0.2">
      <c r="A2108">
        <v>1054</v>
      </c>
      <c r="B2108" t="str">
        <f t="shared" si="214"/>
        <v/>
      </c>
      <c r="J2108">
        <v>8</v>
      </c>
      <c r="U2108" s="8">
        <f t="shared" si="210"/>
        <v>2</v>
      </c>
      <c r="AD2108" t="str">
        <f t="shared" si="209"/>
        <v>o</v>
      </c>
      <c r="AE2108" t="str">
        <f t="shared" si="213"/>
        <v>Faceoff</v>
      </c>
      <c r="AF2108" t="str">
        <f t="shared" si="211"/>
        <v/>
      </c>
      <c r="AG2108" t="str">
        <f t="shared" si="212"/>
        <v/>
      </c>
      <c r="AN2108" t="str">
        <f t="shared" si="215"/>
        <v>Defensive</v>
      </c>
    </row>
    <row r="2109" spans="1:40" x14ac:dyDescent="0.2">
      <c r="A2109">
        <v>1055</v>
      </c>
      <c r="B2109" t="str">
        <f t="shared" si="214"/>
        <v/>
      </c>
      <c r="E2109" s="5" t="s">
        <v>911</v>
      </c>
      <c r="F2109" s="5" t="s">
        <v>864</v>
      </c>
      <c r="G2109" s="5" t="s">
        <v>911</v>
      </c>
      <c r="H2109" s="7" t="s">
        <v>865</v>
      </c>
      <c r="J2109">
        <v>42</v>
      </c>
      <c r="M2109" t="s">
        <v>15</v>
      </c>
      <c r="U2109" s="8">
        <f t="shared" si="210"/>
        <v>2</v>
      </c>
      <c r="AD2109" t="str">
        <f t="shared" si="209"/>
        <v>o</v>
      </c>
      <c r="AE2109" t="str">
        <f t="shared" si="213"/>
        <v>Possession</v>
      </c>
      <c r="AF2109" t="str">
        <f t="shared" si="211"/>
        <v/>
      </c>
      <c r="AG2109" t="str">
        <f t="shared" si="212"/>
        <v/>
      </c>
      <c r="AN2109" t="str">
        <f t="shared" si="215"/>
        <v>Defensive</v>
      </c>
    </row>
    <row r="2110" spans="1:40" x14ac:dyDescent="0.2">
      <c r="A2110">
        <v>1056</v>
      </c>
      <c r="B2110" t="str">
        <f t="shared" si="214"/>
        <v/>
      </c>
      <c r="E2110" s="5" t="s">
        <v>911</v>
      </c>
      <c r="F2110" s="5" t="s">
        <v>865</v>
      </c>
      <c r="J2110">
        <v>42</v>
      </c>
      <c r="M2110" t="s">
        <v>8</v>
      </c>
      <c r="U2110" s="8">
        <f t="shared" si="210"/>
        <v>2</v>
      </c>
      <c r="AD2110" t="str">
        <f t="shared" si="209"/>
        <v>o</v>
      </c>
      <c r="AE2110" t="str">
        <f t="shared" si="213"/>
        <v>Pass</v>
      </c>
      <c r="AF2110" t="str">
        <f t="shared" si="211"/>
        <v/>
      </c>
      <c r="AG2110" t="str">
        <f t="shared" si="212"/>
        <v/>
      </c>
      <c r="AN2110" t="str">
        <f t="shared" si="215"/>
        <v>Defensive</v>
      </c>
    </row>
    <row r="2111" spans="1:40" x14ac:dyDescent="0.2">
      <c r="A2111">
        <v>1056</v>
      </c>
      <c r="B2111" t="str">
        <f t="shared" si="214"/>
        <v/>
      </c>
      <c r="J2111">
        <v>87</v>
      </c>
      <c r="U2111" s="8">
        <f t="shared" si="210"/>
        <v>2</v>
      </c>
      <c r="AD2111" t="str">
        <f t="shared" si="209"/>
        <v>o</v>
      </c>
      <c r="AE2111" t="str">
        <f t="shared" si="213"/>
        <v>Pass</v>
      </c>
      <c r="AF2111" t="str">
        <f t="shared" si="211"/>
        <v/>
      </c>
      <c r="AG2111" t="str">
        <f t="shared" si="212"/>
        <v/>
      </c>
      <c r="AN2111" t="str">
        <f t="shared" si="215"/>
        <v>Defensive</v>
      </c>
    </row>
    <row r="2112" spans="1:40" x14ac:dyDescent="0.2">
      <c r="A2112">
        <v>1056</v>
      </c>
      <c r="B2112" t="str">
        <f t="shared" si="214"/>
        <v/>
      </c>
      <c r="J2112">
        <v>94</v>
      </c>
      <c r="U2112" s="8">
        <f t="shared" si="210"/>
        <v>2</v>
      </c>
      <c r="AD2112" t="str">
        <f t="shared" si="209"/>
        <v>o</v>
      </c>
      <c r="AE2112" t="str">
        <f t="shared" si="213"/>
        <v>Pass</v>
      </c>
      <c r="AF2112" t="str">
        <f t="shared" si="211"/>
        <v/>
      </c>
      <c r="AG2112" t="str">
        <f t="shared" si="212"/>
        <v/>
      </c>
      <c r="AN2112" t="str">
        <f t="shared" si="215"/>
        <v>Defensive</v>
      </c>
    </row>
    <row r="2113" spans="1:40" x14ac:dyDescent="0.2">
      <c r="A2113">
        <v>1057</v>
      </c>
      <c r="B2113" t="str">
        <f t="shared" si="214"/>
        <v/>
      </c>
      <c r="E2113" s="5" t="s">
        <v>911</v>
      </c>
      <c r="F2113" s="5" t="s">
        <v>865</v>
      </c>
      <c r="G2113" s="5" t="s">
        <v>911</v>
      </c>
      <c r="H2113" s="7" t="s">
        <v>898</v>
      </c>
      <c r="J2113">
        <v>87</v>
      </c>
      <c r="M2113" t="s">
        <v>257</v>
      </c>
      <c r="U2113" s="8">
        <f t="shared" si="210"/>
        <v>2</v>
      </c>
      <c r="AD2113" t="str">
        <f t="shared" si="209"/>
        <v>o</v>
      </c>
      <c r="AE2113" t="str">
        <f t="shared" si="213"/>
        <v>Zone_Entry_Exit</v>
      </c>
      <c r="AF2113" t="str">
        <f t="shared" si="211"/>
        <v/>
      </c>
      <c r="AG2113" t="str">
        <f t="shared" si="212"/>
        <v/>
      </c>
      <c r="AN2113" t="str">
        <f t="shared" si="215"/>
        <v>Defensive</v>
      </c>
    </row>
    <row r="2114" spans="1:40" x14ac:dyDescent="0.2">
      <c r="A2114">
        <v>1058</v>
      </c>
      <c r="B2114" t="str">
        <f t="shared" si="214"/>
        <v/>
      </c>
      <c r="E2114" s="5" t="s">
        <v>911</v>
      </c>
      <c r="F2114" s="5" t="s">
        <v>898</v>
      </c>
      <c r="G2114" s="5" t="s">
        <v>911</v>
      </c>
      <c r="H2114" s="7" t="s">
        <v>899</v>
      </c>
      <c r="J2114">
        <v>87</v>
      </c>
      <c r="M2114" t="s">
        <v>15</v>
      </c>
      <c r="U2114" s="8">
        <f t="shared" si="210"/>
        <v>2</v>
      </c>
      <c r="AD2114" t="str">
        <f t="shared" ref="AD2114:AD2177" si="216">IF(K2114="x","",IF(K2114=1,"e","o"))</f>
        <v>o</v>
      </c>
      <c r="AE2114" t="str">
        <f t="shared" si="213"/>
        <v>Possession</v>
      </c>
      <c r="AF2114" t="str">
        <f t="shared" si="211"/>
        <v/>
      </c>
      <c r="AG2114" t="str">
        <f t="shared" si="212"/>
        <v/>
      </c>
      <c r="AN2114" t="str">
        <f t="shared" si="215"/>
        <v>Defensive</v>
      </c>
    </row>
    <row r="2115" spans="1:40" x14ac:dyDescent="0.2">
      <c r="A2115">
        <v>1059</v>
      </c>
      <c r="B2115" t="str">
        <f t="shared" si="214"/>
        <v/>
      </c>
      <c r="E2115" s="5" t="s">
        <v>911</v>
      </c>
      <c r="F2115" s="5" t="s">
        <v>899</v>
      </c>
      <c r="G2115" s="5" t="s">
        <v>911</v>
      </c>
      <c r="H2115" s="7" t="s">
        <v>892</v>
      </c>
      <c r="J2115">
        <v>87</v>
      </c>
      <c r="M2115" t="s">
        <v>257</v>
      </c>
      <c r="U2115" s="8">
        <f t="shared" ref="U2115:U2178" si="217">IF(M2115="Intermission",U2114+1,U2114)</f>
        <v>2</v>
      </c>
      <c r="AD2115" t="str">
        <f t="shared" si="216"/>
        <v>o</v>
      </c>
      <c r="AE2115" t="str">
        <f t="shared" si="213"/>
        <v>Zone_Entry_Exit</v>
      </c>
      <c r="AF2115" t="str">
        <f t="shared" ref="AF2115:AF2178" si="218">IF(N2115&lt;&gt;"",N2115,IF($A2115=$A2114,AF2114,""))</f>
        <v/>
      </c>
      <c r="AG2115" t="str">
        <f t="shared" ref="AG2115:AG2178" si="219">IF(O2115&lt;&gt;"",O2115,IF($A2115=$A2114,AG2114,""))</f>
        <v/>
      </c>
      <c r="AN2115" t="str">
        <f t="shared" si="215"/>
        <v>Defensive</v>
      </c>
    </row>
    <row r="2116" spans="1:40" x14ac:dyDescent="0.2">
      <c r="A2116">
        <v>1059</v>
      </c>
      <c r="B2116" t="str">
        <f t="shared" si="214"/>
        <v/>
      </c>
      <c r="J2116">
        <v>17</v>
      </c>
      <c r="U2116" s="8">
        <f t="shared" si="217"/>
        <v>2</v>
      </c>
      <c r="AD2116" t="str">
        <f t="shared" si="216"/>
        <v>o</v>
      </c>
      <c r="AE2116" t="str">
        <f t="shared" ref="AE2116:AE2179" si="220">IF(M2116&lt;&gt;"",M2116,IF($A2116=$A2115,AE2115,""))</f>
        <v>Zone_Entry_Exit</v>
      </c>
      <c r="AF2116" t="str">
        <f t="shared" si="218"/>
        <v/>
      </c>
      <c r="AG2116" t="str">
        <f t="shared" si="219"/>
        <v/>
      </c>
      <c r="AN2116" t="str">
        <f t="shared" si="215"/>
        <v>Defensive</v>
      </c>
    </row>
    <row r="2117" spans="1:40" x14ac:dyDescent="0.2">
      <c r="A2117">
        <v>1060</v>
      </c>
      <c r="B2117" t="str">
        <f t="shared" si="214"/>
        <v/>
      </c>
      <c r="E2117" s="5" t="s">
        <v>911</v>
      </c>
      <c r="F2117" s="5" t="s">
        <v>892</v>
      </c>
      <c r="J2117">
        <v>87</v>
      </c>
      <c r="M2117" t="s">
        <v>8</v>
      </c>
      <c r="U2117" s="8">
        <f t="shared" si="217"/>
        <v>2</v>
      </c>
      <c r="AD2117" t="str">
        <f t="shared" si="216"/>
        <v>o</v>
      </c>
      <c r="AE2117" t="str">
        <f t="shared" si="220"/>
        <v>Pass</v>
      </c>
      <c r="AF2117" t="str">
        <f t="shared" si="218"/>
        <v/>
      </c>
      <c r="AG2117" t="str">
        <f t="shared" si="219"/>
        <v/>
      </c>
      <c r="AN2117" t="str">
        <f t="shared" si="215"/>
        <v>Defensive</v>
      </c>
    </row>
    <row r="2118" spans="1:40" x14ac:dyDescent="0.2">
      <c r="A2118">
        <v>1060</v>
      </c>
      <c r="B2118" t="str">
        <f t="shared" si="214"/>
        <v/>
      </c>
      <c r="J2118">
        <v>42</v>
      </c>
      <c r="U2118" s="8">
        <f t="shared" si="217"/>
        <v>2</v>
      </c>
      <c r="AD2118" t="str">
        <f t="shared" si="216"/>
        <v>o</v>
      </c>
      <c r="AE2118" t="str">
        <f t="shared" si="220"/>
        <v>Pass</v>
      </c>
      <c r="AF2118" t="str">
        <f t="shared" si="218"/>
        <v/>
      </c>
      <c r="AG2118" t="str">
        <f t="shared" si="219"/>
        <v/>
      </c>
      <c r="AN2118" t="str">
        <f t="shared" si="215"/>
        <v>Defensive</v>
      </c>
    </row>
    <row r="2119" spans="1:40" x14ac:dyDescent="0.2">
      <c r="A2119">
        <v>1060</v>
      </c>
      <c r="B2119" t="str">
        <f t="shared" si="214"/>
        <v/>
      </c>
      <c r="J2119">
        <v>17</v>
      </c>
      <c r="U2119" s="8">
        <f t="shared" si="217"/>
        <v>2</v>
      </c>
      <c r="AD2119" t="str">
        <f t="shared" si="216"/>
        <v>o</v>
      </c>
      <c r="AE2119" t="str">
        <f t="shared" si="220"/>
        <v>Pass</v>
      </c>
      <c r="AF2119" t="str">
        <f t="shared" si="218"/>
        <v/>
      </c>
      <c r="AG2119" t="str">
        <f t="shared" si="219"/>
        <v/>
      </c>
      <c r="AN2119" t="str">
        <f t="shared" si="215"/>
        <v>Defensive</v>
      </c>
    </row>
    <row r="2120" spans="1:40" x14ac:dyDescent="0.2">
      <c r="A2120">
        <v>1060</v>
      </c>
      <c r="B2120" t="str">
        <f t="shared" si="214"/>
        <v/>
      </c>
      <c r="J2120">
        <v>94</v>
      </c>
      <c r="U2120" s="8">
        <f t="shared" si="217"/>
        <v>2</v>
      </c>
      <c r="AD2120" t="str">
        <f t="shared" si="216"/>
        <v>o</v>
      </c>
      <c r="AE2120" t="str">
        <f t="shared" si="220"/>
        <v>Pass</v>
      </c>
      <c r="AF2120" t="str">
        <f t="shared" si="218"/>
        <v/>
      </c>
      <c r="AG2120" t="str">
        <f t="shared" si="219"/>
        <v/>
      </c>
      <c r="AN2120" t="str">
        <f t="shared" si="215"/>
        <v>Defensive</v>
      </c>
    </row>
    <row r="2121" spans="1:40" x14ac:dyDescent="0.2">
      <c r="A2121">
        <v>1061</v>
      </c>
      <c r="B2121">
        <v>176</v>
      </c>
      <c r="E2121" s="5" t="s">
        <v>911</v>
      </c>
      <c r="F2121" s="5" t="s">
        <v>868</v>
      </c>
      <c r="J2121">
        <v>42</v>
      </c>
      <c r="M2121" t="s">
        <v>7</v>
      </c>
      <c r="U2121" s="8">
        <f t="shared" si="217"/>
        <v>2</v>
      </c>
      <c r="AD2121" t="str">
        <f t="shared" si="216"/>
        <v>o</v>
      </c>
      <c r="AE2121" t="str">
        <f t="shared" si="220"/>
        <v>Shot</v>
      </c>
      <c r="AF2121" t="str">
        <f t="shared" si="218"/>
        <v/>
      </c>
      <c r="AG2121" t="str">
        <f t="shared" si="219"/>
        <v/>
      </c>
      <c r="AN2121" t="str">
        <f t="shared" si="215"/>
        <v>Defensive</v>
      </c>
    </row>
    <row r="2122" spans="1:40" x14ac:dyDescent="0.2">
      <c r="A2122">
        <v>1061</v>
      </c>
      <c r="B2122">
        <f>IF(A2122=A2121,B2121,"")</f>
        <v>176</v>
      </c>
      <c r="J2122">
        <v>38</v>
      </c>
      <c r="U2122" s="8">
        <f t="shared" si="217"/>
        <v>2</v>
      </c>
      <c r="AD2122" t="str">
        <f t="shared" si="216"/>
        <v>o</v>
      </c>
      <c r="AE2122" t="str">
        <f t="shared" si="220"/>
        <v>Shot</v>
      </c>
      <c r="AF2122" t="str">
        <f t="shared" si="218"/>
        <v/>
      </c>
      <c r="AG2122" t="str">
        <f t="shared" si="219"/>
        <v/>
      </c>
      <c r="AN2122" t="str">
        <f t="shared" si="215"/>
        <v>Defensive</v>
      </c>
    </row>
    <row r="2123" spans="1:40" x14ac:dyDescent="0.2">
      <c r="A2123">
        <v>1061</v>
      </c>
      <c r="B2123">
        <v>176</v>
      </c>
      <c r="J2123">
        <v>94</v>
      </c>
      <c r="U2123" s="8">
        <f t="shared" si="217"/>
        <v>2</v>
      </c>
      <c r="AD2123" t="str">
        <f t="shared" si="216"/>
        <v>o</v>
      </c>
      <c r="AE2123" t="str">
        <f t="shared" si="220"/>
        <v>Shot</v>
      </c>
      <c r="AF2123" t="str">
        <f t="shared" si="218"/>
        <v/>
      </c>
      <c r="AG2123" t="str">
        <f t="shared" si="219"/>
        <v/>
      </c>
      <c r="AN2123" t="str">
        <f t="shared" si="215"/>
        <v>Defensive</v>
      </c>
    </row>
    <row r="2124" spans="1:40" x14ac:dyDescent="0.2">
      <c r="A2124">
        <v>1062</v>
      </c>
      <c r="B2124" t="str">
        <f t="shared" si="214"/>
        <v/>
      </c>
      <c r="E2124" s="5" t="s">
        <v>911</v>
      </c>
      <c r="F2124" s="5" t="s">
        <v>868</v>
      </c>
      <c r="J2124">
        <v>42</v>
      </c>
      <c r="M2124" t="s">
        <v>9</v>
      </c>
      <c r="U2124" s="8">
        <f t="shared" si="217"/>
        <v>2</v>
      </c>
      <c r="AD2124" t="str">
        <f t="shared" si="216"/>
        <v>o</v>
      </c>
      <c r="AE2124" t="str">
        <f t="shared" si="220"/>
        <v>Goal</v>
      </c>
      <c r="AF2124" t="str">
        <f t="shared" si="218"/>
        <v/>
      </c>
      <c r="AG2124" t="str">
        <f t="shared" si="219"/>
        <v/>
      </c>
      <c r="AN2124" t="str">
        <f t="shared" si="215"/>
        <v>Defensive</v>
      </c>
    </row>
    <row r="2125" spans="1:40" x14ac:dyDescent="0.2">
      <c r="A2125">
        <v>1062</v>
      </c>
      <c r="B2125" t="str">
        <f t="shared" si="214"/>
        <v/>
      </c>
      <c r="J2125">
        <v>38</v>
      </c>
      <c r="U2125" s="8">
        <f t="shared" si="217"/>
        <v>2</v>
      </c>
      <c r="AD2125" t="str">
        <f t="shared" si="216"/>
        <v>o</v>
      </c>
      <c r="AE2125" t="str">
        <f t="shared" si="220"/>
        <v>Goal</v>
      </c>
      <c r="AF2125" t="str">
        <f t="shared" si="218"/>
        <v/>
      </c>
      <c r="AG2125" t="str">
        <f t="shared" si="219"/>
        <v/>
      </c>
      <c r="AN2125" t="str">
        <f t="shared" si="215"/>
        <v>Defensive</v>
      </c>
    </row>
    <row r="2126" spans="1:40" x14ac:dyDescent="0.2">
      <c r="A2126">
        <v>1062</v>
      </c>
      <c r="B2126" t="str">
        <f t="shared" si="214"/>
        <v/>
      </c>
      <c r="J2126">
        <v>94</v>
      </c>
      <c r="U2126" s="8">
        <f t="shared" si="217"/>
        <v>2</v>
      </c>
      <c r="AD2126" t="str">
        <f t="shared" si="216"/>
        <v>o</v>
      </c>
      <c r="AE2126" t="str">
        <f t="shared" si="220"/>
        <v>Goal</v>
      </c>
      <c r="AF2126" t="str">
        <f t="shared" si="218"/>
        <v/>
      </c>
      <c r="AG2126" t="str">
        <f t="shared" si="219"/>
        <v/>
      </c>
      <c r="AN2126" t="str">
        <f t="shared" si="215"/>
        <v>Defensive</v>
      </c>
    </row>
    <row r="2127" spans="1:40" x14ac:dyDescent="0.2">
      <c r="A2127">
        <v>1063</v>
      </c>
      <c r="B2127" t="str">
        <f t="shared" si="214"/>
        <v/>
      </c>
      <c r="E2127" s="5" t="s">
        <v>911</v>
      </c>
      <c r="F2127" s="5" t="s">
        <v>868</v>
      </c>
      <c r="J2127">
        <v>42</v>
      </c>
      <c r="M2127" t="s">
        <v>13</v>
      </c>
      <c r="U2127" s="8">
        <f t="shared" si="217"/>
        <v>2</v>
      </c>
      <c r="AD2127" t="str">
        <f t="shared" si="216"/>
        <v>o</v>
      </c>
      <c r="AE2127" t="str">
        <f t="shared" si="220"/>
        <v>Stoppage</v>
      </c>
      <c r="AF2127" t="str">
        <f t="shared" si="218"/>
        <v/>
      </c>
      <c r="AG2127" t="str">
        <f t="shared" si="219"/>
        <v/>
      </c>
      <c r="AN2127" t="str">
        <f t="shared" si="215"/>
        <v/>
      </c>
    </row>
    <row r="2128" spans="1:40" x14ac:dyDescent="0.2">
      <c r="A2128">
        <v>1064</v>
      </c>
      <c r="B2128" t="str">
        <f t="shared" si="214"/>
        <v/>
      </c>
      <c r="E2128" s="5" t="s">
        <v>911</v>
      </c>
      <c r="F2128" s="5" t="s">
        <v>868</v>
      </c>
      <c r="J2128">
        <v>42</v>
      </c>
      <c r="M2128" t="s">
        <v>262</v>
      </c>
      <c r="U2128" s="8">
        <f t="shared" si="217"/>
        <v>2</v>
      </c>
      <c r="AD2128" t="str">
        <f t="shared" si="216"/>
        <v>o</v>
      </c>
      <c r="AE2128" t="str">
        <f t="shared" si="220"/>
        <v>DeadIce</v>
      </c>
      <c r="AF2128" t="str">
        <f t="shared" si="218"/>
        <v/>
      </c>
      <c r="AG2128" t="str">
        <f t="shared" si="219"/>
        <v/>
      </c>
      <c r="AN2128" t="str">
        <f t="shared" si="215"/>
        <v/>
      </c>
    </row>
    <row r="2129" spans="2:40" x14ac:dyDescent="0.2">
      <c r="B2129" t="str">
        <f t="shared" si="214"/>
        <v/>
      </c>
      <c r="U2129" s="8">
        <f t="shared" si="217"/>
        <v>2</v>
      </c>
      <c r="AD2129" t="str">
        <f t="shared" si="216"/>
        <v>o</v>
      </c>
      <c r="AE2129" t="str">
        <f t="shared" si="220"/>
        <v/>
      </c>
      <c r="AF2129" t="str">
        <f t="shared" si="218"/>
        <v/>
      </c>
      <c r="AG2129" t="str">
        <f t="shared" si="219"/>
        <v/>
      </c>
      <c r="AN2129" t="str">
        <f t="shared" si="215"/>
        <v>Defensive</v>
      </c>
    </row>
    <row r="2130" spans="2:40" x14ac:dyDescent="0.2">
      <c r="B2130" t="str">
        <f t="shared" si="214"/>
        <v/>
      </c>
      <c r="U2130" s="8">
        <f t="shared" si="217"/>
        <v>2</v>
      </c>
      <c r="AD2130" t="str">
        <f t="shared" si="216"/>
        <v>o</v>
      </c>
      <c r="AE2130" t="str">
        <f t="shared" si="220"/>
        <v/>
      </c>
      <c r="AF2130" t="str">
        <f t="shared" si="218"/>
        <v/>
      </c>
      <c r="AG2130" t="str">
        <f t="shared" si="219"/>
        <v/>
      </c>
      <c r="AN2130" t="str">
        <f t="shared" si="215"/>
        <v>Defensive</v>
      </c>
    </row>
    <row r="2131" spans="2:40" x14ac:dyDescent="0.2">
      <c r="B2131" t="str">
        <f t="shared" si="214"/>
        <v/>
      </c>
      <c r="U2131" s="8">
        <f t="shared" si="217"/>
        <v>2</v>
      </c>
      <c r="AD2131" t="str">
        <f t="shared" si="216"/>
        <v>o</v>
      </c>
      <c r="AE2131" t="str">
        <f t="shared" si="220"/>
        <v/>
      </c>
      <c r="AF2131" t="str">
        <f t="shared" si="218"/>
        <v/>
      </c>
      <c r="AG2131" t="str">
        <f t="shared" si="219"/>
        <v/>
      </c>
      <c r="AN2131" t="str">
        <f t="shared" si="215"/>
        <v>Defensive</v>
      </c>
    </row>
    <row r="2132" spans="2:40" x14ac:dyDescent="0.2">
      <c r="B2132" t="str">
        <f t="shared" si="214"/>
        <v/>
      </c>
      <c r="U2132" s="8">
        <f t="shared" si="217"/>
        <v>2</v>
      </c>
      <c r="AD2132" t="str">
        <f t="shared" si="216"/>
        <v>o</v>
      </c>
      <c r="AE2132" t="str">
        <f t="shared" si="220"/>
        <v/>
      </c>
      <c r="AF2132" t="str">
        <f t="shared" si="218"/>
        <v/>
      </c>
      <c r="AG2132" t="str">
        <f t="shared" si="219"/>
        <v/>
      </c>
      <c r="AN2132" t="str">
        <f t="shared" si="215"/>
        <v>Defensive</v>
      </c>
    </row>
    <row r="2133" spans="2:40" x14ac:dyDescent="0.2">
      <c r="B2133" t="str">
        <f t="shared" si="214"/>
        <v/>
      </c>
      <c r="U2133" s="8">
        <f t="shared" si="217"/>
        <v>2</v>
      </c>
      <c r="AD2133" t="str">
        <f t="shared" si="216"/>
        <v>o</v>
      </c>
      <c r="AE2133" t="str">
        <f t="shared" si="220"/>
        <v/>
      </c>
      <c r="AF2133" t="str">
        <f t="shared" si="218"/>
        <v/>
      </c>
      <c r="AG2133" t="str">
        <f t="shared" si="219"/>
        <v/>
      </c>
      <c r="AN2133" t="str">
        <f t="shared" si="215"/>
        <v>Defensive</v>
      </c>
    </row>
    <row r="2134" spans="2:40" x14ac:dyDescent="0.2">
      <c r="B2134" t="str">
        <f t="shared" si="214"/>
        <v/>
      </c>
      <c r="U2134" s="8">
        <f t="shared" si="217"/>
        <v>2</v>
      </c>
      <c r="AD2134" t="str">
        <f t="shared" si="216"/>
        <v>o</v>
      </c>
      <c r="AE2134" t="str">
        <f t="shared" si="220"/>
        <v/>
      </c>
      <c r="AF2134" t="str">
        <f t="shared" si="218"/>
        <v/>
      </c>
      <c r="AG2134" t="str">
        <f t="shared" si="219"/>
        <v/>
      </c>
      <c r="AN2134" t="str">
        <f t="shared" si="215"/>
        <v>Defensive</v>
      </c>
    </row>
    <row r="2135" spans="2:40" x14ac:dyDescent="0.2">
      <c r="B2135" t="str">
        <f t="shared" si="214"/>
        <v/>
      </c>
      <c r="U2135" s="8">
        <f t="shared" si="217"/>
        <v>2</v>
      </c>
      <c r="AD2135" t="str">
        <f t="shared" si="216"/>
        <v>o</v>
      </c>
      <c r="AE2135" t="str">
        <f t="shared" si="220"/>
        <v/>
      </c>
      <c r="AF2135" t="str">
        <f t="shared" si="218"/>
        <v/>
      </c>
      <c r="AG2135" t="str">
        <f t="shared" si="219"/>
        <v/>
      </c>
      <c r="AN2135" t="str">
        <f t="shared" si="215"/>
        <v>Defensive</v>
      </c>
    </row>
    <row r="2136" spans="2:40" x14ac:dyDescent="0.2">
      <c r="B2136" t="str">
        <f t="shared" si="214"/>
        <v/>
      </c>
      <c r="U2136" s="8">
        <f t="shared" si="217"/>
        <v>2</v>
      </c>
      <c r="AD2136" t="str">
        <f t="shared" si="216"/>
        <v>o</v>
      </c>
      <c r="AE2136" t="str">
        <f t="shared" si="220"/>
        <v/>
      </c>
      <c r="AF2136" t="str">
        <f t="shared" si="218"/>
        <v/>
      </c>
      <c r="AG2136" t="str">
        <f t="shared" si="219"/>
        <v/>
      </c>
      <c r="AN2136" t="str">
        <f t="shared" si="215"/>
        <v>Defensive</v>
      </c>
    </row>
    <row r="2137" spans="2:40" x14ac:dyDescent="0.2">
      <c r="B2137" t="str">
        <f t="shared" si="214"/>
        <v/>
      </c>
      <c r="U2137" s="8">
        <f t="shared" si="217"/>
        <v>2</v>
      </c>
      <c r="AD2137" t="str">
        <f t="shared" si="216"/>
        <v>o</v>
      </c>
      <c r="AE2137" t="str">
        <f t="shared" si="220"/>
        <v/>
      </c>
      <c r="AF2137" t="str">
        <f t="shared" si="218"/>
        <v/>
      </c>
      <c r="AG2137" t="str">
        <f t="shared" si="219"/>
        <v/>
      </c>
      <c r="AN2137" t="str">
        <f t="shared" si="215"/>
        <v>Defensive</v>
      </c>
    </row>
    <row r="2138" spans="2:40" x14ac:dyDescent="0.2">
      <c r="B2138" t="str">
        <f t="shared" si="214"/>
        <v/>
      </c>
      <c r="U2138" s="8">
        <f t="shared" si="217"/>
        <v>2</v>
      </c>
      <c r="AD2138" t="str">
        <f t="shared" si="216"/>
        <v>o</v>
      </c>
      <c r="AE2138" t="str">
        <f t="shared" si="220"/>
        <v/>
      </c>
      <c r="AF2138" t="str">
        <f t="shared" si="218"/>
        <v/>
      </c>
      <c r="AG2138" t="str">
        <f t="shared" si="219"/>
        <v/>
      </c>
      <c r="AN2138" t="str">
        <f t="shared" si="215"/>
        <v>Defensive</v>
      </c>
    </row>
    <row r="2139" spans="2:40" x14ac:dyDescent="0.2">
      <c r="B2139" t="str">
        <f t="shared" si="214"/>
        <v/>
      </c>
      <c r="U2139" s="8">
        <f t="shared" si="217"/>
        <v>2</v>
      </c>
      <c r="AD2139" t="str">
        <f t="shared" si="216"/>
        <v>o</v>
      </c>
      <c r="AE2139" t="str">
        <f t="shared" si="220"/>
        <v/>
      </c>
      <c r="AF2139" t="str">
        <f t="shared" si="218"/>
        <v/>
      </c>
      <c r="AG2139" t="str">
        <f t="shared" si="219"/>
        <v/>
      </c>
      <c r="AN2139" t="str">
        <f t="shared" si="215"/>
        <v>Defensive</v>
      </c>
    </row>
    <row r="2140" spans="2:40" x14ac:dyDescent="0.2">
      <c r="B2140" t="str">
        <f t="shared" si="214"/>
        <v/>
      </c>
      <c r="U2140" s="8">
        <f t="shared" si="217"/>
        <v>2</v>
      </c>
      <c r="AD2140" t="str">
        <f t="shared" si="216"/>
        <v>o</v>
      </c>
      <c r="AE2140" t="str">
        <f t="shared" si="220"/>
        <v/>
      </c>
      <c r="AF2140" t="str">
        <f t="shared" si="218"/>
        <v/>
      </c>
      <c r="AG2140" t="str">
        <f t="shared" si="219"/>
        <v/>
      </c>
      <c r="AN2140" t="str">
        <f t="shared" si="215"/>
        <v>Defensive</v>
      </c>
    </row>
    <row r="2141" spans="2:40" x14ac:dyDescent="0.2">
      <c r="B2141" t="str">
        <f t="shared" si="214"/>
        <v/>
      </c>
      <c r="U2141" s="8">
        <f t="shared" si="217"/>
        <v>2</v>
      </c>
      <c r="AD2141" t="str">
        <f t="shared" si="216"/>
        <v>o</v>
      </c>
      <c r="AE2141" t="str">
        <f t="shared" si="220"/>
        <v/>
      </c>
      <c r="AF2141" t="str">
        <f t="shared" si="218"/>
        <v/>
      </c>
      <c r="AG2141" t="str">
        <f t="shared" si="219"/>
        <v/>
      </c>
      <c r="AN2141" t="str">
        <f t="shared" si="215"/>
        <v>Defensive</v>
      </c>
    </row>
    <row r="2142" spans="2:40" x14ac:dyDescent="0.2">
      <c r="B2142" t="str">
        <f t="shared" si="214"/>
        <v/>
      </c>
      <c r="U2142" s="8">
        <f t="shared" si="217"/>
        <v>2</v>
      </c>
      <c r="AD2142" t="str">
        <f t="shared" si="216"/>
        <v>o</v>
      </c>
      <c r="AE2142" t="str">
        <f t="shared" si="220"/>
        <v/>
      </c>
      <c r="AF2142" t="str">
        <f t="shared" si="218"/>
        <v/>
      </c>
      <c r="AG2142" t="str">
        <f t="shared" si="219"/>
        <v/>
      </c>
      <c r="AN2142" t="str">
        <f t="shared" si="215"/>
        <v>Defensive</v>
      </c>
    </row>
    <row r="2143" spans="2:40" x14ac:dyDescent="0.2">
      <c r="B2143" t="str">
        <f t="shared" si="214"/>
        <v/>
      </c>
      <c r="U2143" s="8">
        <f t="shared" si="217"/>
        <v>2</v>
      </c>
      <c r="AD2143" t="str">
        <f t="shared" si="216"/>
        <v>o</v>
      </c>
      <c r="AE2143" t="str">
        <f t="shared" si="220"/>
        <v/>
      </c>
      <c r="AF2143" t="str">
        <f t="shared" si="218"/>
        <v/>
      </c>
      <c r="AG2143" t="str">
        <f t="shared" si="219"/>
        <v/>
      </c>
      <c r="AN2143" t="str">
        <f t="shared" si="215"/>
        <v>Defensive</v>
      </c>
    </row>
    <row r="2144" spans="2:40" x14ac:dyDescent="0.2">
      <c r="B2144" t="str">
        <f t="shared" si="214"/>
        <v/>
      </c>
      <c r="U2144" s="8">
        <f t="shared" si="217"/>
        <v>2</v>
      </c>
      <c r="AD2144" t="str">
        <f t="shared" si="216"/>
        <v>o</v>
      </c>
      <c r="AE2144" t="str">
        <f t="shared" si="220"/>
        <v/>
      </c>
      <c r="AF2144" t="str">
        <f t="shared" si="218"/>
        <v/>
      </c>
      <c r="AG2144" t="str">
        <f t="shared" si="219"/>
        <v/>
      </c>
      <c r="AN2144" t="str">
        <f t="shared" si="215"/>
        <v>Defensive</v>
      </c>
    </row>
    <row r="2145" spans="2:40" x14ac:dyDescent="0.2">
      <c r="B2145" t="str">
        <f t="shared" si="214"/>
        <v/>
      </c>
      <c r="U2145" s="8">
        <f t="shared" si="217"/>
        <v>2</v>
      </c>
      <c r="AD2145" t="str">
        <f t="shared" si="216"/>
        <v>o</v>
      </c>
      <c r="AE2145" t="str">
        <f t="shared" si="220"/>
        <v/>
      </c>
      <c r="AF2145" t="str">
        <f t="shared" si="218"/>
        <v/>
      </c>
      <c r="AG2145" t="str">
        <f t="shared" si="219"/>
        <v/>
      </c>
      <c r="AN2145" t="str">
        <f t="shared" si="215"/>
        <v>Defensive</v>
      </c>
    </row>
    <row r="2146" spans="2:40" x14ac:dyDescent="0.2">
      <c r="B2146" t="str">
        <f t="shared" si="214"/>
        <v/>
      </c>
      <c r="U2146" s="8">
        <f t="shared" si="217"/>
        <v>2</v>
      </c>
      <c r="AD2146" t="str">
        <f t="shared" si="216"/>
        <v>o</v>
      </c>
      <c r="AE2146" t="str">
        <f t="shared" si="220"/>
        <v/>
      </c>
      <c r="AF2146" t="str">
        <f t="shared" si="218"/>
        <v/>
      </c>
      <c r="AG2146" t="str">
        <f t="shared" si="219"/>
        <v/>
      </c>
      <c r="AN2146" t="str">
        <f t="shared" si="215"/>
        <v>Defensive</v>
      </c>
    </row>
    <row r="2147" spans="2:40" x14ac:dyDescent="0.2">
      <c r="B2147" t="str">
        <f t="shared" si="214"/>
        <v/>
      </c>
      <c r="U2147" s="8">
        <f t="shared" si="217"/>
        <v>2</v>
      </c>
      <c r="AD2147" t="str">
        <f t="shared" si="216"/>
        <v>o</v>
      </c>
      <c r="AE2147" t="str">
        <f t="shared" si="220"/>
        <v/>
      </c>
      <c r="AF2147" t="str">
        <f t="shared" si="218"/>
        <v/>
      </c>
      <c r="AG2147" t="str">
        <f t="shared" si="219"/>
        <v/>
      </c>
      <c r="AN2147" t="str">
        <f t="shared" si="215"/>
        <v>Defensive</v>
      </c>
    </row>
    <row r="2148" spans="2:40" x14ac:dyDescent="0.2">
      <c r="B2148" t="str">
        <f t="shared" si="214"/>
        <v/>
      </c>
      <c r="U2148" s="8">
        <f t="shared" si="217"/>
        <v>2</v>
      </c>
      <c r="AD2148" t="str">
        <f t="shared" si="216"/>
        <v>o</v>
      </c>
      <c r="AE2148" t="str">
        <f t="shared" si="220"/>
        <v/>
      </c>
      <c r="AF2148" t="str">
        <f t="shared" si="218"/>
        <v/>
      </c>
      <c r="AG2148" t="str">
        <f t="shared" si="219"/>
        <v/>
      </c>
      <c r="AN2148" t="str">
        <f t="shared" si="215"/>
        <v>Defensive</v>
      </c>
    </row>
    <row r="2149" spans="2:40" x14ac:dyDescent="0.2">
      <c r="B2149" t="str">
        <f t="shared" si="214"/>
        <v/>
      </c>
      <c r="U2149" s="8">
        <f t="shared" si="217"/>
        <v>2</v>
      </c>
      <c r="AD2149" t="str">
        <f t="shared" si="216"/>
        <v>o</v>
      </c>
      <c r="AE2149" t="str">
        <f t="shared" si="220"/>
        <v/>
      </c>
      <c r="AF2149" t="str">
        <f t="shared" si="218"/>
        <v/>
      </c>
      <c r="AG2149" t="str">
        <f t="shared" si="219"/>
        <v/>
      </c>
      <c r="AN2149" t="str">
        <f t="shared" si="215"/>
        <v>Defensive</v>
      </c>
    </row>
    <row r="2150" spans="2:40" x14ac:dyDescent="0.2">
      <c r="B2150" t="str">
        <f t="shared" si="214"/>
        <v/>
      </c>
      <c r="U2150" s="8">
        <f t="shared" si="217"/>
        <v>2</v>
      </c>
      <c r="AD2150" t="str">
        <f t="shared" si="216"/>
        <v>o</v>
      </c>
      <c r="AE2150" t="str">
        <f t="shared" si="220"/>
        <v/>
      </c>
      <c r="AF2150" t="str">
        <f t="shared" si="218"/>
        <v/>
      </c>
      <c r="AG2150" t="str">
        <f t="shared" si="219"/>
        <v/>
      </c>
      <c r="AN2150" t="str">
        <f t="shared" si="215"/>
        <v>Defensive</v>
      </c>
    </row>
    <row r="2151" spans="2:40" x14ac:dyDescent="0.2">
      <c r="B2151" t="str">
        <f t="shared" si="214"/>
        <v/>
      </c>
      <c r="U2151" s="8">
        <f t="shared" si="217"/>
        <v>2</v>
      </c>
      <c r="AD2151" t="str">
        <f t="shared" si="216"/>
        <v>o</v>
      </c>
      <c r="AE2151" t="str">
        <f t="shared" si="220"/>
        <v/>
      </c>
      <c r="AF2151" t="str">
        <f t="shared" si="218"/>
        <v/>
      </c>
      <c r="AG2151" t="str">
        <f t="shared" si="219"/>
        <v/>
      </c>
      <c r="AN2151" t="str">
        <f t="shared" si="215"/>
        <v>Defensive</v>
      </c>
    </row>
    <row r="2152" spans="2:40" x14ac:dyDescent="0.2">
      <c r="B2152" t="str">
        <f t="shared" si="214"/>
        <v/>
      </c>
      <c r="U2152" s="8">
        <f t="shared" si="217"/>
        <v>2</v>
      </c>
      <c r="AD2152" t="str">
        <f t="shared" si="216"/>
        <v>o</v>
      </c>
      <c r="AE2152" t="str">
        <f t="shared" si="220"/>
        <v/>
      </c>
      <c r="AF2152" t="str">
        <f t="shared" si="218"/>
        <v/>
      </c>
      <c r="AG2152" t="str">
        <f t="shared" si="219"/>
        <v/>
      </c>
      <c r="AN2152" t="str">
        <f t="shared" si="215"/>
        <v>Defensive</v>
      </c>
    </row>
    <row r="2153" spans="2:40" x14ac:dyDescent="0.2">
      <c r="B2153" t="str">
        <f t="shared" si="214"/>
        <v/>
      </c>
      <c r="U2153" s="8">
        <f t="shared" si="217"/>
        <v>2</v>
      </c>
      <c r="AD2153" t="str">
        <f t="shared" si="216"/>
        <v>o</v>
      </c>
      <c r="AE2153" t="str">
        <f t="shared" si="220"/>
        <v/>
      </c>
      <c r="AF2153" t="str">
        <f t="shared" si="218"/>
        <v/>
      </c>
      <c r="AG2153" t="str">
        <f t="shared" si="219"/>
        <v/>
      </c>
      <c r="AN2153" t="str">
        <f t="shared" si="215"/>
        <v>Defensive</v>
      </c>
    </row>
    <row r="2154" spans="2:40" x14ac:dyDescent="0.2">
      <c r="B2154" t="str">
        <f t="shared" si="214"/>
        <v/>
      </c>
      <c r="U2154" s="8">
        <f t="shared" si="217"/>
        <v>2</v>
      </c>
      <c r="AD2154" t="str">
        <f t="shared" si="216"/>
        <v>o</v>
      </c>
      <c r="AE2154" t="str">
        <f t="shared" si="220"/>
        <v/>
      </c>
      <c r="AF2154" t="str">
        <f t="shared" si="218"/>
        <v/>
      </c>
      <c r="AG2154" t="str">
        <f t="shared" si="219"/>
        <v/>
      </c>
      <c r="AN2154" t="str">
        <f t="shared" si="215"/>
        <v>Defensive</v>
      </c>
    </row>
    <row r="2155" spans="2:40" x14ac:dyDescent="0.2">
      <c r="B2155" t="str">
        <f t="shared" si="214"/>
        <v/>
      </c>
      <c r="U2155" s="8">
        <f t="shared" si="217"/>
        <v>2</v>
      </c>
      <c r="AD2155" t="str">
        <f t="shared" si="216"/>
        <v>o</v>
      </c>
      <c r="AE2155" t="str">
        <f t="shared" si="220"/>
        <v/>
      </c>
      <c r="AF2155" t="str">
        <f t="shared" si="218"/>
        <v/>
      </c>
      <c r="AG2155" t="str">
        <f t="shared" si="219"/>
        <v/>
      </c>
      <c r="AN2155" t="str">
        <f t="shared" si="215"/>
        <v>Defensive</v>
      </c>
    </row>
    <row r="2156" spans="2:40" x14ac:dyDescent="0.2">
      <c r="B2156" t="str">
        <f t="shared" si="214"/>
        <v/>
      </c>
      <c r="U2156" s="8">
        <f t="shared" si="217"/>
        <v>2</v>
      </c>
      <c r="AD2156" t="str">
        <f t="shared" si="216"/>
        <v>o</v>
      </c>
      <c r="AE2156" t="str">
        <f t="shared" si="220"/>
        <v/>
      </c>
      <c r="AF2156" t="str">
        <f t="shared" si="218"/>
        <v/>
      </c>
      <c r="AG2156" t="str">
        <f t="shared" si="219"/>
        <v/>
      </c>
      <c r="AN2156" t="str">
        <f t="shared" si="215"/>
        <v>Defensive</v>
      </c>
    </row>
    <row r="2157" spans="2:40" x14ac:dyDescent="0.2">
      <c r="B2157" t="str">
        <f t="shared" si="214"/>
        <v/>
      </c>
      <c r="U2157" s="8">
        <f t="shared" si="217"/>
        <v>2</v>
      </c>
      <c r="AD2157" t="str">
        <f t="shared" si="216"/>
        <v>o</v>
      </c>
      <c r="AE2157" t="str">
        <f t="shared" si="220"/>
        <v/>
      </c>
      <c r="AF2157" t="str">
        <f t="shared" si="218"/>
        <v/>
      </c>
      <c r="AG2157" t="str">
        <f t="shared" si="219"/>
        <v/>
      </c>
      <c r="AN2157" t="str">
        <f t="shared" si="215"/>
        <v>Defensive</v>
      </c>
    </row>
    <row r="2158" spans="2:40" x14ac:dyDescent="0.2">
      <c r="B2158" t="str">
        <f t="shared" si="214"/>
        <v/>
      </c>
      <c r="U2158" s="8">
        <f t="shared" si="217"/>
        <v>2</v>
      </c>
      <c r="AD2158" t="str">
        <f t="shared" si="216"/>
        <v>o</v>
      </c>
      <c r="AE2158" t="str">
        <f t="shared" si="220"/>
        <v/>
      </c>
      <c r="AF2158" t="str">
        <f t="shared" si="218"/>
        <v/>
      </c>
      <c r="AG2158" t="str">
        <f t="shared" si="219"/>
        <v/>
      </c>
      <c r="AN2158" t="str">
        <f t="shared" si="215"/>
        <v>Defensive</v>
      </c>
    </row>
    <row r="2159" spans="2:40" x14ac:dyDescent="0.2">
      <c r="B2159" t="str">
        <f t="shared" si="214"/>
        <v/>
      </c>
      <c r="U2159" s="8">
        <f t="shared" si="217"/>
        <v>2</v>
      </c>
      <c r="AD2159" t="str">
        <f t="shared" si="216"/>
        <v>o</v>
      </c>
      <c r="AE2159" t="str">
        <f t="shared" si="220"/>
        <v/>
      </c>
      <c r="AF2159" t="str">
        <f t="shared" si="218"/>
        <v/>
      </c>
      <c r="AG2159" t="str">
        <f t="shared" si="219"/>
        <v/>
      </c>
      <c r="AN2159" t="str">
        <f t="shared" si="215"/>
        <v>Defensive</v>
      </c>
    </row>
    <row r="2160" spans="2:40" x14ac:dyDescent="0.2">
      <c r="B2160" t="str">
        <f t="shared" ref="B2160:B2223" si="221">IF(A2160=A2159,B2159,"")</f>
        <v/>
      </c>
      <c r="U2160" s="8">
        <f t="shared" si="217"/>
        <v>2</v>
      </c>
      <c r="AD2160" t="str">
        <f t="shared" si="216"/>
        <v>o</v>
      </c>
      <c r="AE2160" t="str">
        <f t="shared" si="220"/>
        <v/>
      </c>
      <c r="AF2160" t="str">
        <f t="shared" si="218"/>
        <v/>
      </c>
      <c r="AG2160" t="str">
        <f t="shared" si="219"/>
        <v/>
      </c>
      <c r="AN2160" t="str">
        <f t="shared" si="215"/>
        <v>Defensive</v>
      </c>
    </row>
    <row r="2161" spans="2:40" x14ac:dyDescent="0.2">
      <c r="B2161" t="str">
        <f t="shared" si="221"/>
        <v/>
      </c>
      <c r="U2161" s="8">
        <f t="shared" si="217"/>
        <v>2</v>
      </c>
      <c r="AD2161" t="str">
        <f t="shared" si="216"/>
        <v>o</v>
      </c>
      <c r="AE2161" t="str">
        <f t="shared" si="220"/>
        <v/>
      </c>
      <c r="AF2161" t="str">
        <f t="shared" si="218"/>
        <v/>
      </c>
      <c r="AG2161" t="str">
        <f t="shared" si="219"/>
        <v/>
      </c>
      <c r="AN2161" t="str">
        <f t="shared" si="215"/>
        <v>Defensive</v>
      </c>
    </row>
    <row r="2162" spans="2:40" x14ac:dyDescent="0.2">
      <c r="B2162" t="str">
        <f t="shared" si="221"/>
        <v/>
      </c>
      <c r="U2162" s="8">
        <f t="shared" si="217"/>
        <v>2</v>
      </c>
      <c r="AD2162" t="str">
        <f t="shared" si="216"/>
        <v>o</v>
      </c>
      <c r="AE2162" t="str">
        <f t="shared" si="220"/>
        <v/>
      </c>
      <c r="AF2162" t="str">
        <f t="shared" si="218"/>
        <v/>
      </c>
      <c r="AG2162" t="str">
        <f t="shared" si="219"/>
        <v/>
      </c>
      <c r="AN2162" t="str">
        <f t="shared" si="215"/>
        <v>Defensive</v>
      </c>
    </row>
    <row r="2163" spans="2:40" x14ac:dyDescent="0.2">
      <c r="B2163" t="str">
        <f t="shared" si="221"/>
        <v/>
      </c>
      <c r="U2163" s="8">
        <f t="shared" si="217"/>
        <v>2</v>
      </c>
      <c r="AD2163" t="str">
        <f t="shared" si="216"/>
        <v>o</v>
      </c>
      <c r="AE2163" t="str">
        <f t="shared" si="220"/>
        <v/>
      </c>
      <c r="AF2163" t="str">
        <f t="shared" si="218"/>
        <v/>
      </c>
      <c r="AG2163" t="str">
        <f t="shared" si="219"/>
        <v/>
      </c>
      <c r="AN2163" t="str">
        <f t="shared" si="215"/>
        <v>Defensive</v>
      </c>
    </row>
    <row r="2164" spans="2:40" x14ac:dyDescent="0.2">
      <c r="B2164" t="str">
        <f t="shared" si="221"/>
        <v/>
      </c>
      <c r="U2164" s="8">
        <f t="shared" si="217"/>
        <v>2</v>
      </c>
      <c r="AD2164" t="str">
        <f t="shared" si="216"/>
        <v>o</v>
      </c>
      <c r="AE2164" t="str">
        <f t="shared" si="220"/>
        <v/>
      </c>
      <c r="AF2164" t="str">
        <f t="shared" si="218"/>
        <v/>
      </c>
      <c r="AG2164" t="str">
        <f t="shared" si="219"/>
        <v/>
      </c>
      <c r="AN2164" t="str">
        <f t="shared" si="215"/>
        <v>Defensive</v>
      </c>
    </row>
    <row r="2165" spans="2:40" x14ac:dyDescent="0.2">
      <c r="B2165" t="str">
        <f t="shared" si="221"/>
        <v/>
      </c>
      <c r="U2165" s="8">
        <f t="shared" si="217"/>
        <v>2</v>
      </c>
      <c r="AD2165" t="str">
        <f t="shared" si="216"/>
        <v>o</v>
      </c>
      <c r="AE2165" t="str">
        <f t="shared" si="220"/>
        <v/>
      </c>
      <c r="AF2165" t="str">
        <f t="shared" si="218"/>
        <v/>
      </c>
      <c r="AG2165" t="str">
        <f t="shared" si="219"/>
        <v/>
      </c>
      <c r="AN2165" t="str">
        <f t="shared" si="215"/>
        <v>Defensive</v>
      </c>
    </row>
    <row r="2166" spans="2:40" x14ac:dyDescent="0.2">
      <c r="B2166" t="str">
        <f t="shared" si="221"/>
        <v/>
      </c>
      <c r="U2166" s="8">
        <f t="shared" si="217"/>
        <v>2</v>
      </c>
      <c r="AD2166" t="str">
        <f t="shared" si="216"/>
        <v>o</v>
      </c>
      <c r="AE2166" t="str">
        <f t="shared" si="220"/>
        <v/>
      </c>
      <c r="AF2166" t="str">
        <f t="shared" si="218"/>
        <v/>
      </c>
      <c r="AG2166" t="str">
        <f t="shared" si="219"/>
        <v/>
      </c>
      <c r="AN2166" t="str">
        <f t="shared" si="215"/>
        <v>Defensive</v>
      </c>
    </row>
    <row r="2167" spans="2:40" x14ac:dyDescent="0.2">
      <c r="B2167" t="str">
        <f t="shared" si="221"/>
        <v/>
      </c>
      <c r="U2167" s="8">
        <f t="shared" si="217"/>
        <v>2</v>
      </c>
      <c r="AD2167" t="str">
        <f t="shared" si="216"/>
        <v>o</v>
      </c>
      <c r="AE2167" t="str">
        <f t="shared" si="220"/>
        <v/>
      </c>
      <c r="AF2167" t="str">
        <f t="shared" si="218"/>
        <v/>
      </c>
      <c r="AG2167" t="str">
        <f t="shared" si="219"/>
        <v/>
      </c>
      <c r="AN2167" t="str">
        <f t="shared" si="215"/>
        <v>Defensive</v>
      </c>
    </row>
    <row r="2168" spans="2:40" x14ac:dyDescent="0.2">
      <c r="B2168" t="str">
        <f t="shared" si="221"/>
        <v/>
      </c>
      <c r="U2168" s="8">
        <f t="shared" si="217"/>
        <v>2</v>
      </c>
      <c r="AD2168" t="str">
        <f t="shared" si="216"/>
        <v>o</v>
      </c>
      <c r="AE2168" t="str">
        <f t="shared" si="220"/>
        <v/>
      </c>
      <c r="AF2168" t="str">
        <f t="shared" si="218"/>
        <v/>
      </c>
      <c r="AG2168" t="str">
        <f t="shared" si="219"/>
        <v/>
      </c>
      <c r="AN2168" t="str">
        <f t="shared" si="215"/>
        <v>Defensive</v>
      </c>
    </row>
    <row r="2169" spans="2:40" x14ac:dyDescent="0.2">
      <c r="B2169" t="str">
        <f t="shared" si="221"/>
        <v/>
      </c>
      <c r="U2169" s="8">
        <f t="shared" si="217"/>
        <v>2</v>
      </c>
      <c r="AD2169" t="str">
        <f t="shared" si="216"/>
        <v>o</v>
      </c>
      <c r="AE2169" t="str">
        <f t="shared" si="220"/>
        <v/>
      </c>
      <c r="AF2169" t="str">
        <f t="shared" si="218"/>
        <v/>
      </c>
      <c r="AG2169" t="str">
        <f t="shared" si="219"/>
        <v/>
      </c>
      <c r="AN2169" t="str">
        <f t="shared" ref="AN2169:AN2232" si="222">IF(AND(AD2169="e",OR(AE2169="Save",AF2169="Turnover_Takeaway",AF2169="Play_Defensive")),"Defensive",IF(AND(AD2169="o",OR(AE2169="Save",AF2169="Turnover_Takeaway",AF2169="Play_Defensive")),"Offensive",IF(OR(AE2169="Deadice",AE2169="Stoppage",AE2169="Intermission"),"",IF(AD2169="e","Offensive",IF(AD2169="o","Defensive","")))))</f>
        <v>Defensive</v>
      </c>
    </row>
    <row r="2170" spans="2:40" x14ac:dyDescent="0.2">
      <c r="B2170" t="str">
        <f t="shared" si="221"/>
        <v/>
      </c>
      <c r="U2170" s="8">
        <f t="shared" si="217"/>
        <v>2</v>
      </c>
      <c r="AD2170" t="str">
        <f t="shared" si="216"/>
        <v>o</v>
      </c>
      <c r="AE2170" t="str">
        <f t="shared" si="220"/>
        <v/>
      </c>
      <c r="AF2170" t="str">
        <f t="shared" si="218"/>
        <v/>
      </c>
      <c r="AG2170" t="str">
        <f t="shared" si="219"/>
        <v/>
      </c>
      <c r="AN2170" t="str">
        <f t="shared" si="222"/>
        <v>Defensive</v>
      </c>
    </row>
    <row r="2171" spans="2:40" x14ac:dyDescent="0.2">
      <c r="B2171" t="str">
        <f t="shared" si="221"/>
        <v/>
      </c>
      <c r="U2171" s="8">
        <f t="shared" si="217"/>
        <v>2</v>
      </c>
      <c r="AD2171" t="str">
        <f t="shared" si="216"/>
        <v>o</v>
      </c>
      <c r="AE2171" t="str">
        <f t="shared" si="220"/>
        <v/>
      </c>
      <c r="AF2171" t="str">
        <f t="shared" si="218"/>
        <v/>
      </c>
      <c r="AG2171" t="str">
        <f t="shared" si="219"/>
        <v/>
      </c>
      <c r="AN2171" t="str">
        <f t="shared" si="222"/>
        <v>Defensive</v>
      </c>
    </row>
    <row r="2172" spans="2:40" x14ac:dyDescent="0.2">
      <c r="B2172" t="str">
        <f t="shared" si="221"/>
        <v/>
      </c>
      <c r="U2172" s="8">
        <f t="shared" si="217"/>
        <v>2</v>
      </c>
      <c r="AD2172" t="str">
        <f t="shared" si="216"/>
        <v>o</v>
      </c>
      <c r="AE2172" t="str">
        <f t="shared" si="220"/>
        <v/>
      </c>
      <c r="AF2172" t="str">
        <f t="shared" si="218"/>
        <v/>
      </c>
      <c r="AG2172" t="str">
        <f t="shared" si="219"/>
        <v/>
      </c>
      <c r="AN2172" t="str">
        <f t="shared" si="222"/>
        <v>Defensive</v>
      </c>
    </row>
    <row r="2173" spans="2:40" x14ac:dyDescent="0.2">
      <c r="B2173" t="str">
        <f t="shared" si="221"/>
        <v/>
      </c>
      <c r="U2173" s="8">
        <f t="shared" si="217"/>
        <v>2</v>
      </c>
      <c r="AD2173" t="str">
        <f t="shared" si="216"/>
        <v>o</v>
      </c>
      <c r="AE2173" t="str">
        <f t="shared" si="220"/>
        <v/>
      </c>
      <c r="AF2173" t="str">
        <f t="shared" si="218"/>
        <v/>
      </c>
      <c r="AG2173" t="str">
        <f t="shared" si="219"/>
        <v/>
      </c>
      <c r="AN2173" t="str">
        <f t="shared" si="222"/>
        <v>Defensive</v>
      </c>
    </row>
    <row r="2174" spans="2:40" x14ac:dyDescent="0.2">
      <c r="B2174" t="str">
        <f t="shared" si="221"/>
        <v/>
      </c>
      <c r="U2174" s="8">
        <f t="shared" si="217"/>
        <v>2</v>
      </c>
      <c r="AD2174" t="str">
        <f t="shared" si="216"/>
        <v>o</v>
      </c>
      <c r="AE2174" t="str">
        <f t="shared" si="220"/>
        <v/>
      </c>
      <c r="AF2174" t="str">
        <f t="shared" si="218"/>
        <v/>
      </c>
      <c r="AG2174" t="str">
        <f t="shared" si="219"/>
        <v/>
      </c>
      <c r="AN2174" t="str">
        <f t="shared" si="222"/>
        <v>Defensive</v>
      </c>
    </row>
    <row r="2175" spans="2:40" x14ac:dyDescent="0.2">
      <c r="B2175" t="str">
        <f t="shared" si="221"/>
        <v/>
      </c>
      <c r="U2175" s="8">
        <f t="shared" si="217"/>
        <v>2</v>
      </c>
      <c r="AD2175" t="str">
        <f t="shared" si="216"/>
        <v>o</v>
      </c>
      <c r="AE2175" t="str">
        <f t="shared" si="220"/>
        <v/>
      </c>
      <c r="AF2175" t="str">
        <f t="shared" si="218"/>
        <v/>
      </c>
      <c r="AG2175" t="str">
        <f t="shared" si="219"/>
        <v/>
      </c>
      <c r="AN2175" t="str">
        <f t="shared" si="222"/>
        <v>Defensive</v>
      </c>
    </row>
    <row r="2176" spans="2:40" x14ac:dyDescent="0.2">
      <c r="B2176" t="str">
        <f t="shared" si="221"/>
        <v/>
      </c>
      <c r="U2176" s="8">
        <f t="shared" si="217"/>
        <v>2</v>
      </c>
      <c r="AD2176" t="str">
        <f t="shared" si="216"/>
        <v>o</v>
      </c>
      <c r="AE2176" t="str">
        <f t="shared" si="220"/>
        <v/>
      </c>
      <c r="AF2176" t="str">
        <f t="shared" si="218"/>
        <v/>
      </c>
      <c r="AG2176" t="str">
        <f t="shared" si="219"/>
        <v/>
      </c>
      <c r="AN2176" t="str">
        <f t="shared" si="222"/>
        <v>Defensive</v>
      </c>
    </row>
    <row r="2177" spans="2:40" x14ac:dyDescent="0.2">
      <c r="B2177" t="str">
        <f t="shared" si="221"/>
        <v/>
      </c>
      <c r="U2177" s="8">
        <f t="shared" si="217"/>
        <v>2</v>
      </c>
      <c r="AD2177" t="str">
        <f t="shared" si="216"/>
        <v>o</v>
      </c>
      <c r="AE2177" t="str">
        <f t="shared" si="220"/>
        <v/>
      </c>
      <c r="AF2177" t="str">
        <f t="shared" si="218"/>
        <v/>
      </c>
      <c r="AG2177" t="str">
        <f t="shared" si="219"/>
        <v/>
      </c>
      <c r="AN2177" t="str">
        <f t="shared" si="222"/>
        <v>Defensive</v>
      </c>
    </row>
    <row r="2178" spans="2:40" x14ac:dyDescent="0.2">
      <c r="B2178" t="str">
        <f t="shared" si="221"/>
        <v/>
      </c>
      <c r="U2178" s="8">
        <f t="shared" si="217"/>
        <v>2</v>
      </c>
      <c r="AD2178" t="str">
        <f t="shared" ref="AD2178:AD2241" si="223">IF(K2178="x","",IF(K2178=1,"e","o"))</f>
        <v>o</v>
      </c>
      <c r="AE2178" t="str">
        <f t="shared" si="220"/>
        <v/>
      </c>
      <c r="AF2178" t="str">
        <f t="shared" si="218"/>
        <v/>
      </c>
      <c r="AG2178" t="str">
        <f t="shared" si="219"/>
        <v/>
      </c>
      <c r="AN2178" t="str">
        <f t="shared" si="222"/>
        <v>Defensive</v>
      </c>
    </row>
    <row r="2179" spans="2:40" x14ac:dyDescent="0.2">
      <c r="B2179" t="str">
        <f t="shared" si="221"/>
        <v/>
      </c>
      <c r="U2179" s="8">
        <f t="shared" ref="U2179:U2242" si="224">IF(M2179="Intermission",U2178+1,U2178)</f>
        <v>2</v>
      </c>
      <c r="AD2179" t="str">
        <f t="shared" si="223"/>
        <v>o</v>
      </c>
      <c r="AE2179" t="str">
        <f t="shared" si="220"/>
        <v/>
      </c>
      <c r="AF2179" t="str">
        <f t="shared" ref="AF2179:AF2242" si="225">IF(N2179&lt;&gt;"",N2179,IF($A2179=$A2178,AF2178,""))</f>
        <v/>
      </c>
      <c r="AG2179" t="str">
        <f t="shared" ref="AG2179:AG2242" si="226">IF(O2179&lt;&gt;"",O2179,IF($A2179=$A2178,AG2178,""))</f>
        <v/>
      </c>
      <c r="AN2179" t="str">
        <f t="shared" si="222"/>
        <v>Defensive</v>
      </c>
    </row>
    <row r="2180" spans="2:40" x14ac:dyDescent="0.2">
      <c r="B2180" t="str">
        <f t="shared" si="221"/>
        <v/>
      </c>
      <c r="U2180" s="8">
        <f t="shared" si="224"/>
        <v>2</v>
      </c>
      <c r="AD2180" t="str">
        <f t="shared" si="223"/>
        <v>o</v>
      </c>
      <c r="AE2180" t="str">
        <f t="shared" ref="AE2180:AE2243" si="227">IF(M2180&lt;&gt;"",M2180,IF($A2180=$A2179,AE2179,""))</f>
        <v/>
      </c>
      <c r="AF2180" t="str">
        <f t="shared" si="225"/>
        <v/>
      </c>
      <c r="AG2180" t="str">
        <f t="shared" si="226"/>
        <v/>
      </c>
      <c r="AN2180" t="str">
        <f t="shared" si="222"/>
        <v>Defensive</v>
      </c>
    </row>
    <row r="2181" spans="2:40" x14ac:dyDescent="0.2">
      <c r="B2181" t="str">
        <f t="shared" si="221"/>
        <v/>
      </c>
      <c r="U2181" s="8">
        <f t="shared" si="224"/>
        <v>2</v>
      </c>
      <c r="AD2181" t="str">
        <f t="shared" si="223"/>
        <v>o</v>
      </c>
      <c r="AE2181" t="str">
        <f t="shared" si="227"/>
        <v/>
      </c>
      <c r="AF2181" t="str">
        <f t="shared" si="225"/>
        <v/>
      </c>
      <c r="AG2181" t="str">
        <f t="shared" si="226"/>
        <v/>
      </c>
      <c r="AN2181" t="str">
        <f t="shared" si="222"/>
        <v>Defensive</v>
      </c>
    </row>
    <row r="2182" spans="2:40" x14ac:dyDescent="0.2">
      <c r="B2182" t="str">
        <f t="shared" si="221"/>
        <v/>
      </c>
      <c r="U2182" s="8">
        <f t="shared" si="224"/>
        <v>2</v>
      </c>
      <c r="AD2182" t="str">
        <f t="shared" si="223"/>
        <v>o</v>
      </c>
      <c r="AE2182" t="str">
        <f t="shared" si="227"/>
        <v/>
      </c>
      <c r="AF2182" t="str">
        <f t="shared" si="225"/>
        <v/>
      </c>
      <c r="AG2182" t="str">
        <f t="shared" si="226"/>
        <v/>
      </c>
      <c r="AN2182" t="str">
        <f t="shared" si="222"/>
        <v>Defensive</v>
      </c>
    </row>
    <row r="2183" spans="2:40" x14ac:dyDescent="0.2">
      <c r="B2183" t="str">
        <f t="shared" si="221"/>
        <v/>
      </c>
      <c r="U2183" s="8">
        <f t="shared" si="224"/>
        <v>2</v>
      </c>
      <c r="AD2183" t="str">
        <f t="shared" si="223"/>
        <v>o</v>
      </c>
      <c r="AE2183" t="str">
        <f t="shared" si="227"/>
        <v/>
      </c>
      <c r="AF2183" t="str">
        <f t="shared" si="225"/>
        <v/>
      </c>
      <c r="AG2183" t="str">
        <f t="shared" si="226"/>
        <v/>
      </c>
      <c r="AN2183" t="str">
        <f t="shared" si="222"/>
        <v>Defensive</v>
      </c>
    </row>
    <row r="2184" spans="2:40" x14ac:dyDescent="0.2">
      <c r="B2184" t="str">
        <f t="shared" si="221"/>
        <v/>
      </c>
      <c r="U2184" s="8">
        <f t="shared" si="224"/>
        <v>2</v>
      </c>
      <c r="AD2184" t="str">
        <f t="shared" si="223"/>
        <v>o</v>
      </c>
      <c r="AE2184" t="str">
        <f t="shared" si="227"/>
        <v/>
      </c>
      <c r="AF2184" t="str">
        <f t="shared" si="225"/>
        <v/>
      </c>
      <c r="AG2184" t="str">
        <f t="shared" si="226"/>
        <v/>
      </c>
      <c r="AN2184" t="str">
        <f t="shared" si="222"/>
        <v>Defensive</v>
      </c>
    </row>
    <row r="2185" spans="2:40" x14ac:dyDescent="0.2">
      <c r="B2185" t="str">
        <f t="shared" si="221"/>
        <v/>
      </c>
      <c r="U2185" s="8">
        <f t="shared" si="224"/>
        <v>2</v>
      </c>
      <c r="AD2185" t="str">
        <f t="shared" si="223"/>
        <v>o</v>
      </c>
      <c r="AE2185" t="str">
        <f t="shared" si="227"/>
        <v/>
      </c>
      <c r="AF2185" t="str">
        <f t="shared" si="225"/>
        <v/>
      </c>
      <c r="AG2185" t="str">
        <f t="shared" si="226"/>
        <v/>
      </c>
      <c r="AN2185" t="str">
        <f t="shared" si="222"/>
        <v>Defensive</v>
      </c>
    </row>
    <row r="2186" spans="2:40" x14ac:dyDescent="0.2">
      <c r="B2186" t="str">
        <f t="shared" si="221"/>
        <v/>
      </c>
      <c r="U2186" s="8">
        <f t="shared" si="224"/>
        <v>2</v>
      </c>
      <c r="AD2186" t="str">
        <f t="shared" si="223"/>
        <v>o</v>
      </c>
      <c r="AE2186" t="str">
        <f t="shared" si="227"/>
        <v/>
      </c>
      <c r="AF2186" t="str">
        <f t="shared" si="225"/>
        <v/>
      </c>
      <c r="AG2186" t="str">
        <f t="shared" si="226"/>
        <v/>
      </c>
      <c r="AN2186" t="str">
        <f t="shared" si="222"/>
        <v>Defensive</v>
      </c>
    </row>
    <row r="2187" spans="2:40" x14ac:dyDescent="0.2">
      <c r="B2187" t="str">
        <f t="shared" si="221"/>
        <v/>
      </c>
      <c r="U2187" s="8">
        <f t="shared" si="224"/>
        <v>2</v>
      </c>
      <c r="AD2187" t="str">
        <f t="shared" si="223"/>
        <v>o</v>
      </c>
      <c r="AE2187" t="str">
        <f t="shared" si="227"/>
        <v/>
      </c>
      <c r="AF2187" t="str">
        <f t="shared" si="225"/>
        <v/>
      </c>
      <c r="AG2187" t="str">
        <f t="shared" si="226"/>
        <v/>
      </c>
      <c r="AN2187" t="str">
        <f t="shared" si="222"/>
        <v>Defensive</v>
      </c>
    </row>
    <row r="2188" spans="2:40" x14ac:dyDescent="0.2">
      <c r="B2188" t="str">
        <f t="shared" si="221"/>
        <v/>
      </c>
      <c r="U2188" s="8">
        <f t="shared" si="224"/>
        <v>2</v>
      </c>
      <c r="AD2188" t="str">
        <f t="shared" si="223"/>
        <v>o</v>
      </c>
      <c r="AE2188" t="str">
        <f t="shared" si="227"/>
        <v/>
      </c>
      <c r="AF2188" t="str">
        <f t="shared" si="225"/>
        <v/>
      </c>
      <c r="AG2188" t="str">
        <f t="shared" si="226"/>
        <v/>
      </c>
      <c r="AN2188" t="str">
        <f t="shared" si="222"/>
        <v>Defensive</v>
      </c>
    </row>
    <row r="2189" spans="2:40" x14ac:dyDescent="0.2">
      <c r="B2189" t="str">
        <f t="shared" si="221"/>
        <v/>
      </c>
      <c r="U2189" s="8">
        <f t="shared" si="224"/>
        <v>2</v>
      </c>
      <c r="AD2189" t="str">
        <f t="shared" si="223"/>
        <v>o</v>
      </c>
      <c r="AE2189" t="str">
        <f t="shared" si="227"/>
        <v/>
      </c>
      <c r="AF2189" t="str">
        <f t="shared" si="225"/>
        <v/>
      </c>
      <c r="AG2189" t="str">
        <f t="shared" si="226"/>
        <v/>
      </c>
      <c r="AN2189" t="str">
        <f t="shared" si="222"/>
        <v>Defensive</v>
      </c>
    </row>
    <row r="2190" spans="2:40" x14ac:dyDescent="0.2">
      <c r="B2190" t="str">
        <f t="shared" si="221"/>
        <v/>
      </c>
      <c r="U2190" s="8">
        <f t="shared" si="224"/>
        <v>2</v>
      </c>
      <c r="AD2190" t="str">
        <f t="shared" si="223"/>
        <v>o</v>
      </c>
      <c r="AE2190" t="str">
        <f t="shared" si="227"/>
        <v/>
      </c>
      <c r="AF2190" t="str">
        <f t="shared" si="225"/>
        <v/>
      </c>
      <c r="AG2190" t="str">
        <f t="shared" si="226"/>
        <v/>
      </c>
      <c r="AN2190" t="str">
        <f t="shared" si="222"/>
        <v>Defensive</v>
      </c>
    </row>
    <row r="2191" spans="2:40" x14ac:dyDescent="0.2">
      <c r="B2191" t="str">
        <f t="shared" si="221"/>
        <v/>
      </c>
      <c r="U2191" s="8">
        <f t="shared" si="224"/>
        <v>2</v>
      </c>
      <c r="AD2191" t="str">
        <f t="shared" si="223"/>
        <v>o</v>
      </c>
      <c r="AE2191" t="str">
        <f t="shared" si="227"/>
        <v/>
      </c>
      <c r="AF2191" t="str">
        <f t="shared" si="225"/>
        <v/>
      </c>
      <c r="AG2191" t="str">
        <f t="shared" si="226"/>
        <v/>
      </c>
      <c r="AN2191" t="str">
        <f t="shared" si="222"/>
        <v>Defensive</v>
      </c>
    </row>
    <row r="2192" spans="2:40" x14ac:dyDescent="0.2">
      <c r="B2192" t="str">
        <f t="shared" si="221"/>
        <v/>
      </c>
      <c r="U2192" s="8">
        <f t="shared" si="224"/>
        <v>2</v>
      </c>
      <c r="AD2192" t="str">
        <f t="shared" si="223"/>
        <v>o</v>
      </c>
      <c r="AE2192" t="str">
        <f t="shared" si="227"/>
        <v/>
      </c>
      <c r="AF2192" t="str">
        <f t="shared" si="225"/>
        <v/>
      </c>
      <c r="AG2192" t="str">
        <f t="shared" si="226"/>
        <v/>
      </c>
      <c r="AN2192" t="str">
        <f t="shared" si="222"/>
        <v>Defensive</v>
      </c>
    </row>
    <row r="2193" spans="2:40" x14ac:dyDescent="0.2">
      <c r="B2193" t="str">
        <f t="shared" si="221"/>
        <v/>
      </c>
      <c r="U2193" s="8">
        <f t="shared" si="224"/>
        <v>2</v>
      </c>
      <c r="AD2193" t="str">
        <f t="shared" si="223"/>
        <v>o</v>
      </c>
      <c r="AE2193" t="str">
        <f t="shared" si="227"/>
        <v/>
      </c>
      <c r="AF2193" t="str">
        <f t="shared" si="225"/>
        <v/>
      </c>
      <c r="AG2193" t="str">
        <f t="shared" si="226"/>
        <v/>
      </c>
      <c r="AN2193" t="str">
        <f t="shared" si="222"/>
        <v>Defensive</v>
      </c>
    </row>
    <row r="2194" spans="2:40" x14ac:dyDescent="0.2">
      <c r="B2194" t="str">
        <f t="shared" si="221"/>
        <v/>
      </c>
      <c r="U2194" s="8">
        <f t="shared" si="224"/>
        <v>2</v>
      </c>
      <c r="AD2194" t="str">
        <f t="shared" si="223"/>
        <v>o</v>
      </c>
      <c r="AE2194" t="str">
        <f t="shared" si="227"/>
        <v/>
      </c>
      <c r="AF2194" t="str">
        <f t="shared" si="225"/>
        <v/>
      </c>
      <c r="AG2194" t="str">
        <f t="shared" si="226"/>
        <v/>
      </c>
      <c r="AN2194" t="str">
        <f t="shared" si="222"/>
        <v>Defensive</v>
      </c>
    </row>
    <row r="2195" spans="2:40" x14ac:dyDescent="0.2">
      <c r="B2195" t="str">
        <f t="shared" si="221"/>
        <v/>
      </c>
      <c r="U2195" s="8">
        <f t="shared" si="224"/>
        <v>2</v>
      </c>
      <c r="AD2195" t="str">
        <f t="shared" si="223"/>
        <v>o</v>
      </c>
      <c r="AE2195" t="str">
        <f t="shared" si="227"/>
        <v/>
      </c>
      <c r="AF2195" t="str">
        <f t="shared" si="225"/>
        <v/>
      </c>
      <c r="AG2195" t="str">
        <f t="shared" si="226"/>
        <v/>
      </c>
      <c r="AN2195" t="str">
        <f t="shared" si="222"/>
        <v>Defensive</v>
      </c>
    </row>
    <row r="2196" spans="2:40" x14ac:dyDescent="0.2">
      <c r="B2196" t="str">
        <f t="shared" si="221"/>
        <v/>
      </c>
      <c r="U2196" s="8">
        <f t="shared" si="224"/>
        <v>2</v>
      </c>
      <c r="AD2196" t="str">
        <f t="shared" si="223"/>
        <v>o</v>
      </c>
      <c r="AE2196" t="str">
        <f t="shared" si="227"/>
        <v/>
      </c>
      <c r="AF2196" t="str">
        <f t="shared" si="225"/>
        <v/>
      </c>
      <c r="AG2196" t="str">
        <f t="shared" si="226"/>
        <v/>
      </c>
      <c r="AN2196" t="str">
        <f t="shared" si="222"/>
        <v>Defensive</v>
      </c>
    </row>
    <row r="2197" spans="2:40" x14ac:dyDescent="0.2">
      <c r="B2197" t="str">
        <f t="shared" si="221"/>
        <v/>
      </c>
      <c r="U2197" s="8">
        <f t="shared" si="224"/>
        <v>2</v>
      </c>
      <c r="AD2197" t="str">
        <f t="shared" si="223"/>
        <v>o</v>
      </c>
      <c r="AE2197" t="str">
        <f t="shared" si="227"/>
        <v/>
      </c>
      <c r="AF2197" t="str">
        <f t="shared" si="225"/>
        <v/>
      </c>
      <c r="AG2197" t="str">
        <f t="shared" si="226"/>
        <v/>
      </c>
      <c r="AN2197" t="str">
        <f t="shared" si="222"/>
        <v>Defensive</v>
      </c>
    </row>
    <row r="2198" spans="2:40" x14ac:dyDescent="0.2">
      <c r="B2198" t="str">
        <f t="shared" si="221"/>
        <v/>
      </c>
      <c r="U2198" s="8">
        <f t="shared" si="224"/>
        <v>2</v>
      </c>
      <c r="AD2198" t="str">
        <f t="shared" si="223"/>
        <v>o</v>
      </c>
      <c r="AE2198" t="str">
        <f t="shared" si="227"/>
        <v/>
      </c>
      <c r="AF2198" t="str">
        <f t="shared" si="225"/>
        <v/>
      </c>
      <c r="AG2198" t="str">
        <f t="shared" si="226"/>
        <v/>
      </c>
      <c r="AN2198" t="str">
        <f t="shared" si="222"/>
        <v>Defensive</v>
      </c>
    </row>
    <row r="2199" spans="2:40" x14ac:dyDescent="0.2">
      <c r="B2199" t="str">
        <f t="shared" si="221"/>
        <v/>
      </c>
      <c r="U2199" s="8">
        <f t="shared" si="224"/>
        <v>2</v>
      </c>
      <c r="AD2199" t="str">
        <f t="shared" si="223"/>
        <v>o</v>
      </c>
      <c r="AE2199" t="str">
        <f t="shared" si="227"/>
        <v/>
      </c>
      <c r="AF2199" t="str">
        <f t="shared" si="225"/>
        <v/>
      </c>
      <c r="AG2199" t="str">
        <f t="shared" si="226"/>
        <v/>
      </c>
      <c r="AN2199" t="str">
        <f t="shared" si="222"/>
        <v>Defensive</v>
      </c>
    </row>
    <row r="2200" spans="2:40" x14ac:dyDescent="0.2">
      <c r="B2200" t="str">
        <f t="shared" si="221"/>
        <v/>
      </c>
      <c r="U2200" s="8">
        <f t="shared" si="224"/>
        <v>2</v>
      </c>
      <c r="AD2200" t="str">
        <f t="shared" si="223"/>
        <v>o</v>
      </c>
      <c r="AE2200" t="str">
        <f t="shared" si="227"/>
        <v/>
      </c>
      <c r="AF2200" t="str">
        <f t="shared" si="225"/>
        <v/>
      </c>
      <c r="AG2200" t="str">
        <f t="shared" si="226"/>
        <v/>
      </c>
      <c r="AN2200" t="str">
        <f t="shared" si="222"/>
        <v>Defensive</v>
      </c>
    </row>
    <row r="2201" spans="2:40" x14ac:dyDescent="0.2">
      <c r="B2201" t="str">
        <f t="shared" si="221"/>
        <v/>
      </c>
      <c r="U2201" s="8">
        <f t="shared" si="224"/>
        <v>2</v>
      </c>
      <c r="AD2201" t="str">
        <f t="shared" si="223"/>
        <v>o</v>
      </c>
      <c r="AE2201" t="str">
        <f t="shared" si="227"/>
        <v/>
      </c>
      <c r="AF2201" t="str">
        <f t="shared" si="225"/>
        <v/>
      </c>
      <c r="AG2201" t="str">
        <f t="shared" si="226"/>
        <v/>
      </c>
      <c r="AN2201" t="str">
        <f t="shared" si="222"/>
        <v>Defensive</v>
      </c>
    </row>
    <row r="2202" spans="2:40" x14ac:dyDescent="0.2">
      <c r="B2202" t="str">
        <f t="shared" si="221"/>
        <v/>
      </c>
      <c r="U2202" s="8">
        <f t="shared" si="224"/>
        <v>2</v>
      </c>
      <c r="AD2202" t="str">
        <f t="shared" si="223"/>
        <v>o</v>
      </c>
      <c r="AE2202" t="str">
        <f t="shared" si="227"/>
        <v/>
      </c>
      <c r="AF2202" t="str">
        <f t="shared" si="225"/>
        <v/>
      </c>
      <c r="AG2202" t="str">
        <f t="shared" si="226"/>
        <v/>
      </c>
      <c r="AN2202" t="str">
        <f t="shared" si="222"/>
        <v>Defensive</v>
      </c>
    </row>
    <row r="2203" spans="2:40" x14ac:dyDescent="0.2">
      <c r="B2203" t="str">
        <f t="shared" si="221"/>
        <v/>
      </c>
      <c r="U2203" s="8">
        <f t="shared" si="224"/>
        <v>2</v>
      </c>
      <c r="AD2203" t="str">
        <f t="shared" si="223"/>
        <v>o</v>
      </c>
      <c r="AE2203" t="str">
        <f t="shared" si="227"/>
        <v/>
      </c>
      <c r="AF2203" t="str">
        <f t="shared" si="225"/>
        <v/>
      </c>
      <c r="AG2203" t="str">
        <f t="shared" si="226"/>
        <v/>
      </c>
      <c r="AN2203" t="str">
        <f t="shared" si="222"/>
        <v>Defensive</v>
      </c>
    </row>
    <row r="2204" spans="2:40" x14ac:dyDescent="0.2">
      <c r="B2204" t="str">
        <f t="shared" si="221"/>
        <v/>
      </c>
      <c r="U2204" s="8">
        <f t="shared" si="224"/>
        <v>2</v>
      </c>
      <c r="AD2204" t="str">
        <f t="shared" si="223"/>
        <v>o</v>
      </c>
      <c r="AE2204" t="str">
        <f t="shared" si="227"/>
        <v/>
      </c>
      <c r="AF2204" t="str">
        <f t="shared" si="225"/>
        <v/>
      </c>
      <c r="AG2204" t="str">
        <f t="shared" si="226"/>
        <v/>
      </c>
      <c r="AN2204" t="str">
        <f t="shared" si="222"/>
        <v>Defensive</v>
      </c>
    </row>
    <row r="2205" spans="2:40" x14ac:dyDescent="0.2">
      <c r="B2205" t="str">
        <f t="shared" si="221"/>
        <v/>
      </c>
      <c r="U2205" s="8">
        <f t="shared" si="224"/>
        <v>2</v>
      </c>
      <c r="AD2205" t="str">
        <f t="shared" si="223"/>
        <v>o</v>
      </c>
      <c r="AE2205" t="str">
        <f t="shared" si="227"/>
        <v/>
      </c>
      <c r="AF2205" t="str">
        <f t="shared" si="225"/>
        <v/>
      </c>
      <c r="AG2205" t="str">
        <f t="shared" si="226"/>
        <v/>
      </c>
      <c r="AN2205" t="str">
        <f t="shared" si="222"/>
        <v>Defensive</v>
      </c>
    </row>
    <row r="2206" spans="2:40" x14ac:dyDescent="0.2">
      <c r="B2206" t="str">
        <f t="shared" si="221"/>
        <v/>
      </c>
      <c r="U2206" s="8">
        <f t="shared" si="224"/>
        <v>2</v>
      </c>
      <c r="AD2206" t="str">
        <f t="shared" si="223"/>
        <v>o</v>
      </c>
      <c r="AE2206" t="str">
        <f t="shared" si="227"/>
        <v/>
      </c>
      <c r="AF2206" t="str">
        <f t="shared" si="225"/>
        <v/>
      </c>
      <c r="AG2206" t="str">
        <f t="shared" si="226"/>
        <v/>
      </c>
      <c r="AN2206" t="str">
        <f t="shared" si="222"/>
        <v>Defensive</v>
      </c>
    </row>
    <row r="2207" spans="2:40" x14ac:dyDescent="0.2">
      <c r="B2207" t="str">
        <f t="shared" si="221"/>
        <v/>
      </c>
      <c r="U2207" s="8">
        <f t="shared" si="224"/>
        <v>2</v>
      </c>
      <c r="AD2207" t="str">
        <f t="shared" si="223"/>
        <v>o</v>
      </c>
      <c r="AE2207" t="str">
        <f t="shared" si="227"/>
        <v/>
      </c>
      <c r="AF2207" t="str">
        <f t="shared" si="225"/>
        <v/>
      </c>
      <c r="AG2207" t="str">
        <f t="shared" si="226"/>
        <v/>
      </c>
      <c r="AN2207" t="str">
        <f t="shared" si="222"/>
        <v>Defensive</v>
      </c>
    </row>
    <row r="2208" spans="2:40" x14ac:dyDescent="0.2">
      <c r="B2208" t="str">
        <f t="shared" si="221"/>
        <v/>
      </c>
      <c r="U2208" s="8">
        <f t="shared" si="224"/>
        <v>2</v>
      </c>
      <c r="AD2208" t="str">
        <f t="shared" si="223"/>
        <v>o</v>
      </c>
      <c r="AE2208" t="str">
        <f t="shared" si="227"/>
        <v/>
      </c>
      <c r="AF2208" t="str">
        <f t="shared" si="225"/>
        <v/>
      </c>
      <c r="AG2208" t="str">
        <f t="shared" si="226"/>
        <v/>
      </c>
      <c r="AN2208" t="str">
        <f t="shared" si="222"/>
        <v>Defensive</v>
      </c>
    </row>
    <row r="2209" spans="2:40" x14ac:dyDescent="0.2">
      <c r="B2209" t="str">
        <f t="shared" si="221"/>
        <v/>
      </c>
      <c r="U2209" s="8">
        <f t="shared" si="224"/>
        <v>2</v>
      </c>
      <c r="AD2209" t="str">
        <f t="shared" si="223"/>
        <v>o</v>
      </c>
      <c r="AE2209" t="str">
        <f t="shared" si="227"/>
        <v/>
      </c>
      <c r="AF2209" t="str">
        <f t="shared" si="225"/>
        <v/>
      </c>
      <c r="AG2209" t="str">
        <f t="shared" si="226"/>
        <v/>
      </c>
      <c r="AN2209" t="str">
        <f t="shared" si="222"/>
        <v>Defensive</v>
      </c>
    </row>
    <row r="2210" spans="2:40" x14ac:dyDescent="0.2">
      <c r="B2210" t="str">
        <f t="shared" si="221"/>
        <v/>
      </c>
      <c r="U2210" s="8">
        <f t="shared" si="224"/>
        <v>2</v>
      </c>
      <c r="AD2210" t="str">
        <f t="shared" si="223"/>
        <v>o</v>
      </c>
      <c r="AE2210" t="str">
        <f t="shared" si="227"/>
        <v/>
      </c>
      <c r="AF2210" t="str">
        <f t="shared" si="225"/>
        <v/>
      </c>
      <c r="AG2210" t="str">
        <f t="shared" si="226"/>
        <v/>
      </c>
      <c r="AN2210" t="str">
        <f t="shared" si="222"/>
        <v>Defensive</v>
      </c>
    </row>
    <row r="2211" spans="2:40" x14ac:dyDescent="0.2">
      <c r="B2211" t="str">
        <f t="shared" si="221"/>
        <v/>
      </c>
      <c r="U2211" s="8">
        <f t="shared" si="224"/>
        <v>2</v>
      </c>
      <c r="AD2211" t="str">
        <f t="shared" si="223"/>
        <v>o</v>
      </c>
      <c r="AE2211" t="str">
        <f t="shared" si="227"/>
        <v/>
      </c>
      <c r="AF2211" t="str">
        <f t="shared" si="225"/>
        <v/>
      </c>
      <c r="AG2211" t="str">
        <f t="shared" si="226"/>
        <v/>
      </c>
      <c r="AN2211" t="str">
        <f t="shared" si="222"/>
        <v>Defensive</v>
      </c>
    </row>
    <row r="2212" spans="2:40" x14ac:dyDescent="0.2">
      <c r="B2212" t="str">
        <f t="shared" si="221"/>
        <v/>
      </c>
      <c r="U2212" s="8">
        <f t="shared" si="224"/>
        <v>2</v>
      </c>
      <c r="AD2212" t="str">
        <f t="shared" si="223"/>
        <v>o</v>
      </c>
      <c r="AE2212" t="str">
        <f t="shared" si="227"/>
        <v/>
      </c>
      <c r="AF2212" t="str">
        <f t="shared" si="225"/>
        <v/>
      </c>
      <c r="AG2212" t="str">
        <f t="shared" si="226"/>
        <v/>
      </c>
      <c r="AN2212" t="str">
        <f t="shared" si="222"/>
        <v>Defensive</v>
      </c>
    </row>
    <row r="2213" spans="2:40" x14ac:dyDescent="0.2">
      <c r="B2213" t="str">
        <f t="shared" si="221"/>
        <v/>
      </c>
      <c r="U2213" s="8">
        <f t="shared" si="224"/>
        <v>2</v>
      </c>
      <c r="AD2213" t="str">
        <f t="shared" si="223"/>
        <v>o</v>
      </c>
      <c r="AE2213" t="str">
        <f t="shared" si="227"/>
        <v/>
      </c>
      <c r="AF2213" t="str">
        <f t="shared" si="225"/>
        <v/>
      </c>
      <c r="AG2213" t="str">
        <f t="shared" si="226"/>
        <v/>
      </c>
      <c r="AN2213" t="str">
        <f t="shared" si="222"/>
        <v>Defensive</v>
      </c>
    </row>
    <row r="2214" spans="2:40" x14ac:dyDescent="0.2">
      <c r="B2214" t="str">
        <f t="shared" si="221"/>
        <v/>
      </c>
      <c r="U2214" s="8">
        <f t="shared" si="224"/>
        <v>2</v>
      </c>
      <c r="AD2214" t="str">
        <f t="shared" si="223"/>
        <v>o</v>
      </c>
      <c r="AE2214" t="str">
        <f t="shared" si="227"/>
        <v/>
      </c>
      <c r="AF2214" t="str">
        <f t="shared" si="225"/>
        <v/>
      </c>
      <c r="AG2214" t="str">
        <f t="shared" si="226"/>
        <v/>
      </c>
      <c r="AN2214" t="str">
        <f t="shared" si="222"/>
        <v>Defensive</v>
      </c>
    </row>
    <row r="2215" spans="2:40" x14ac:dyDescent="0.2">
      <c r="B2215" t="str">
        <f t="shared" si="221"/>
        <v/>
      </c>
      <c r="U2215" s="8">
        <f t="shared" si="224"/>
        <v>2</v>
      </c>
      <c r="AD2215" t="str">
        <f t="shared" si="223"/>
        <v>o</v>
      </c>
      <c r="AE2215" t="str">
        <f t="shared" si="227"/>
        <v/>
      </c>
      <c r="AF2215" t="str">
        <f t="shared" si="225"/>
        <v/>
      </c>
      <c r="AG2215" t="str">
        <f t="shared" si="226"/>
        <v/>
      </c>
      <c r="AN2215" t="str">
        <f t="shared" si="222"/>
        <v>Defensive</v>
      </c>
    </row>
    <row r="2216" spans="2:40" x14ac:dyDescent="0.2">
      <c r="B2216" t="str">
        <f t="shared" si="221"/>
        <v/>
      </c>
      <c r="U2216" s="8">
        <f t="shared" si="224"/>
        <v>2</v>
      </c>
      <c r="AD2216" t="str">
        <f t="shared" si="223"/>
        <v>o</v>
      </c>
      <c r="AE2216" t="str">
        <f t="shared" si="227"/>
        <v/>
      </c>
      <c r="AF2216" t="str">
        <f t="shared" si="225"/>
        <v/>
      </c>
      <c r="AG2216" t="str">
        <f t="shared" si="226"/>
        <v/>
      </c>
      <c r="AN2216" t="str">
        <f t="shared" si="222"/>
        <v>Defensive</v>
      </c>
    </row>
    <row r="2217" spans="2:40" x14ac:dyDescent="0.2">
      <c r="B2217" t="str">
        <f t="shared" si="221"/>
        <v/>
      </c>
      <c r="U2217" s="8">
        <f t="shared" si="224"/>
        <v>2</v>
      </c>
      <c r="AD2217" t="str">
        <f t="shared" si="223"/>
        <v>o</v>
      </c>
      <c r="AE2217" t="str">
        <f t="shared" si="227"/>
        <v/>
      </c>
      <c r="AF2217" t="str">
        <f t="shared" si="225"/>
        <v/>
      </c>
      <c r="AG2217" t="str">
        <f t="shared" si="226"/>
        <v/>
      </c>
      <c r="AN2217" t="str">
        <f t="shared" si="222"/>
        <v>Defensive</v>
      </c>
    </row>
    <row r="2218" spans="2:40" x14ac:dyDescent="0.2">
      <c r="B2218" t="str">
        <f t="shared" si="221"/>
        <v/>
      </c>
      <c r="U2218" s="8">
        <f t="shared" si="224"/>
        <v>2</v>
      </c>
      <c r="AD2218" t="str">
        <f t="shared" si="223"/>
        <v>o</v>
      </c>
      <c r="AE2218" t="str">
        <f t="shared" si="227"/>
        <v/>
      </c>
      <c r="AF2218" t="str">
        <f t="shared" si="225"/>
        <v/>
      </c>
      <c r="AG2218" t="str">
        <f t="shared" si="226"/>
        <v/>
      </c>
      <c r="AN2218" t="str">
        <f t="shared" si="222"/>
        <v>Defensive</v>
      </c>
    </row>
    <row r="2219" spans="2:40" x14ac:dyDescent="0.2">
      <c r="B2219" t="str">
        <f t="shared" si="221"/>
        <v/>
      </c>
      <c r="U2219" s="8">
        <f t="shared" si="224"/>
        <v>2</v>
      </c>
      <c r="AD2219" t="str">
        <f t="shared" si="223"/>
        <v>o</v>
      </c>
      <c r="AE2219" t="str">
        <f t="shared" si="227"/>
        <v/>
      </c>
      <c r="AF2219" t="str">
        <f t="shared" si="225"/>
        <v/>
      </c>
      <c r="AG2219" t="str">
        <f t="shared" si="226"/>
        <v/>
      </c>
      <c r="AN2219" t="str">
        <f t="shared" si="222"/>
        <v>Defensive</v>
      </c>
    </row>
    <row r="2220" spans="2:40" x14ac:dyDescent="0.2">
      <c r="B2220" t="str">
        <f t="shared" si="221"/>
        <v/>
      </c>
      <c r="U2220" s="8">
        <f t="shared" si="224"/>
        <v>2</v>
      </c>
      <c r="AD2220" t="str">
        <f t="shared" si="223"/>
        <v>o</v>
      </c>
      <c r="AE2220" t="str">
        <f t="shared" si="227"/>
        <v/>
      </c>
      <c r="AF2220" t="str">
        <f t="shared" si="225"/>
        <v/>
      </c>
      <c r="AG2220" t="str">
        <f t="shared" si="226"/>
        <v/>
      </c>
      <c r="AN2220" t="str">
        <f t="shared" si="222"/>
        <v>Defensive</v>
      </c>
    </row>
    <row r="2221" spans="2:40" x14ac:dyDescent="0.2">
      <c r="B2221" t="str">
        <f t="shared" si="221"/>
        <v/>
      </c>
      <c r="U2221" s="8">
        <f t="shared" si="224"/>
        <v>2</v>
      </c>
      <c r="AD2221" t="str">
        <f t="shared" si="223"/>
        <v>o</v>
      </c>
      <c r="AE2221" t="str">
        <f t="shared" si="227"/>
        <v/>
      </c>
      <c r="AF2221" t="str">
        <f t="shared" si="225"/>
        <v/>
      </c>
      <c r="AG2221" t="str">
        <f t="shared" si="226"/>
        <v/>
      </c>
      <c r="AN2221" t="str">
        <f t="shared" si="222"/>
        <v>Defensive</v>
      </c>
    </row>
    <row r="2222" spans="2:40" x14ac:dyDescent="0.2">
      <c r="B2222" t="str">
        <f t="shared" si="221"/>
        <v/>
      </c>
      <c r="U2222" s="8">
        <f t="shared" si="224"/>
        <v>2</v>
      </c>
      <c r="AD2222" t="str">
        <f t="shared" si="223"/>
        <v>o</v>
      </c>
      <c r="AE2222" t="str">
        <f t="shared" si="227"/>
        <v/>
      </c>
      <c r="AF2222" t="str">
        <f t="shared" si="225"/>
        <v/>
      </c>
      <c r="AG2222" t="str">
        <f t="shared" si="226"/>
        <v/>
      </c>
      <c r="AN2222" t="str">
        <f t="shared" si="222"/>
        <v>Defensive</v>
      </c>
    </row>
    <row r="2223" spans="2:40" x14ac:dyDescent="0.2">
      <c r="B2223" t="str">
        <f t="shared" si="221"/>
        <v/>
      </c>
      <c r="U2223" s="8">
        <f t="shared" si="224"/>
        <v>2</v>
      </c>
      <c r="AD2223" t="str">
        <f t="shared" si="223"/>
        <v>o</v>
      </c>
      <c r="AE2223" t="str">
        <f t="shared" si="227"/>
        <v/>
      </c>
      <c r="AF2223" t="str">
        <f t="shared" si="225"/>
        <v/>
      </c>
      <c r="AG2223" t="str">
        <f t="shared" si="226"/>
        <v/>
      </c>
      <c r="AN2223" t="str">
        <f t="shared" si="222"/>
        <v>Defensive</v>
      </c>
    </row>
    <row r="2224" spans="2:40" x14ac:dyDescent="0.2">
      <c r="B2224" t="str">
        <f t="shared" ref="B2224:B2287" si="228">IF(A2224=A2223,B2223,"")</f>
        <v/>
      </c>
      <c r="U2224" s="8">
        <f t="shared" si="224"/>
        <v>2</v>
      </c>
      <c r="AD2224" t="str">
        <f t="shared" si="223"/>
        <v>o</v>
      </c>
      <c r="AE2224" t="str">
        <f t="shared" si="227"/>
        <v/>
      </c>
      <c r="AF2224" t="str">
        <f t="shared" si="225"/>
        <v/>
      </c>
      <c r="AG2224" t="str">
        <f t="shared" si="226"/>
        <v/>
      </c>
      <c r="AN2224" t="str">
        <f t="shared" si="222"/>
        <v>Defensive</v>
      </c>
    </row>
    <row r="2225" spans="2:40" x14ac:dyDescent="0.2">
      <c r="B2225" t="str">
        <f t="shared" si="228"/>
        <v/>
      </c>
      <c r="U2225" s="8">
        <f t="shared" si="224"/>
        <v>2</v>
      </c>
      <c r="AD2225" t="str">
        <f t="shared" si="223"/>
        <v>o</v>
      </c>
      <c r="AE2225" t="str">
        <f t="shared" si="227"/>
        <v/>
      </c>
      <c r="AF2225" t="str">
        <f t="shared" si="225"/>
        <v/>
      </c>
      <c r="AG2225" t="str">
        <f t="shared" si="226"/>
        <v/>
      </c>
      <c r="AN2225" t="str">
        <f t="shared" si="222"/>
        <v>Defensive</v>
      </c>
    </row>
    <row r="2226" spans="2:40" x14ac:dyDescent="0.2">
      <c r="B2226" t="str">
        <f t="shared" si="228"/>
        <v/>
      </c>
      <c r="U2226" s="8">
        <f t="shared" si="224"/>
        <v>2</v>
      </c>
      <c r="AD2226" t="str">
        <f t="shared" si="223"/>
        <v>o</v>
      </c>
      <c r="AE2226" t="str">
        <f t="shared" si="227"/>
        <v/>
      </c>
      <c r="AF2226" t="str">
        <f t="shared" si="225"/>
        <v/>
      </c>
      <c r="AG2226" t="str">
        <f t="shared" si="226"/>
        <v/>
      </c>
      <c r="AN2226" t="str">
        <f t="shared" si="222"/>
        <v>Defensive</v>
      </c>
    </row>
    <row r="2227" spans="2:40" x14ac:dyDescent="0.2">
      <c r="B2227" t="str">
        <f t="shared" si="228"/>
        <v/>
      </c>
      <c r="U2227" s="8">
        <f t="shared" si="224"/>
        <v>2</v>
      </c>
      <c r="AD2227" t="str">
        <f t="shared" si="223"/>
        <v>o</v>
      </c>
      <c r="AE2227" t="str">
        <f t="shared" si="227"/>
        <v/>
      </c>
      <c r="AF2227" t="str">
        <f t="shared" si="225"/>
        <v/>
      </c>
      <c r="AG2227" t="str">
        <f t="shared" si="226"/>
        <v/>
      </c>
      <c r="AN2227" t="str">
        <f t="shared" si="222"/>
        <v>Defensive</v>
      </c>
    </row>
    <row r="2228" spans="2:40" x14ac:dyDescent="0.2">
      <c r="B2228" t="str">
        <f t="shared" si="228"/>
        <v/>
      </c>
      <c r="U2228" s="8">
        <f t="shared" si="224"/>
        <v>2</v>
      </c>
      <c r="AD2228" t="str">
        <f t="shared" si="223"/>
        <v>o</v>
      </c>
      <c r="AE2228" t="str">
        <f t="shared" si="227"/>
        <v/>
      </c>
      <c r="AF2228" t="str">
        <f t="shared" si="225"/>
        <v/>
      </c>
      <c r="AG2228" t="str">
        <f t="shared" si="226"/>
        <v/>
      </c>
      <c r="AN2228" t="str">
        <f t="shared" si="222"/>
        <v>Defensive</v>
      </c>
    </row>
    <row r="2229" spans="2:40" x14ac:dyDescent="0.2">
      <c r="B2229" t="str">
        <f t="shared" si="228"/>
        <v/>
      </c>
      <c r="U2229" s="8">
        <f t="shared" si="224"/>
        <v>2</v>
      </c>
      <c r="AD2229" t="str">
        <f t="shared" si="223"/>
        <v>o</v>
      </c>
      <c r="AE2229" t="str">
        <f t="shared" si="227"/>
        <v/>
      </c>
      <c r="AF2229" t="str">
        <f t="shared" si="225"/>
        <v/>
      </c>
      <c r="AG2229" t="str">
        <f t="shared" si="226"/>
        <v/>
      </c>
      <c r="AN2229" t="str">
        <f t="shared" si="222"/>
        <v>Defensive</v>
      </c>
    </row>
    <row r="2230" spans="2:40" x14ac:dyDescent="0.2">
      <c r="B2230" t="str">
        <f t="shared" si="228"/>
        <v/>
      </c>
      <c r="U2230" s="8">
        <f t="shared" si="224"/>
        <v>2</v>
      </c>
      <c r="AD2230" t="str">
        <f t="shared" si="223"/>
        <v>o</v>
      </c>
      <c r="AE2230" t="str">
        <f t="shared" si="227"/>
        <v/>
      </c>
      <c r="AF2230" t="str">
        <f t="shared" si="225"/>
        <v/>
      </c>
      <c r="AG2230" t="str">
        <f t="shared" si="226"/>
        <v/>
      </c>
      <c r="AN2230" t="str">
        <f t="shared" si="222"/>
        <v>Defensive</v>
      </c>
    </row>
    <row r="2231" spans="2:40" x14ac:dyDescent="0.2">
      <c r="B2231" t="str">
        <f t="shared" si="228"/>
        <v/>
      </c>
      <c r="U2231" s="8">
        <f t="shared" si="224"/>
        <v>2</v>
      </c>
      <c r="AD2231" t="str">
        <f t="shared" si="223"/>
        <v>o</v>
      </c>
      <c r="AE2231" t="str">
        <f t="shared" si="227"/>
        <v/>
      </c>
      <c r="AF2231" t="str">
        <f t="shared" si="225"/>
        <v/>
      </c>
      <c r="AG2231" t="str">
        <f t="shared" si="226"/>
        <v/>
      </c>
      <c r="AN2231" t="str">
        <f t="shared" si="222"/>
        <v>Defensive</v>
      </c>
    </row>
    <row r="2232" spans="2:40" x14ac:dyDescent="0.2">
      <c r="B2232" t="str">
        <f t="shared" si="228"/>
        <v/>
      </c>
      <c r="U2232" s="8">
        <f t="shared" si="224"/>
        <v>2</v>
      </c>
      <c r="AD2232" t="str">
        <f t="shared" si="223"/>
        <v>o</v>
      </c>
      <c r="AE2232" t="str">
        <f t="shared" si="227"/>
        <v/>
      </c>
      <c r="AF2232" t="str">
        <f t="shared" si="225"/>
        <v/>
      </c>
      <c r="AG2232" t="str">
        <f t="shared" si="226"/>
        <v/>
      </c>
      <c r="AN2232" t="str">
        <f t="shared" si="222"/>
        <v>Defensive</v>
      </c>
    </row>
    <row r="2233" spans="2:40" x14ac:dyDescent="0.2">
      <c r="B2233" t="str">
        <f t="shared" si="228"/>
        <v/>
      </c>
      <c r="U2233" s="8">
        <f t="shared" si="224"/>
        <v>2</v>
      </c>
      <c r="AD2233" t="str">
        <f t="shared" si="223"/>
        <v>o</v>
      </c>
      <c r="AE2233" t="str">
        <f t="shared" si="227"/>
        <v/>
      </c>
      <c r="AF2233" t="str">
        <f t="shared" si="225"/>
        <v/>
      </c>
      <c r="AG2233" t="str">
        <f t="shared" si="226"/>
        <v/>
      </c>
      <c r="AN2233" t="str">
        <f t="shared" ref="AN2233:AN2296" si="229">IF(AND(AD2233="e",OR(AE2233="Save",AF2233="Turnover_Takeaway",AF2233="Play_Defensive")),"Defensive",IF(AND(AD2233="o",OR(AE2233="Save",AF2233="Turnover_Takeaway",AF2233="Play_Defensive")),"Offensive",IF(OR(AE2233="Deadice",AE2233="Stoppage",AE2233="Intermission"),"",IF(AD2233="e","Offensive",IF(AD2233="o","Defensive","")))))</f>
        <v>Defensive</v>
      </c>
    </row>
    <row r="2234" spans="2:40" x14ac:dyDescent="0.2">
      <c r="B2234" t="str">
        <f t="shared" si="228"/>
        <v/>
      </c>
      <c r="U2234" s="8">
        <f t="shared" si="224"/>
        <v>2</v>
      </c>
      <c r="AD2234" t="str">
        <f t="shared" si="223"/>
        <v>o</v>
      </c>
      <c r="AE2234" t="str">
        <f t="shared" si="227"/>
        <v/>
      </c>
      <c r="AF2234" t="str">
        <f t="shared" si="225"/>
        <v/>
      </c>
      <c r="AG2234" t="str">
        <f t="shared" si="226"/>
        <v/>
      </c>
      <c r="AN2234" t="str">
        <f t="shared" si="229"/>
        <v>Defensive</v>
      </c>
    </row>
    <row r="2235" spans="2:40" x14ac:dyDescent="0.2">
      <c r="B2235" t="str">
        <f t="shared" si="228"/>
        <v/>
      </c>
      <c r="U2235" s="8">
        <f t="shared" si="224"/>
        <v>2</v>
      </c>
      <c r="AD2235" t="str">
        <f t="shared" si="223"/>
        <v>o</v>
      </c>
      <c r="AE2235" t="str">
        <f t="shared" si="227"/>
        <v/>
      </c>
      <c r="AF2235" t="str">
        <f t="shared" si="225"/>
        <v/>
      </c>
      <c r="AG2235" t="str">
        <f t="shared" si="226"/>
        <v/>
      </c>
      <c r="AN2235" t="str">
        <f t="shared" si="229"/>
        <v>Defensive</v>
      </c>
    </row>
    <row r="2236" spans="2:40" x14ac:dyDescent="0.2">
      <c r="B2236" t="str">
        <f t="shared" si="228"/>
        <v/>
      </c>
      <c r="U2236" s="8">
        <f t="shared" si="224"/>
        <v>2</v>
      </c>
      <c r="AD2236" t="str">
        <f t="shared" si="223"/>
        <v>o</v>
      </c>
      <c r="AE2236" t="str">
        <f t="shared" si="227"/>
        <v/>
      </c>
      <c r="AF2236" t="str">
        <f t="shared" si="225"/>
        <v/>
      </c>
      <c r="AG2236" t="str">
        <f t="shared" si="226"/>
        <v/>
      </c>
      <c r="AN2236" t="str">
        <f t="shared" si="229"/>
        <v>Defensive</v>
      </c>
    </row>
    <row r="2237" spans="2:40" x14ac:dyDescent="0.2">
      <c r="B2237" t="str">
        <f t="shared" si="228"/>
        <v/>
      </c>
      <c r="U2237" s="8">
        <f t="shared" si="224"/>
        <v>2</v>
      </c>
      <c r="AD2237" t="str">
        <f t="shared" si="223"/>
        <v>o</v>
      </c>
      <c r="AE2237" t="str">
        <f t="shared" si="227"/>
        <v/>
      </c>
      <c r="AF2237" t="str">
        <f t="shared" si="225"/>
        <v/>
      </c>
      <c r="AG2237" t="str">
        <f t="shared" si="226"/>
        <v/>
      </c>
      <c r="AN2237" t="str">
        <f t="shared" si="229"/>
        <v>Defensive</v>
      </c>
    </row>
    <row r="2238" spans="2:40" x14ac:dyDescent="0.2">
      <c r="B2238" t="str">
        <f t="shared" si="228"/>
        <v/>
      </c>
      <c r="U2238" s="8">
        <f t="shared" si="224"/>
        <v>2</v>
      </c>
      <c r="AD2238" t="str">
        <f t="shared" si="223"/>
        <v>o</v>
      </c>
      <c r="AE2238" t="str">
        <f t="shared" si="227"/>
        <v/>
      </c>
      <c r="AF2238" t="str">
        <f t="shared" si="225"/>
        <v/>
      </c>
      <c r="AG2238" t="str">
        <f t="shared" si="226"/>
        <v/>
      </c>
      <c r="AN2238" t="str">
        <f t="shared" si="229"/>
        <v>Defensive</v>
      </c>
    </row>
    <row r="2239" spans="2:40" x14ac:dyDescent="0.2">
      <c r="B2239" t="str">
        <f t="shared" si="228"/>
        <v/>
      </c>
      <c r="U2239" s="8">
        <f t="shared" si="224"/>
        <v>2</v>
      </c>
      <c r="AD2239" t="str">
        <f t="shared" si="223"/>
        <v>o</v>
      </c>
      <c r="AE2239" t="str">
        <f t="shared" si="227"/>
        <v/>
      </c>
      <c r="AF2239" t="str">
        <f t="shared" si="225"/>
        <v/>
      </c>
      <c r="AG2239" t="str">
        <f t="shared" si="226"/>
        <v/>
      </c>
      <c r="AN2239" t="str">
        <f t="shared" si="229"/>
        <v>Defensive</v>
      </c>
    </row>
    <row r="2240" spans="2:40" x14ac:dyDescent="0.2">
      <c r="B2240" t="str">
        <f t="shared" si="228"/>
        <v/>
      </c>
      <c r="U2240" s="8">
        <f t="shared" si="224"/>
        <v>2</v>
      </c>
      <c r="AD2240" t="str">
        <f t="shared" si="223"/>
        <v>o</v>
      </c>
      <c r="AE2240" t="str">
        <f t="shared" si="227"/>
        <v/>
      </c>
      <c r="AF2240" t="str">
        <f t="shared" si="225"/>
        <v/>
      </c>
      <c r="AG2240" t="str">
        <f t="shared" si="226"/>
        <v/>
      </c>
      <c r="AN2240" t="str">
        <f t="shared" si="229"/>
        <v>Defensive</v>
      </c>
    </row>
    <row r="2241" spans="2:40" x14ac:dyDescent="0.2">
      <c r="B2241" t="str">
        <f t="shared" si="228"/>
        <v/>
      </c>
      <c r="U2241" s="8">
        <f t="shared" si="224"/>
        <v>2</v>
      </c>
      <c r="AD2241" t="str">
        <f t="shared" si="223"/>
        <v>o</v>
      </c>
      <c r="AE2241" t="str">
        <f t="shared" si="227"/>
        <v/>
      </c>
      <c r="AF2241" t="str">
        <f t="shared" si="225"/>
        <v/>
      </c>
      <c r="AG2241" t="str">
        <f t="shared" si="226"/>
        <v/>
      </c>
      <c r="AN2241" t="str">
        <f t="shared" si="229"/>
        <v>Defensive</v>
      </c>
    </row>
    <row r="2242" spans="2:40" x14ac:dyDescent="0.2">
      <c r="B2242" t="str">
        <f t="shared" si="228"/>
        <v/>
      </c>
      <c r="U2242" s="8">
        <f t="shared" si="224"/>
        <v>2</v>
      </c>
      <c r="AD2242" t="str">
        <f t="shared" ref="AD2242:AD2305" si="230">IF(K2242="x","",IF(K2242=1,"e","o"))</f>
        <v>o</v>
      </c>
      <c r="AE2242" t="str">
        <f t="shared" si="227"/>
        <v/>
      </c>
      <c r="AF2242" t="str">
        <f t="shared" si="225"/>
        <v/>
      </c>
      <c r="AG2242" t="str">
        <f t="shared" si="226"/>
        <v/>
      </c>
      <c r="AN2242" t="str">
        <f t="shared" si="229"/>
        <v>Defensive</v>
      </c>
    </row>
    <row r="2243" spans="2:40" x14ac:dyDescent="0.2">
      <c r="B2243" t="str">
        <f t="shared" si="228"/>
        <v/>
      </c>
      <c r="U2243" s="8">
        <f t="shared" ref="U2243:U2306" si="231">IF(M2243="Intermission",U2242+1,U2242)</f>
        <v>2</v>
      </c>
      <c r="AD2243" t="str">
        <f t="shared" si="230"/>
        <v>o</v>
      </c>
      <c r="AE2243" t="str">
        <f t="shared" si="227"/>
        <v/>
      </c>
      <c r="AF2243" t="str">
        <f t="shared" ref="AF2243:AF2306" si="232">IF(N2243&lt;&gt;"",N2243,IF($A2243=$A2242,AF2242,""))</f>
        <v/>
      </c>
      <c r="AG2243" t="str">
        <f t="shared" ref="AG2243:AG2306" si="233">IF(O2243&lt;&gt;"",O2243,IF($A2243=$A2242,AG2242,""))</f>
        <v/>
      </c>
      <c r="AN2243" t="str">
        <f t="shared" si="229"/>
        <v>Defensive</v>
      </c>
    </row>
    <row r="2244" spans="2:40" x14ac:dyDescent="0.2">
      <c r="B2244" t="str">
        <f t="shared" si="228"/>
        <v/>
      </c>
      <c r="U2244" s="8">
        <f t="shared" si="231"/>
        <v>2</v>
      </c>
      <c r="AD2244" t="str">
        <f t="shared" si="230"/>
        <v>o</v>
      </c>
      <c r="AE2244" t="str">
        <f t="shared" ref="AE2244:AE2307" si="234">IF(M2244&lt;&gt;"",M2244,IF($A2244=$A2243,AE2243,""))</f>
        <v/>
      </c>
      <c r="AF2244" t="str">
        <f t="shared" si="232"/>
        <v/>
      </c>
      <c r="AG2244" t="str">
        <f t="shared" si="233"/>
        <v/>
      </c>
      <c r="AN2244" t="str">
        <f t="shared" si="229"/>
        <v>Defensive</v>
      </c>
    </row>
    <row r="2245" spans="2:40" x14ac:dyDescent="0.2">
      <c r="B2245" t="str">
        <f t="shared" si="228"/>
        <v/>
      </c>
      <c r="U2245" s="8">
        <f t="shared" si="231"/>
        <v>2</v>
      </c>
      <c r="AD2245" t="str">
        <f t="shared" si="230"/>
        <v>o</v>
      </c>
      <c r="AE2245" t="str">
        <f t="shared" si="234"/>
        <v/>
      </c>
      <c r="AF2245" t="str">
        <f t="shared" si="232"/>
        <v/>
      </c>
      <c r="AG2245" t="str">
        <f t="shared" si="233"/>
        <v/>
      </c>
      <c r="AN2245" t="str">
        <f t="shared" si="229"/>
        <v>Defensive</v>
      </c>
    </row>
    <row r="2246" spans="2:40" x14ac:dyDescent="0.2">
      <c r="B2246" t="str">
        <f t="shared" si="228"/>
        <v/>
      </c>
      <c r="U2246" s="8">
        <f t="shared" si="231"/>
        <v>2</v>
      </c>
      <c r="AD2246" t="str">
        <f t="shared" si="230"/>
        <v>o</v>
      </c>
      <c r="AE2246" t="str">
        <f t="shared" si="234"/>
        <v/>
      </c>
      <c r="AF2246" t="str">
        <f t="shared" si="232"/>
        <v/>
      </c>
      <c r="AG2246" t="str">
        <f t="shared" si="233"/>
        <v/>
      </c>
      <c r="AN2246" t="str">
        <f t="shared" si="229"/>
        <v>Defensive</v>
      </c>
    </row>
    <row r="2247" spans="2:40" x14ac:dyDescent="0.2">
      <c r="B2247" t="str">
        <f t="shared" si="228"/>
        <v/>
      </c>
      <c r="U2247" s="8">
        <f t="shared" si="231"/>
        <v>2</v>
      </c>
      <c r="AD2247" t="str">
        <f t="shared" si="230"/>
        <v>o</v>
      </c>
      <c r="AE2247" t="str">
        <f t="shared" si="234"/>
        <v/>
      </c>
      <c r="AF2247" t="str">
        <f t="shared" si="232"/>
        <v/>
      </c>
      <c r="AG2247" t="str">
        <f t="shared" si="233"/>
        <v/>
      </c>
      <c r="AN2247" t="str">
        <f t="shared" si="229"/>
        <v>Defensive</v>
      </c>
    </row>
    <row r="2248" spans="2:40" x14ac:dyDescent="0.2">
      <c r="B2248" t="str">
        <f t="shared" si="228"/>
        <v/>
      </c>
      <c r="U2248" s="8">
        <f t="shared" si="231"/>
        <v>2</v>
      </c>
      <c r="AD2248" t="str">
        <f t="shared" si="230"/>
        <v>o</v>
      </c>
      <c r="AE2248" t="str">
        <f t="shared" si="234"/>
        <v/>
      </c>
      <c r="AF2248" t="str">
        <f t="shared" si="232"/>
        <v/>
      </c>
      <c r="AG2248" t="str">
        <f t="shared" si="233"/>
        <v/>
      </c>
      <c r="AN2248" t="str">
        <f t="shared" si="229"/>
        <v>Defensive</v>
      </c>
    </row>
    <row r="2249" spans="2:40" x14ac:dyDescent="0.2">
      <c r="B2249" t="str">
        <f t="shared" si="228"/>
        <v/>
      </c>
      <c r="U2249" s="8">
        <f t="shared" si="231"/>
        <v>2</v>
      </c>
      <c r="AD2249" t="str">
        <f t="shared" si="230"/>
        <v>o</v>
      </c>
      <c r="AE2249" t="str">
        <f t="shared" si="234"/>
        <v/>
      </c>
      <c r="AF2249" t="str">
        <f t="shared" si="232"/>
        <v/>
      </c>
      <c r="AG2249" t="str">
        <f t="shared" si="233"/>
        <v/>
      </c>
      <c r="AN2249" t="str">
        <f t="shared" si="229"/>
        <v>Defensive</v>
      </c>
    </row>
    <row r="2250" spans="2:40" x14ac:dyDescent="0.2">
      <c r="B2250" t="str">
        <f t="shared" si="228"/>
        <v/>
      </c>
      <c r="U2250" s="8">
        <f t="shared" si="231"/>
        <v>2</v>
      </c>
      <c r="AD2250" t="str">
        <f t="shared" si="230"/>
        <v>o</v>
      </c>
      <c r="AE2250" t="str">
        <f t="shared" si="234"/>
        <v/>
      </c>
      <c r="AF2250" t="str">
        <f t="shared" si="232"/>
        <v/>
      </c>
      <c r="AG2250" t="str">
        <f t="shared" si="233"/>
        <v/>
      </c>
      <c r="AN2250" t="str">
        <f t="shared" si="229"/>
        <v>Defensive</v>
      </c>
    </row>
    <row r="2251" spans="2:40" x14ac:dyDescent="0.2">
      <c r="B2251" t="str">
        <f t="shared" si="228"/>
        <v/>
      </c>
      <c r="U2251" s="8">
        <f t="shared" si="231"/>
        <v>2</v>
      </c>
      <c r="AD2251" t="str">
        <f t="shared" si="230"/>
        <v>o</v>
      </c>
      <c r="AE2251" t="str">
        <f t="shared" si="234"/>
        <v/>
      </c>
      <c r="AF2251" t="str">
        <f t="shared" si="232"/>
        <v/>
      </c>
      <c r="AG2251" t="str">
        <f t="shared" si="233"/>
        <v/>
      </c>
      <c r="AN2251" t="str">
        <f t="shared" si="229"/>
        <v>Defensive</v>
      </c>
    </row>
    <row r="2252" spans="2:40" x14ac:dyDescent="0.2">
      <c r="B2252" t="str">
        <f t="shared" si="228"/>
        <v/>
      </c>
      <c r="U2252" s="8">
        <f t="shared" si="231"/>
        <v>2</v>
      </c>
      <c r="AD2252" t="str">
        <f t="shared" si="230"/>
        <v>o</v>
      </c>
      <c r="AE2252" t="str">
        <f t="shared" si="234"/>
        <v/>
      </c>
      <c r="AF2252" t="str">
        <f t="shared" si="232"/>
        <v/>
      </c>
      <c r="AG2252" t="str">
        <f t="shared" si="233"/>
        <v/>
      </c>
      <c r="AN2252" t="str">
        <f t="shared" si="229"/>
        <v>Defensive</v>
      </c>
    </row>
    <row r="2253" spans="2:40" x14ac:dyDescent="0.2">
      <c r="B2253" t="str">
        <f t="shared" si="228"/>
        <v/>
      </c>
      <c r="U2253" s="8">
        <f t="shared" si="231"/>
        <v>2</v>
      </c>
      <c r="AD2253" t="str">
        <f t="shared" si="230"/>
        <v>o</v>
      </c>
      <c r="AE2253" t="str">
        <f t="shared" si="234"/>
        <v/>
      </c>
      <c r="AF2253" t="str">
        <f t="shared" si="232"/>
        <v/>
      </c>
      <c r="AG2253" t="str">
        <f t="shared" si="233"/>
        <v/>
      </c>
      <c r="AN2253" t="str">
        <f t="shared" si="229"/>
        <v>Defensive</v>
      </c>
    </row>
    <row r="2254" spans="2:40" x14ac:dyDescent="0.2">
      <c r="B2254" t="str">
        <f t="shared" si="228"/>
        <v/>
      </c>
      <c r="U2254" s="8">
        <f t="shared" si="231"/>
        <v>2</v>
      </c>
      <c r="AD2254" t="str">
        <f t="shared" si="230"/>
        <v>o</v>
      </c>
      <c r="AE2254" t="str">
        <f t="shared" si="234"/>
        <v/>
      </c>
      <c r="AF2254" t="str">
        <f t="shared" si="232"/>
        <v/>
      </c>
      <c r="AG2254" t="str">
        <f t="shared" si="233"/>
        <v/>
      </c>
      <c r="AN2254" t="str">
        <f t="shared" si="229"/>
        <v>Defensive</v>
      </c>
    </row>
    <row r="2255" spans="2:40" x14ac:dyDescent="0.2">
      <c r="B2255" t="str">
        <f t="shared" si="228"/>
        <v/>
      </c>
      <c r="U2255" s="8">
        <f t="shared" si="231"/>
        <v>2</v>
      </c>
      <c r="AD2255" t="str">
        <f t="shared" si="230"/>
        <v>o</v>
      </c>
      <c r="AE2255" t="str">
        <f t="shared" si="234"/>
        <v/>
      </c>
      <c r="AF2255" t="str">
        <f t="shared" si="232"/>
        <v/>
      </c>
      <c r="AG2255" t="str">
        <f t="shared" si="233"/>
        <v/>
      </c>
      <c r="AN2255" t="str">
        <f t="shared" si="229"/>
        <v>Defensive</v>
      </c>
    </row>
    <row r="2256" spans="2:40" x14ac:dyDescent="0.2">
      <c r="B2256" t="str">
        <f t="shared" si="228"/>
        <v/>
      </c>
      <c r="U2256" s="8">
        <f t="shared" si="231"/>
        <v>2</v>
      </c>
      <c r="AD2256" t="str">
        <f t="shared" si="230"/>
        <v>o</v>
      </c>
      <c r="AE2256" t="str">
        <f t="shared" si="234"/>
        <v/>
      </c>
      <c r="AF2256" t="str">
        <f t="shared" si="232"/>
        <v/>
      </c>
      <c r="AG2256" t="str">
        <f t="shared" si="233"/>
        <v/>
      </c>
      <c r="AN2256" t="str">
        <f t="shared" si="229"/>
        <v>Defensive</v>
      </c>
    </row>
    <row r="2257" spans="2:40" x14ac:dyDescent="0.2">
      <c r="B2257" t="str">
        <f t="shared" si="228"/>
        <v/>
      </c>
      <c r="U2257" s="8">
        <f t="shared" si="231"/>
        <v>2</v>
      </c>
      <c r="AD2257" t="str">
        <f t="shared" si="230"/>
        <v>o</v>
      </c>
      <c r="AE2257" t="str">
        <f t="shared" si="234"/>
        <v/>
      </c>
      <c r="AF2257" t="str">
        <f t="shared" si="232"/>
        <v/>
      </c>
      <c r="AG2257" t="str">
        <f t="shared" si="233"/>
        <v/>
      </c>
      <c r="AN2257" t="str">
        <f t="shared" si="229"/>
        <v>Defensive</v>
      </c>
    </row>
    <row r="2258" spans="2:40" x14ac:dyDescent="0.2">
      <c r="B2258" t="str">
        <f t="shared" si="228"/>
        <v/>
      </c>
      <c r="U2258" s="8">
        <f t="shared" si="231"/>
        <v>2</v>
      </c>
      <c r="AD2258" t="str">
        <f t="shared" si="230"/>
        <v>o</v>
      </c>
      <c r="AE2258" t="str">
        <f t="shared" si="234"/>
        <v/>
      </c>
      <c r="AF2258" t="str">
        <f t="shared" si="232"/>
        <v/>
      </c>
      <c r="AG2258" t="str">
        <f t="shared" si="233"/>
        <v/>
      </c>
      <c r="AN2258" t="str">
        <f t="shared" si="229"/>
        <v>Defensive</v>
      </c>
    </row>
    <row r="2259" spans="2:40" x14ac:dyDescent="0.2">
      <c r="B2259" t="str">
        <f t="shared" si="228"/>
        <v/>
      </c>
      <c r="U2259" s="8">
        <f t="shared" si="231"/>
        <v>2</v>
      </c>
      <c r="AD2259" t="str">
        <f t="shared" si="230"/>
        <v>o</v>
      </c>
      <c r="AE2259" t="str">
        <f t="shared" si="234"/>
        <v/>
      </c>
      <c r="AF2259" t="str">
        <f t="shared" si="232"/>
        <v/>
      </c>
      <c r="AG2259" t="str">
        <f t="shared" si="233"/>
        <v/>
      </c>
      <c r="AN2259" t="str">
        <f t="shared" si="229"/>
        <v>Defensive</v>
      </c>
    </row>
    <row r="2260" spans="2:40" x14ac:dyDescent="0.2">
      <c r="B2260" t="str">
        <f t="shared" si="228"/>
        <v/>
      </c>
      <c r="U2260" s="8">
        <f t="shared" si="231"/>
        <v>2</v>
      </c>
      <c r="AD2260" t="str">
        <f t="shared" si="230"/>
        <v>o</v>
      </c>
      <c r="AE2260" t="str">
        <f t="shared" si="234"/>
        <v/>
      </c>
      <c r="AF2260" t="str">
        <f t="shared" si="232"/>
        <v/>
      </c>
      <c r="AG2260" t="str">
        <f t="shared" si="233"/>
        <v/>
      </c>
      <c r="AN2260" t="str">
        <f t="shared" si="229"/>
        <v>Defensive</v>
      </c>
    </row>
    <row r="2261" spans="2:40" x14ac:dyDescent="0.2">
      <c r="B2261" t="str">
        <f t="shared" si="228"/>
        <v/>
      </c>
      <c r="U2261" s="8">
        <f t="shared" si="231"/>
        <v>2</v>
      </c>
      <c r="AD2261" t="str">
        <f t="shared" si="230"/>
        <v>o</v>
      </c>
      <c r="AE2261" t="str">
        <f t="shared" si="234"/>
        <v/>
      </c>
      <c r="AF2261" t="str">
        <f t="shared" si="232"/>
        <v/>
      </c>
      <c r="AG2261" t="str">
        <f t="shared" si="233"/>
        <v/>
      </c>
      <c r="AN2261" t="str">
        <f t="shared" si="229"/>
        <v>Defensive</v>
      </c>
    </row>
    <row r="2262" spans="2:40" x14ac:dyDescent="0.2">
      <c r="B2262" t="str">
        <f t="shared" si="228"/>
        <v/>
      </c>
      <c r="U2262" s="8">
        <f t="shared" si="231"/>
        <v>2</v>
      </c>
      <c r="AD2262" t="str">
        <f t="shared" si="230"/>
        <v>o</v>
      </c>
      <c r="AE2262" t="str">
        <f t="shared" si="234"/>
        <v/>
      </c>
      <c r="AF2262" t="str">
        <f t="shared" si="232"/>
        <v/>
      </c>
      <c r="AG2262" t="str">
        <f t="shared" si="233"/>
        <v/>
      </c>
      <c r="AN2262" t="str">
        <f t="shared" si="229"/>
        <v>Defensive</v>
      </c>
    </row>
    <row r="2263" spans="2:40" x14ac:dyDescent="0.2">
      <c r="B2263" t="str">
        <f t="shared" si="228"/>
        <v/>
      </c>
      <c r="U2263" s="8">
        <f t="shared" si="231"/>
        <v>2</v>
      </c>
      <c r="AD2263" t="str">
        <f t="shared" si="230"/>
        <v>o</v>
      </c>
      <c r="AE2263" t="str">
        <f t="shared" si="234"/>
        <v/>
      </c>
      <c r="AF2263" t="str">
        <f t="shared" si="232"/>
        <v/>
      </c>
      <c r="AG2263" t="str">
        <f t="shared" si="233"/>
        <v/>
      </c>
      <c r="AN2263" t="str">
        <f t="shared" si="229"/>
        <v>Defensive</v>
      </c>
    </row>
    <row r="2264" spans="2:40" x14ac:dyDescent="0.2">
      <c r="B2264" t="str">
        <f t="shared" si="228"/>
        <v/>
      </c>
      <c r="U2264" s="8">
        <f t="shared" si="231"/>
        <v>2</v>
      </c>
      <c r="AD2264" t="str">
        <f t="shared" si="230"/>
        <v>o</v>
      </c>
      <c r="AE2264" t="str">
        <f t="shared" si="234"/>
        <v/>
      </c>
      <c r="AF2264" t="str">
        <f t="shared" si="232"/>
        <v/>
      </c>
      <c r="AG2264" t="str">
        <f t="shared" si="233"/>
        <v/>
      </c>
      <c r="AN2264" t="str">
        <f t="shared" si="229"/>
        <v>Defensive</v>
      </c>
    </row>
    <row r="2265" spans="2:40" x14ac:dyDescent="0.2">
      <c r="B2265" t="str">
        <f t="shared" si="228"/>
        <v/>
      </c>
      <c r="U2265" s="8">
        <f t="shared" si="231"/>
        <v>2</v>
      </c>
      <c r="AD2265" t="str">
        <f t="shared" si="230"/>
        <v>o</v>
      </c>
      <c r="AE2265" t="str">
        <f t="shared" si="234"/>
        <v/>
      </c>
      <c r="AF2265" t="str">
        <f t="shared" si="232"/>
        <v/>
      </c>
      <c r="AG2265" t="str">
        <f t="shared" si="233"/>
        <v/>
      </c>
      <c r="AN2265" t="str">
        <f t="shared" si="229"/>
        <v>Defensive</v>
      </c>
    </row>
    <row r="2266" spans="2:40" x14ac:dyDescent="0.2">
      <c r="B2266" t="str">
        <f t="shared" si="228"/>
        <v/>
      </c>
      <c r="U2266" s="8">
        <f t="shared" si="231"/>
        <v>2</v>
      </c>
      <c r="AD2266" t="str">
        <f t="shared" si="230"/>
        <v>o</v>
      </c>
      <c r="AE2266" t="str">
        <f t="shared" si="234"/>
        <v/>
      </c>
      <c r="AF2266" t="str">
        <f t="shared" si="232"/>
        <v/>
      </c>
      <c r="AG2266" t="str">
        <f t="shared" si="233"/>
        <v/>
      </c>
      <c r="AN2266" t="str">
        <f t="shared" si="229"/>
        <v>Defensive</v>
      </c>
    </row>
    <row r="2267" spans="2:40" x14ac:dyDescent="0.2">
      <c r="B2267" t="str">
        <f t="shared" si="228"/>
        <v/>
      </c>
      <c r="U2267" s="8">
        <f t="shared" si="231"/>
        <v>2</v>
      </c>
      <c r="AD2267" t="str">
        <f t="shared" si="230"/>
        <v>o</v>
      </c>
      <c r="AE2267" t="str">
        <f t="shared" si="234"/>
        <v/>
      </c>
      <c r="AF2267" t="str">
        <f t="shared" si="232"/>
        <v/>
      </c>
      <c r="AG2267" t="str">
        <f t="shared" si="233"/>
        <v/>
      </c>
      <c r="AN2267" t="str">
        <f t="shared" si="229"/>
        <v>Defensive</v>
      </c>
    </row>
    <row r="2268" spans="2:40" x14ac:dyDescent="0.2">
      <c r="B2268" t="str">
        <f t="shared" si="228"/>
        <v/>
      </c>
      <c r="U2268" s="8">
        <f t="shared" si="231"/>
        <v>2</v>
      </c>
      <c r="AD2268" t="str">
        <f t="shared" si="230"/>
        <v>o</v>
      </c>
      <c r="AE2268" t="str">
        <f t="shared" si="234"/>
        <v/>
      </c>
      <c r="AF2268" t="str">
        <f t="shared" si="232"/>
        <v/>
      </c>
      <c r="AG2268" t="str">
        <f t="shared" si="233"/>
        <v/>
      </c>
      <c r="AN2268" t="str">
        <f t="shared" si="229"/>
        <v>Defensive</v>
      </c>
    </row>
    <row r="2269" spans="2:40" x14ac:dyDescent="0.2">
      <c r="B2269" t="str">
        <f t="shared" si="228"/>
        <v/>
      </c>
      <c r="U2269" s="8">
        <f t="shared" si="231"/>
        <v>2</v>
      </c>
      <c r="AD2269" t="str">
        <f t="shared" si="230"/>
        <v>o</v>
      </c>
      <c r="AE2269" t="str">
        <f t="shared" si="234"/>
        <v/>
      </c>
      <c r="AF2269" t="str">
        <f t="shared" si="232"/>
        <v/>
      </c>
      <c r="AG2269" t="str">
        <f t="shared" si="233"/>
        <v/>
      </c>
      <c r="AN2269" t="str">
        <f t="shared" si="229"/>
        <v>Defensive</v>
      </c>
    </row>
    <row r="2270" spans="2:40" x14ac:dyDescent="0.2">
      <c r="B2270" t="str">
        <f t="shared" si="228"/>
        <v/>
      </c>
      <c r="U2270" s="8">
        <f t="shared" si="231"/>
        <v>2</v>
      </c>
      <c r="AD2270" t="str">
        <f t="shared" si="230"/>
        <v>o</v>
      </c>
      <c r="AE2270" t="str">
        <f t="shared" si="234"/>
        <v/>
      </c>
      <c r="AF2270" t="str">
        <f t="shared" si="232"/>
        <v/>
      </c>
      <c r="AG2270" t="str">
        <f t="shared" si="233"/>
        <v/>
      </c>
      <c r="AN2270" t="str">
        <f t="shared" si="229"/>
        <v>Defensive</v>
      </c>
    </row>
    <row r="2271" spans="2:40" x14ac:dyDescent="0.2">
      <c r="B2271" t="str">
        <f t="shared" si="228"/>
        <v/>
      </c>
      <c r="U2271" s="8">
        <f t="shared" si="231"/>
        <v>2</v>
      </c>
      <c r="AD2271" t="str">
        <f t="shared" si="230"/>
        <v>o</v>
      </c>
      <c r="AE2271" t="str">
        <f t="shared" si="234"/>
        <v/>
      </c>
      <c r="AF2271" t="str">
        <f t="shared" si="232"/>
        <v/>
      </c>
      <c r="AG2271" t="str">
        <f t="shared" si="233"/>
        <v/>
      </c>
      <c r="AN2271" t="str">
        <f t="shared" si="229"/>
        <v>Defensive</v>
      </c>
    </row>
    <row r="2272" spans="2:40" x14ac:dyDescent="0.2">
      <c r="B2272" t="str">
        <f t="shared" si="228"/>
        <v/>
      </c>
      <c r="U2272" s="8">
        <f t="shared" si="231"/>
        <v>2</v>
      </c>
      <c r="AD2272" t="str">
        <f t="shared" si="230"/>
        <v>o</v>
      </c>
      <c r="AE2272" t="str">
        <f t="shared" si="234"/>
        <v/>
      </c>
      <c r="AF2272" t="str">
        <f t="shared" si="232"/>
        <v/>
      </c>
      <c r="AG2272" t="str">
        <f t="shared" si="233"/>
        <v/>
      </c>
      <c r="AN2272" t="str">
        <f t="shared" si="229"/>
        <v>Defensive</v>
      </c>
    </row>
    <row r="2273" spans="2:40" x14ac:dyDescent="0.2">
      <c r="B2273" t="str">
        <f t="shared" si="228"/>
        <v/>
      </c>
      <c r="U2273" s="8">
        <f t="shared" si="231"/>
        <v>2</v>
      </c>
      <c r="AD2273" t="str">
        <f t="shared" si="230"/>
        <v>o</v>
      </c>
      <c r="AE2273" t="str">
        <f t="shared" si="234"/>
        <v/>
      </c>
      <c r="AF2273" t="str">
        <f t="shared" si="232"/>
        <v/>
      </c>
      <c r="AG2273" t="str">
        <f t="shared" si="233"/>
        <v/>
      </c>
      <c r="AN2273" t="str">
        <f t="shared" si="229"/>
        <v>Defensive</v>
      </c>
    </row>
    <row r="2274" spans="2:40" x14ac:dyDescent="0.2">
      <c r="B2274" t="str">
        <f t="shared" si="228"/>
        <v/>
      </c>
      <c r="U2274" s="8">
        <f t="shared" si="231"/>
        <v>2</v>
      </c>
      <c r="AD2274" t="str">
        <f t="shared" si="230"/>
        <v>o</v>
      </c>
      <c r="AE2274" t="str">
        <f t="shared" si="234"/>
        <v/>
      </c>
      <c r="AF2274" t="str">
        <f t="shared" si="232"/>
        <v/>
      </c>
      <c r="AG2274" t="str">
        <f t="shared" si="233"/>
        <v/>
      </c>
      <c r="AN2274" t="str">
        <f t="shared" si="229"/>
        <v>Defensive</v>
      </c>
    </row>
    <row r="2275" spans="2:40" x14ac:dyDescent="0.2">
      <c r="B2275" t="str">
        <f t="shared" si="228"/>
        <v/>
      </c>
      <c r="U2275" s="8">
        <f t="shared" si="231"/>
        <v>2</v>
      </c>
      <c r="AD2275" t="str">
        <f t="shared" si="230"/>
        <v>o</v>
      </c>
      <c r="AE2275" t="str">
        <f t="shared" si="234"/>
        <v/>
      </c>
      <c r="AF2275" t="str">
        <f t="shared" si="232"/>
        <v/>
      </c>
      <c r="AG2275" t="str">
        <f t="shared" si="233"/>
        <v/>
      </c>
      <c r="AN2275" t="str">
        <f t="shared" si="229"/>
        <v>Defensive</v>
      </c>
    </row>
    <row r="2276" spans="2:40" x14ac:dyDescent="0.2">
      <c r="B2276" t="str">
        <f t="shared" si="228"/>
        <v/>
      </c>
      <c r="U2276" s="8">
        <f t="shared" si="231"/>
        <v>2</v>
      </c>
      <c r="AD2276" t="str">
        <f t="shared" si="230"/>
        <v>o</v>
      </c>
      <c r="AE2276" t="str">
        <f t="shared" si="234"/>
        <v/>
      </c>
      <c r="AF2276" t="str">
        <f t="shared" si="232"/>
        <v/>
      </c>
      <c r="AG2276" t="str">
        <f t="shared" si="233"/>
        <v/>
      </c>
      <c r="AN2276" t="str">
        <f t="shared" si="229"/>
        <v>Defensive</v>
      </c>
    </row>
    <row r="2277" spans="2:40" x14ac:dyDescent="0.2">
      <c r="B2277" t="str">
        <f t="shared" si="228"/>
        <v/>
      </c>
      <c r="U2277" s="8">
        <f t="shared" si="231"/>
        <v>2</v>
      </c>
      <c r="AD2277" t="str">
        <f t="shared" si="230"/>
        <v>o</v>
      </c>
      <c r="AE2277" t="str">
        <f t="shared" si="234"/>
        <v/>
      </c>
      <c r="AF2277" t="str">
        <f t="shared" si="232"/>
        <v/>
      </c>
      <c r="AG2277" t="str">
        <f t="shared" si="233"/>
        <v/>
      </c>
      <c r="AN2277" t="str">
        <f t="shared" si="229"/>
        <v>Defensive</v>
      </c>
    </row>
    <row r="2278" spans="2:40" x14ac:dyDescent="0.2">
      <c r="B2278" t="str">
        <f t="shared" si="228"/>
        <v/>
      </c>
      <c r="U2278" s="8">
        <f t="shared" si="231"/>
        <v>2</v>
      </c>
      <c r="AD2278" t="str">
        <f t="shared" si="230"/>
        <v>o</v>
      </c>
      <c r="AE2278" t="str">
        <f t="shared" si="234"/>
        <v/>
      </c>
      <c r="AF2278" t="str">
        <f t="shared" si="232"/>
        <v/>
      </c>
      <c r="AG2278" t="str">
        <f t="shared" si="233"/>
        <v/>
      </c>
      <c r="AN2278" t="str">
        <f t="shared" si="229"/>
        <v>Defensive</v>
      </c>
    </row>
    <row r="2279" spans="2:40" x14ac:dyDescent="0.2">
      <c r="B2279" t="str">
        <f t="shared" si="228"/>
        <v/>
      </c>
      <c r="U2279" s="8">
        <f t="shared" si="231"/>
        <v>2</v>
      </c>
      <c r="AD2279" t="str">
        <f t="shared" si="230"/>
        <v>o</v>
      </c>
      <c r="AE2279" t="str">
        <f t="shared" si="234"/>
        <v/>
      </c>
      <c r="AF2279" t="str">
        <f t="shared" si="232"/>
        <v/>
      </c>
      <c r="AG2279" t="str">
        <f t="shared" si="233"/>
        <v/>
      </c>
      <c r="AN2279" t="str">
        <f t="shared" si="229"/>
        <v>Defensive</v>
      </c>
    </row>
    <row r="2280" spans="2:40" x14ac:dyDescent="0.2">
      <c r="B2280" t="str">
        <f t="shared" si="228"/>
        <v/>
      </c>
      <c r="U2280" s="8">
        <f t="shared" si="231"/>
        <v>2</v>
      </c>
      <c r="AD2280" t="str">
        <f t="shared" si="230"/>
        <v>o</v>
      </c>
      <c r="AE2280" t="str">
        <f t="shared" si="234"/>
        <v/>
      </c>
      <c r="AF2280" t="str">
        <f t="shared" si="232"/>
        <v/>
      </c>
      <c r="AG2280" t="str">
        <f t="shared" si="233"/>
        <v/>
      </c>
      <c r="AN2280" t="str">
        <f t="shared" si="229"/>
        <v>Defensive</v>
      </c>
    </row>
    <row r="2281" spans="2:40" x14ac:dyDescent="0.2">
      <c r="B2281" t="str">
        <f t="shared" si="228"/>
        <v/>
      </c>
      <c r="U2281" s="8">
        <f t="shared" si="231"/>
        <v>2</v>
      </c>
      <c r="AD2281" t="str">
        <f t="shared" si="230"/>
        <v>o</v>
      </c>
      <c r="AE2281" t="str">
        <f t="shared" si="234"/>
        <v/>
      </c>
      <c r="AF2281" t="str">
        <f t="shared" si="232"/>
        <v/>
      </c>
      <c r="AG2281" t="str">
        <f t="shared" si="233"/>
        <v/>
      </c>
      <c r="AN2281" t="str">
        <f t="shared" si="229"/>
        <v>Defensive</v>
      </c>
    </row>
    <row r="2282" spans="2:40" x14ac:dyDescent="0.2">
      <c r="B2282" t="str">
        <f t="shared" si="228"/>
        <v/>
      </c>
      <c r="U2282" s="8">
        <f t="shared" si="231"/>
        <v>2</v>
      </c>
      <c r="AD2282" t="str">
        <f t="shared" si="230"/>
        <v>o</v>
      </c>
      <c r="AE2282" t="str">
        <f t="shared" si="234"/>
        <v/>
      </c>
      <c r="AF2282" t="str">
        <f t="shared" si="232"/>
        <v/>
      </c>
      <c r="AG2282" t="str">
        <f t="shared" si="233"/>
        <v/>
      </c>
      <c r="AN2282" t="str">
        <f t="shared" si="229"/>
        <v>Defensive</v>
      </c>
    </row>
    <row r="2283" spans="2:40" x14ac:dyDescent="0.2">
      <c r="B2283" t="str">
        <f t="shared" si="228"/>
        <v/>
      </c>
      <c r="U2283" s="8">
        <f t="shared" si="231"/>
        <v>2</v>
      </c>
      <c r="AD2283" t="str">
        <f t="shared" si="230"/>
        <v>o</v>
      </c>
      <c r="AE2283" t="str">
        <f t="shared" si="234"/>
        <v/>
      </c>
      <c r="AF2283" t="str">
        <f t="shared" si="232"/>
        <v/>
      </c>
      <c r="AG2283" t="str">
        <f t="shared" si="233"/>
        <v/>
      </c>
      <c r="AN2283" t="str">
        <f t="shared" si="229"/>
        <v>Defensive</v>
      </c>
    </row>
    <row r="2284" spans="2:40" x14ac:dyDescent="0.2">
      <c r="B2284" t="str">
        <f t="shared" si="228"/>
        <v/>
      </c>
      <c r="U2284" s="8">
        <f t="shared" si="231"/>
        <v>2</v>
      </c>
      <c r="AD2284" t="str">
        <f t="shared" si="230"/>
        <v>o</v>
      </c>
      <c r="AE2284" t="str">
        <f t="shared" si="234"/>
        <v/>
      </c>
      <c r="AF2284" t="str">
        <f t="shared" si="232"/>
        <v/>
      </c>
      <c r="AG2284" t="str">
        <f t="shared" si="233"/>
        <v/>
      </c>
      <c r="AN2284" t="str">
        <f t="shared" si="229"/>
        <v>Defensive</v>
      </c>
    </row>
    <row r="2285" spans="2:40" x14ac:dyDescent="0.2">
      <c r="B2285" t="str">
        <f t="shared" si="228"/>
        <v/>
      </c>
      <c r="U2285" s="8">
        <f t="shared" si="231"/>
        <v>2</v>
      </c>
      <c r="AD2285" t="str">
        <f t="shared" si="230"/>
        <v>o</v>
      </c>
      <c r="AE2285" t="str">
        <f t="shared" si="234"/>
        <v/>
      </c>
      <c r="AF2285" t="str">
        <f t="shared" si="232"/>
        <v/>
      </c>
      <c r="AG2285" t="str">
        <f t="shared" si="233"/>
        <v/>
      </c>
      <c r="AN2285" t="str">
        <f t="shared" si="229"/>
        <v>Defensive</v>
      </c>
    </row>
    <row r="2286" spans="2:40" x14ac:dyDescent="0.2">
      <c r="B2286" t="str">
        <f t="shared" si="228"/>
        <v/>
      </c>
      <c r="U2286" s="8">
        <f t="shared" si="231"/>
        <v>2</v>
      </c>
      <c r="AD2286" t="str">
        <f t="shared" si="230"/>
        <v>o</v>
      </c>
      <c r="AE2286" t="str">
        <f t="shared" si="234"/>
        <v/>
      </c>
      <c r="AF2286" t="str">
        <f t="shared" si="232"/>
        <v/>
      </c>
      <c r="AG2286" t="str">
        <f t="shared" si="233"/>
        <v/>
      </c>
      <c r="AN2286" t="str">
        <f t="shared" si="229"/>
        <v>Defensive</v>
      </c>
    </row>
    <row r="2287" spans="2:40" x14ac:dyDescent="0.2">
      <c r="B2287" t="str">
        <f t="shared" si="228"/>
        <v/>
      </c>
      <c r="U2287" s="8">
        <f t="shared" si="231"/>
        <v>2</v>
      </c>
      <c r="AD2287" t="str">
        <f t="shared" si="230"/>
        <v>o</v>
      </c>
      <c r="AE2287" t="str">
        <f t="shared" si="234"/>
        <v/>
      </c>
      <c r="AF2287" t="str">
        <f t="shared" si="232"/>
        <v/>
      </c>
      <c r="AG2287" t="str">
        <f t="shared" si="233"/>
        <v/>
      </c>
      <c r="AN2287" t="str">
        <f t="shared" si="229"/>
        <v>Defensive</v>
      </c>
    </row>
    <row r="2288" spans="2:40" x14ac:dyDescent="0.2">
      <c r="B2288" t="str">
        <f t="shared" ref="B2288:B2351" si="235">IF(A2288=A2287,B2287,"")</f>
        <v/>
      </c>
      <c r="U2288" s="8">
        <f t="shared" si="231"/>
        <v>2</v>
      </c>
      <c r="AD2288" t="str">
        <f t="shared" si="230"/>
        <v>o</v>
      </c>
      <c r="AE2288" t="str">
        <f t="shared" si="234"/>
        <v/>
      </c>
      <c r="AF2288" t="str">
        <f t="shared" si="232"/>
        <v/>
      </c>
      <c r="AG2288" t="str">
        <f t="shared" si="233"/>
        <v/>
      </c>
      <c r="AN2288" t="str">
        <f t="shared" si="229"/>
        <v>Defensive</v>
      </c>
    </row>
    <row r="2289" spans="2:40" x14ac:dyDescent="0.2">
      <c r="B2289" t="str">
        <f t="shared" si="235"/>
        <v/>
      </c>
      <c r="U2289" s="8">
        <f t="shared" si="231"/>
        <v>2</v>
      </c>
      <c r="AD2289" t="str">
        <f t="shared" si="230"/>
        <v>o</v>
      </c>
      <c r="AE2289" t="str">
        <f t="shared" si="234"/>
        <v/>
      </c>
      <c r="AF2289" t="str">
        <f t="shared" si="232"/>
        <v/>
      </c>
      <c r="AG2289" t="str">
        <f t="shared" si="233"/>
        <v/>
      </c>
      <c r="AN2289" t="str">
        <f t="shared" si="229"/>
        <v>Defensive</v>
      </c>
    </row>
    <row r="2290" spans="2:40" x14ac:dyDescent="0.2">
      <c r="B2290" t="str">
        <f t="shared" si="235"/>
        <v/>
      </c>
      <c r="U2290" s="8">
        <f t="shared" si="231"/>
        <v>2</v>
      </c>
      <c r="AD2290" t="str">
        <f t="shared" si="230"/>
        <v>o</v>
      </c>
      <c r="AE2290" t="str">
        <f t="shared" si="234"/>
        <v/>
      </c>
      <c r="AF2290" t="str">
        <f t="shared" si="232"/>
        <v/>
      </c>
      <c r="AG2290" t="str">
        <f t="shared" si="233"/>
        <v/>
      </c>
      <c r="AN2290" t="str">
        <f t="shared" si="229"/>
        <v>Defensive</v>
      </c>
    </row>
    <row r="2291" spans="2:40" x14ac:dyDescent="0.2">
      <c r="B2291" t="str">
        <f t="shared" si="235"/>
        <v/>
      </c>
      <c r="U2291" s="8">
        <f t="shared" si="231"/>
        <v>2</v>
      </c>
      <c r="AD2291" t="str">
        <f t="shared" si="230"/>
        <v>o</v>
      </c>
      <c r="AE2291" t="str">
        <f t="shared" si="234"/>
        <v/>
      </c>
      <c r="AF2291" t="str">
        <f t="shared" si="232"/>
        <v/>
      </c>
      <c r="AG2291" t="str">
        <f t="shared" si="233"/>
        <v/>
      </c>
      <c r="AN2291" t="str">
        <f t="shared" si="229"/>
        <v>Defensive</v>
      </c>
    </row>
    <row r="2292" spans="2:40" x14ac:dyDescent="0.2">
      <c r="B2292" t="str">
        <f t="shared" si="235"/>
        <v/>
      </c>
      <c r="U2292" s="8">
        <f t="shared" si="231"/>
        <v>2</v>
      </c>
      <c r="AD2292" t="str">
        <f t="shared" si="230"/>
        <v>o</v>
      </c>
      <c r="AE2292" t="str">
        <f t="shared" si="234"/>
        <v/>
      </c>
      <c r="AF2292" t="str">
        <f t="shared" si="232"/>
        <v/>
      </c>
      <c r="AG2292" t="str">
        <f t="shared" si="233"/>
        <v/>
      </c>
      <c r="AN2292" t="str">
        <f t="shared" si="229"/>
        <v>Defensive</v>
      </c>
    </row>
    <row r="2293" spans="2:40" x14ac:dyDescent="0.2">
      <c r="B2293" t="str">
        <f t="shared" si="235"/>
        <v/>
      </c>
      <c r="U2293" s="8">
        <f t="shared" si="231"/>
        <v>2</v>
      </c>
      <c r="AD2293" t="str">
        <f t="shared" si="230"/>
        <v>o</v>
      </c>
      <c r="AE2293" t="str">
        <f t="shared" si="234"/>
        <v/>
      </c>
      <c r="AF2293" t="str">
        <f t="shared" si="232"/>
        <v/>
      </c>
      <c r="AG2293" t="str">
        <f t="shared" si="233"/>
        <v/>
      </c>
      <c r="AN2293" t="str">
        <f t="shared" si="229"/>
        <v>Defensive</v>
      </c>
    </row>
    <row r="2294" spans="2:40" x14ac:dyDescent="0.2">
      <c r="B2294" t="str">
        <f t="shared" si="235"/>
        <v/>
      </c>
      <c r="U2294" s="8">
        <f t="shared" si="231"/>
        <v>2</v>
      </c>
      <c r="AD2294" t="str">
        <f t="shared" si="230"/>
        <v>o</v>
      </c>
      <c r="AE2294" t="str">
        <f t="shared" si="234"/>
        <v/>
      </c>
      <c r="AF2294" t="str">
        <f t="shared" si="232"/>
        <v/>
      </c>
      <c r="AG2294" t="str">
        <f t="shared" si="233"/>
        <v/>
      </c>
      <c r="AN2294" t="str">
        <f t="shared" si="229"/>
        <v>Defensive</v>
      </c>
    </row>
    <row r="2295" spans="2:40" x14ac:dyDescent="0.2">
      <c r="B2295" t="str">
        <f t="shared" si="235"/>
        <v/>
      </c>
      <c r="U2295" s="8">
        <f t="shared" si="231"/>
        <v>2</v>
      </c>
      <c r="AD2295" t="str">
        <f t="shared" si="230"/>
        <v>o</v>
      </c>
      <c r="AE2295" t="str">
        <f t="shared" si="234"/>
        <v/>
      </c>
      <c r="AF2295" t="str">
        <f t="shared" si="232"/>
        <v/>
      </c>
      <c r="AG2295" t="str">
        <f t="shared" si="233"/>
        <v/>
      </c>
      <c r="AN2295" t="str">
        <f t="shared" si="229"/>
        <v>Defensive</v>
      </c>
    </row>
    <row r="2296" spans="2:40" x14ac:dyDescent="0.2">
      <c r="B2296" t="str">
        <f t="shared" si="235"/>
        <v/>
      </c>
      <c r="U2296" s="8">
        <f t="shared" si="231"/>
        <v>2</v>
      </c>
      <c r="AD2296" t="str">
        <f t="shared" si="230"/>
        <v>o</v>
      </c>
      <c r="AE2296" t="str">
        <f t="shared" si="234"/>
        <v/>
      </c>
      <c r="AF2296" t="str">
        <f t="shared" si="232"/>
        <v/>
      </c>
      <c r="AG2296" t="str">
        <f t="shared" si="233"/>
        <v/>
      </c>
      <c r="AN2296" t="str">
        <f t="shared" si="229"/>
        <v>Defensive</v>
      </c>
    </row>
    <row r="2297" spans="2:40" x14ac:dyDescent="0.2">
      <c r="B2297" t="str">
        <f t="shared" si="235"/>
        <v/>
      </c>
      <c r="U2297" s="8">
        <f t="shared" si="231"/>
        <v>2</v>
      </c>
      <c r="AD2297" t="str">
        <f t="shared" si="230"/>
        <v>o</v>
      </c>
      <c r="AE2297" t="str">
        <f t="shared" si="234"/>
        <v/>
      </c>
      <c r="AF2297" t="str">
        <f t="shared" si="232"/>
        <v/>
      </c>
      <c r="AG2297" t="str">
        <f t="shared" si="233"/>
        <v/>
      </c>
      <c r="AN2297" t="str">
        <f t="shared" ref="AN2297:AN2360" si="236">IF(AND(AD2297="e",OR(AE2297="Save",AF2297="Turnover_Takeaway",AF2297="Play_Defensive")),"Defensive",IF(AND(AD2297="o",OR(AE2297="Save",AF2297="Turnover_Takeaway",AF2297="Play_Defensive")),"Offensive",IF(OR(AE2297="Deadice",AE2297="Stoppage",AE2297="Intermission"),"",IF(AD2297="e","Offensive",IF(AD2297="o","Defensive","")))))</f>
        <v>Defensive</v>
      </c>
    </row>
    <row r="2298" spans="2:40" x14ac:dyDescent="0.2">
      <c r="B2298" t="str">
        <f t="shared" si="235"/>
        <v/>
      </c>
      <c r="U2298" s="8">
        <f t="shared" si="231"/>
        <v>2</v>
      </c>
      <c r="AD2298" t="str">
        <f t="shared" si="230"/>
        <v>o</v>
      </c>
      <c r="AE2298" t="str">
        <f t="shared" si="234"/>
        <v/>
      </c>
      <c r="AF2298" t="str">
        <f t="shared" si="232"/>
        <v/>
      </c>
      <c r="AG2298" t="str">
        <f t="shared" si="233"/>
        <v/>
      </c>
      <c r="AN2298" t="str">
        <f t="shared" si="236"/>
        <v>Defensive</v>
      </c>
    </row>
    <row r="2299" spans="2:40" x14ac:dyDescent="0.2">
      <c r="B2299" t="str">
        <f t="shared" si="235"/>
        <v/>
      </c>
      <c r="U2299" s="8">
        <f t="shared" si="231"/>
        <v>2</v>
      </c>
      <c r="AD2299" t="str">
        <f t="shared" si="230"/>
        <v>o</v>
      </c>
      <c r="AE2299" t="str">
        <f t="shared" si="234"/>
        <v/>
      </c>
      <c r="AF2299" t="str">
        <f t="shared" si="232"/>
        <v/>
      </c>
      <c r="AG2299" t="str">
        <f t="shared" si="233"/>
        <v/>
      </c>
      <c r="AN2299" t="str">
        <f t="shared" si="236"/>
        <v>Defensive</v>
      </c>
    </row>
    <row r="2300" spans="2:40" x14ac:dyDescent="0.2">
      <c r="B2300" t="str">
        <f t="shared" si="235"/>
        <v/>
      </c>
      <c r="U2300" s="8">
        <f t="shared" si="231"/>
        <v>2</v>
      </c>
      <c r="AD2300" t="str">
        <f t="shared" si="230"/>
        <v>o</v>
      </c>
      <c r="AE2300" t="str">
        <f t="shared" si="234"/>
        <v/>
      </c>
      <c r="AF2300" t="str">
        <f t="shared" si="232"/>
        <v/>
      </c>
      <c r="AG2300" t="str">
        <f t="shared" si="233"/>
        <v/>
      </c>
      <c r="AN2300" t="str">
        <f t="shared" si="236"/>
        <v>Defensive</v>
      </c>
    </row>
    <row r="2301" spans="2:40" x14ac:dyDescent="0.2">
      <c r="B2301" t="str">
        <f t="shared" si="235"/>
        <v/>
      </c>
      <c r="U2301" s="8">
        <f t="shared" si="231"/>
        <v>2</v>
      </c>
      <c r="AD2301" t="str">
        <f t="shared" si="230"/>
        <v>o</v>
      </c>
      <c r="AE2301" t="str">
        <f t="shared" si="234"/>
        <v/>
      </c>
      <c r="AF2301" t="str">
        <f t="shared" si="232"/>
        <v/>
      </c>
      <c r="AG2301" t="str">
        <f t="shared" si="233"/>
        <v/>
      </c>
      <c r="AN2301" t="str">
        <f t="shared" si="236"/>
        <v>Defensive</v>
      </c>
    </row>
    <row r="2302" spans="2:40" x14ac:dyDescent="0.2">
      <c r="B2302" t="str">
        <f t="shared" si="235"/>
        <v/>
      </c>
      <c r="U2302" s="8">
        <f t="shared" si="231"/>
        <v>2</v>
      </c>
      <c r="AD2302" t="str">
        <f t="shared" si="230"/>
        <v>o</v>
      </c>
      <c r="AE2302" t="str">
        <f t="shared" si="234"/>
        <v/>
      </c>
      <c r="AF2302" t="str">
        <f t="shared" si="232"/>
        <v/>
      </c>
      <c r="AG2302" t="str">
        <f t="shared" si="233"/>
        <v/>
      </c>
      <c r="AN2302" t="str">
        <f t="shared" si="236"/>
        <v>Defensive</v>
      </c>
    </row>
    <row r="2303" spans="2:40" x14ac:dyDescent="0.2">
      <c r="B2303" t="str">
        <f t="shared" si="235"/>
        <v/>
      </c>
      <c r="U2303" s="8">
        <f t="shared" si="231"/>
        <v>2</v>
      </c>
      <c r="AD2303" t="str">
        <f t="shared" si="230"/>
        <v>o</v>
      </c>
      <c r="AE2303" t="str">
        <f t="shared" si="234"/>
        <v/>
      </c>
      <c r="AF2303" t="str">
        <f t="shared" si="232"/>
        <v/>
      </c>
      <c r="AG2303" t="str">
        <f t="shared" si="233"/>
        <v/>
      </c>
      <c r="AN2303" t="str">
        <f t="shared" si="236"/>
        <v>Defensive</v>
      </c>
    </row>
    <row r="2304" spans="2:40" x14ac:dyDescent="0.2">
      <c r="B2304" t="str">
        <f t="shared" si="235"/>
        <v/>
      </c>
      <c r="U2304" s="8">
        <f t="shared" si="231"/>
        <v>2</v>
      </c>
      <c r="AD2304" t="str">
        <f t="shared" si="230"/>
        <v>o</v>
      </c>
      <c r="AE2304" t="str">
        <f t="shared" si="234"/>
        <v/>
      </c>
      <c r="AF2304" t="str">
        <f t="shared" si="232"/>
        <v/>
      </c>
      <c r="AG2304" t="str">
        <f t="shared" si="233"/>
        <v/>
      </c>
      <c r="AN2304" t="str">
        <f t="shared" si="236"/>
        <v>Defensive</v>
      </c>
    </row>
    <row r="2305" spans="2:40" x14ac:dyDescent="0.2">
      <c r="B2305" t="str">
        <f t="shared" si="235"/>
        <v/>
      </c>
      <c r="U2305" s="8">
        <f t="shared" si="231"/>
        <v>2</v>
      </c>
      <c r="AD2305" t="str">
        <f t="shared" si="230"/>
        <v>o</v>
      </c>
      <c r="AE2305" t="str">
        <f t="shared" si="234"/>
        <v/>
      </c>
      <c r="AF2305" t="str">
        <f t="shared" si="232"/>
        <v/>
      </c>
      <c r="AG2305" t="str">
        <f t="shared" si="233"/>
        <v/>
      </c>
      <c r="AN2305" t="str">
        <f t="shared" si="236"/>
        <v>Defensive</v>
      </c>
    </row>
    <row r="2306" spans="2:40" x14ac:dyDescent="0.2">
      <c r="B2306" t="str">
        <f t="shared" si="235"/>
        <v/>
      </c>
      <c r="U2306" s="8">
        <f t="shared" si="231"/>
        <v>2</v>
      </c>
      <c r="AD2306" t="str">
        <f t="shared" ref="AD2306:AD2369" si="237">IF(K2306="x","",IF(K2306=1,"e","o"))</f>
        <v>o</v>
      </c>
      <c r="AE2306" t="str">
        <f t="shared" si="234"/>
        <v/>
      </c>
      <c r="AF2306" t="str">
        <f t="shared" si="232"/>
        <v/>
      </c>
      <c r="AG2306" t="str">
        <f t="shared" si="233"/>
        <v/>
      </c>
      <c r="AN2306" t="str">
        <f t="shared" si="236"/>
        <v>Defensive</v>
      </c>
    </row>
    <row r="2307" spans="2:40" x14ac:dyDescent="0.2">
      <c r="B2307" t="str">
        <f t="shared" si="235"/>
        <v/>
      </c>
      <c r="U2307" s="8">
        <f t="shared" ref="U2307:U2370" si="238">IF(M2307="Intermission",U2306+1,U2306)</f>
        <v>2</v>
      </c>
      <c r="AD2307" t="str">
        <f t="shared" si="237"/>
        <v>o</v>
      </c>
      <c r="AE2307" t="str">
        <f t="shared" si="234"/>
        <v/>
      </c>
      <c r="AF2307" t="str">
        <f t="shared" ref="AF2307:AF2370" si="239">IF(N2307&lt;&gt;"",N2307,IF($A2307=$A2306,AF2306,""))</f>
        <v/>
      </c>
      <c r="AG2307" t="str">
        <f t="shared" ref="AG2307:AG2370" si="240">IF(O2307&lt;&gt;"",O2307,IF($A2307=$A2306,AG2306,""))</f>
        <v/>
      </c>
      <c r="AN2307" t="str">
        <f t="shared" si="236"/>
        <v>Defensive</v>
      </c>
    </row>
    <row r="2308" spans="2:40" x14ac:dyDescent="0.2">
      <c r="B2308" t="str">
        <f t="shared" si="235"/>
        <v/>
      </c>
      <c r="U2308" s="8">
        <f t="shared" si="238"/>
        <v>2</v>
      </c>
      <c r="AD2308" t="str">
        <f t="shared" si="237"/>
        <v>o</v>
      </c>
      <c r="AE2308" t="str">
        <f t="shared" ref="AE2308:AE2371" si="241">IF(M2308&lt;&gt;"",M2308,IF($A2308=$A2307,AE2307,""))</f>
        <v/>
      </c>
      <c r="AF2308" t="str">
        <f t="shared" si="239"/>
        <v/>
      </c>
      <c r="AG2308" t="str">
        <f t="shared" si="240"/>
        <v/>
      </c>
      <c r="AN2308" t="str">
        <f t="shared" si="236"/>
        <v>Defensive</v>
      </c>
    </row>
    <row r="2309" spans="2:40" x14ac:dyDescent="0.2">
      <c r="B2309" t="str">
        <f t="shared" si="235"/>
        <v/>
      </c>
      <c r="U2309" s="8">
        <f t="shared" si="238"/>
        <v>2</v>
      </c>
      <c r="AD2309" t="str">
        <f t="shared" si="237"/>
        <v>o</v>
      </c>
      <c r="AE2309" t="str">
        <f t="shared" si="241"/>
        <v/>
      </c>
      <c r="AF2309" t="str">
        <f t="shared" si="239"/>
        <v/>
      </c>
      <c r="AG2309" t="str">
        <f t="shared" si="240"/>
        <v/>
      </c>
      <c r="AN2309" t="str">
        <f t="shared" si="236"/>
        <v>Defensive</v>
      </c>
    </row>
    <row r="2310" spans="2:40" x14ac:dyDescent="0.2">
      <c r="B2310" t="str">
        <f t="shared" si="235"/>
        <v/>
      </c>
      <c r="U2310" s="8">
        <f t="shared" si="238"/>
        <v>2</v>
      </c>
      <c r="AD2310" t="str">
        <f t="shared" si="237"/>
        <v>o</v>
      </c>
      <c r="AE2310" t="str">
        <f t="shared" si="241"/>
        <v/>
      </c>
      <c r="AF2310" t="str">
        <f t="shared" si="239"/>
        <v/>
      </c>
      <c r="AG2310" t="str">
        <f t="shared" si="240"/>
        <v/>
      </c>
      <c r="AN2310" t="str">
        <f t="shared" si="236"/>
        <v>Defensive</v>
      </c>
    </row>
    <row r="2311" spans="2:40" x14ac:dyDescent="0.2">
      <c r="B2311" t="str">
        <f t="shared" si="235"/>
        <v/>
      </c>
      <c r="U2311" s="8">
        <f t="shared" si="238"/>
        <v>2</v>
      </c>
      <c r="AD2311" t="str">
        <f t="shared" si="237"/>
        <v>o</v>
      </c>
      <c r="AE2311" t="str">
        <f t="shared" si="241"/>
        <v/>
      </c>
      <c r="AF2311" t="str">
        <f t="shared" si="239"/>
        <v/>
      </c>
      <c r="AG2311" t="str">
        <f t="shared" si="240"/>
        <v/>
      </c>
      <c r="AN2311" t="str">
        <f t="shared" si="236"/>
        <v>Defensive</v>
      </c>
    </row>
    <row r="2312" spans="2:40" x14ac:dyDescent="0.2">
      <c r="B2312" t="str">
        <f t="shared" si="235"/>
        <v/>
      </c>
      <c r="U2312" s="8">
        <f t="shared" si="238"/>
        <v>2</v>
      </c>
      <c r="AD2312" t="str">
        <f t="shared" si="237"/>
        <v>o</v>
      </c>
      <c r="AE2312" t="str">
        <f t="shared" si="241"/>
        <v/>
      </c>
      <c r="AF2312" t="str">
        <f t="shared" si="239"/>
        <v/>
      </c>
      <c r="AG2312" t="str">
        <f t="shared" si="240"/>
        <v/>
      </c>
      <c r="AN2312" t="str">
        <f t="shared" si="236"/>
        <v>Defensive</v>
      </c>
    </row>
    <row r="2313" spans="2:40" x14ac:dyDescent="0.2">
      <c r="B2313" t="str">
        <f t="shared" si="235"/>
        <v/>
      </c>
      <c r="U2313" s="8">
        <f t="shared" si="238"/>
        <v>2</v>
      </c>
      <c r="AD2313" t="str">
        <f t="shared" si="237"/>
        <v>o</v>
      </c>
      <c r="AE2313" t="str">
        <f t="shared" si="241"/>
        <v/>
      </c>
      <c r="AF2313" t="str">
        <f t="shared" si="239"/>
        <v/>
      </c>
      <c r="AG2313" t="str">
        <f t="shared" si="240"/>
        <v/>
      </c>
      <c r="AN2313" t="str">
        <f t="shared" si="236"/>
        <v>Defensive</v>
      </c>
    </row>
    <row r="2314" spans="2:40" x14ac:dyDescent="0.2">
      <c r="B2314" t="str">
        <f t="shared" si="235"/>
        <v/>
      </c>
      <c r="U2314" s="8">
        <f t="shared" si="238"/>
        <v>2</v>
      </c>
      <c r="AD2314" t="str">
        <f t="shared" si="237"/>
        <v>o</v>
      </c>
      <c r="AE2314" t="str">
        <f t="shared" si="241"/>
        <v/>
      </c>
      <c r="AF2314" t="str">
        <f t="shared" si="239"/>
        <v/>
      </c>
      <c r="AG2314" t="str">
        <f t="shared" si="240"/>
        <v/>
      </c>
      <c r="AN2314" t="str">
        <f t="shared" si="236"/>
        <v>Defensive</v>
      </c>
    </row>
    <row r="2315" spans="2:40" x14ac:dyDescent="0.2">
      <c r="B2315" t="str">
        <f t="shared" si="235"/>
        <v/>
      </c>
      <c r="U2315" s="8">
        <f t="shared" si="238"/>
        <v>2</v>
      </c>
      <c r="AD2315" t="str">
        <f t="shared" si="237"/>
        <v>o</v>
      </c>
      <c r="AE2315" t="str">
        <f t="shared" si="241"/>
        <v/>
      </c>
      <c r="AF2315" t="str">
        <f t="shared" si="239"/>
        <v/>
      </c>
      <c r="AG2315" t="str">
        <f t="shared" si="240"/>
        <v/>
      </c>
      <c r="AN2315" t="str">
        <f t="shared" si="236"/>
        <v>Defensive</v>
      </c>
    </row>
    <row r="2316" spans="2:40" x14ac:dyDescent="0.2">
      <c r="B2316" t="str">
        <f t="shared" si="235"/>
        <v/>
      </c>
      <c r="U2316" s="8">
        <f t="shared" si="238"/>
        <v>2</v>
      </c>
      <c r="AD2316" t="str">
        <f t="shared" si="237"/>
        <v>o</v>
      </c>
      <c r="AE2316" t="str">
        <f t="shared" si="241"/>
        <v/>
      </c>
      <c r="AF2316" t="str">
        <f t="shared" si="239"/>
        <v/>
      </c>
      <c r="AG2316" t="str">
        <f t="shared" si="240"/>
        <v/>
      </c>
      <c r="AN2316" t="str">
        <f t="shared" si="236"/>
        <v>Defensive</v>
      </c>
    </row>
    <row r="2317" spans="2:40" x14ac:dyDescent="0.2">
      <c r="B2317" t="str">
        <f t="shared" si="235"/>
        <v/>
      </c>
      <c r="U2317" s="8">
        <f t="shared" si="238"/>
        <v>2</v>
      </c>
      <c r="AD2317" t="str">
        <f t="shared" si="237"/>
        <v>o</v>
      </c>
      <c r="AE2317" t="str">
        <f t="shared" si="241"/>
        <v/>
      </c>
      <c r="AF2317" t="str">
        <f t="shared" si="239"/>
        <v/>
      </c>
      <c r="AG2317" t="str">
        <f t="shared" si="240"/>
        <v/>
      </c>
      <c r="AN2317" t="str">
        <f t="shared" si="236"/>
        <v>Defensive</v>
      </c>
    </row>
    <row r="2318" spans="2:40" x14ac:dyDescent="0.2">
      <c r="B2318" t="str">
        <f t="shared" si="235"/>
        <v/>
      </c>
      <c r="U2318" s="8">
        <f t="shared" si="238"/>
        <v>2</v>
      </c>
      <c r="AD2318" t="str">
        <f t="shared" si="237"/>
        <v>o</v>
      </c>
      <c r="AE2318" t="str">
        <f t="shared" si="241"/>
        <v/>
      </c>
      <c r="AF2318" t="str">
        <f t="shared" si="239"/>
        <v/>
      </c>
      <c r="AG2318" t="str">
        <f t="shared" si="240"/>
        <v/>
      </c>
      <c r="AN2318" t="str">
        <f t="shared" si="236"/>
        <v>Defensive</v>
      </c>
    </row>
    <row r="2319" spans="2:40" x14ac:dyDescent="0.2">
      <c r="B2319" t="str">
        <f t="shared" si="235"/>
        <v/>
      </c>
      <c r="U2319" s="8">
        <f t="shared" si="238"/>
        <v>2</v>
      </c>
      <c r="AD2319" t="str">
        <f t="shared" si="237"/>
        <v>o</v>
      </c>
      <c r="AE2319" t="str">
        <f t="shared" si="241"/>
        <v/>
      </c>
      <c r="AF2319" t="str">
        <f t="shared" si="239"/>
        <v/>
      </c>
      <c r="AG2319" t="str">
        <f t="shared" si="240"/>
        <v/>
      </c>
      <c r="AN2319" t="str">
        <f t="shared" si="236"/>
        <v>Defensive</v>
      </c>
    </row>
    <row r="2320" spans="2:40" x14ac:dyDescent="0.2">
      <c r="B2320" t="str">
        <f t="shared" si="235"/>
        <v/>
      </c>
      <c r="U2320" s="8">
        <f t="shared" si="238"/>
        <v>2</v>
      </c>
      <c r="AD2320" t="str">
        <f t="shared" si="237"/>
        <v>o</v>
      </c>
      <c r="AE2320" t="str">
        <f t="shared" si="241"/>
        <v/>
      </c>
      <c r="AF2320" t="str">
        <f t="shared" si="239"/>
        <v/>
      </c>
      <c r="AG2320" t="str">
        <f t="shared" si="240"/>
        <v/>
      </c>
      <c r="AN2320" t="str">
        <f t="shared" si="236"/>
        <v>Defensive</v>
      </c>
    </row>
    <row r="2321" spans="2:40" x14ac:dyDescent="0.2">
      <c r="B2321" t="str">
        <f t="shared" si="235"/>
        <v/>
      </c>
      <c r="U2321" s="8">
        <f t="shared" si="238"/>
        <v>2</v>
      </c>
      <c r="AD2321" t="str">
        <f t="shared" si="237"/>
        <v>o</v>
      </c>
      <c r="AE2321" t="str">
        <f t="shared" si="241"/>
        <v/>
      </c>
      <c r="AF2321" t="str">
        <f t="shared" si="239"/>
        <v/>
      </c>
      <c r="AG2321" t="str">
        <f t="shared" si="240"/>
        <v/>
      </c>
      <c r="AN2321" t="str">
        <f t="shared" si="236"/>
        <v>Defensive</v>
      </c>
    </row>
    <row r="2322" spans="2:40" x14ac:dyDescent="0.2">
      <c r="B2322" t="str">
        <f t="shared" si="235"/>
        <v/>
      </c>
      <c r="U2322" s="8">
        <f t="shared" si="238"/>
        <v>2</v>
      </c>
      <c r="AD2322" t="str">
        <f t="shared" si="237"/>
        <v>o</v>
      </c>
      <c r="AE2322" t="str">
        <f t="shared" si="241"/>
        <v/>
      </c>
      <c r="AF2322" t="str">
        <f t="shared" si="239"/>
        <v/>
      </c>
      <c r="AG2322" t="str">
        <f t="shared" si="240"/>
        <v/>
      </c>
      <c r="AN2322" t="str">
        <f t="shared" si="236"/>
        <v>Defensive</v>
      </c>
    </row>
    <row r="2323" spans="2:40" x14ac:dyDescent="0.2">
      <c r="B2323" t="str">
        <f t="shared" si="235"/>
        <v/>
      </c>
      <c r="U2323" s="8">
        <f t="shared" si="238"/>
        <v>2</v>
      </c>
      <c r="AD2323" t="str">
        <f t="shared" si="237"/>
        <v>o</v>
      </c>
      <c r="AE2323" t="str">
        <f t="shared" si="241"/>
        <v/>
      </c>
      <c r="AF2323" t="str">
        <f t="shared" si="239"/>
        <v/>
      </c>
      <c r="AG2323" t="str">
        <f t="shared" si="240"/>
        <v/>
      </c>
      <c r="AN2323" t="str">
        <f t="shared" si="236"/>
        <v>Defensive</v>
      </c>
    </row>
    <row r="2324" spans="2:40" x14ac:dyDescent="0.2">
      <c r="B2324" t="str">
        <f t="shared" si="235"/>
        <v/>
      </c>
      <c r="U2324" s="8">
        <f t="shared" si="238"/>
        <v>2</v>
      </c>
      <c r="AD2324" t="str">
        <f t="shared" si="237"/>
        <v>o</v>
      </c>
      <c r="AE2324" t="str">
        <f t="shared" si="241"/>
        <v/>
      </c>
      <c r="AF2324" t="str">
        <f t="shared" si="239"/>
        <v/>
      </c>
      <c r="AG2324" t="str">
        <f t="shared" si="240"/>
        <v/>
      </c>
      <c r="AN2324" t="str">
        <f t="shared" si="236"/>
        <v>Defensive</v>
      </c>
    </row>
    <row r="2325" spans="2:40" x14ac:dyDescent="0.2">
      <c r="B2325" t="str">
        <f t="shared" si="235"/>
        <v/>
      </c>
      <c r="U2325" s="8">
        <f t="shared" si="238"/>
        <v>2</v>
      </c>
      <c r="AD2325" t="str">
        <f t="shared" si="237"/>
        <v>o</v>
      </c>
      <c r="AE2325" t="str">
        <f t="shared" si="241"/>
        <v/>
      </c>
      <c r="AF2325" t="str">
        <f t="shared" si="239"/>
        <v/>
      </c>
      <c r="AG2325" t="str">
        <f t="shared" si="240"/>
        <v/>
      </c>
      <c r="AN2325" t="str">
        <f t="shared" si="236"/>
        <v>Defensive</v>
      </c>
    </row>
    <row r="2326" spans="2:40" x14ac:dyDescent="0.2">
      <c r="B2326" t="str">
        <f t="shared" si="235"/>
        <v/>
      </c>
      <c r="U2326" s="8">
        <f t="shared" si="238"/>
        <v>2</v>
      </c>
      <c r="AD2326" t="str">
        <f t="shared" si="237"/>
        <v>o</v>
      </c>
      <c r="AE2326" t="str">
        <f t="shared" si="241"/>
        <v/>
      </c>
      <c r="AF2326" t="str">
        <f t="shared" si="239"/>
        <v/>
      </c>
      <c r="AG2326" t="str">
        <f t="shared" si="240"/>
        <v/>
      </c>
      <c r="AN2326" t="str">
        <f t="shared" si="236"/>
        <v>Defensive</v>
      </c>
    </row>
    <row r="2327" spans="2:40" x14ac:dyDescent="0.2">
      <c r="B2327" t="str">
        <f t="shared" si="235"/>
        <v/>
      </c>
      <c r="U2327" s="8">
        <f t="shared" si="238"/>
        <v>2</v>
      </c>
      <c r="AD2327" t="str">
        <f t="shared" si="237"/>
        <v>o</v>
      </c>
      <c r="AE2327" t="str">
        <f t="shared" si="241"/>
        <v/>
      </c>
      <c r="AF2327" t="str">
        <f t="shared" si="239"/>
        <v/>
      </c>
      <c r="AG2327" t="str">
        <f t="shared" si="240"/>
        <v/>
      </c>
      <c r="AN2327" t="str">
        <f t="shared" si="236"/>
        <v>Defensive</v>
      </c>
    </row>
    <row r="2328" spans="2:40" x14ac:dyDescent="0.2">
      <c r="B2328" t="str">
        <f t="shared" si="235"/>
        <v/>
      </c>
      <c r="U2328" s="8">
        <f t="shared" si="238"/>
        <v>2</v>
      </c>
      <c r="AD2328" t="str">
        <f t="shared" si="237"/>
        <v>o</v>
      </c>
      <c r="AE2328" t="str">
        <f t="shared" si="241"/>
        <v/>
      </c>
      <c r="AF2328" t="str">
        <f t="shared" si="239"/>
        <v/>
      </c>
      <c r="AG2328" t="str">
        <f t="shared" si="240"/>
        <v/>
      </c>
      <c r="AN2328" t="str">
        <f t="shared" si="236"/>
        <v>Defensive</v>
      </c>
    </row>
    <row r="2329" spans="2:40" x14ac:dyDescent="0.2">
      <c r="B2329" t="str">
        <f t="shared" si="235"/>
        <v/>
      </c>
      <c r="U2329" s="8">
        <f t="shared" si="238"/>
        <v>2</v>
      </c>
      <c r="AD2329" t="str">
        <f t="shared" si="237"/>
        <v>o</v>
      </c>
      <c r="AE2329" t="str">
        <f t="shared" si="241"/>
        <v/>
      </c>
      <c r="AF2329" t="str">
        <f t="shared" si="239"/>
        <v/>
      </c>
      <c r="AG2329" t="str">
        <f t="shared" si="240"/>
        <v/>
      </c>
      <c r="AN2329" t="str">
        <f t="shared" si="236"/>
        <v>Defensive</v>
      </c>
    </row>
    <row r="2330" spans="2:40" x14ac:dyDescent="0.2">
      <c r="B2330" t="str">
        <f t="shared" si="235"/>
        <v/>
      </c>
      <c r="U2330" s="8">
        <f t="shared" si="238"/>
        <v>2</v>
      </c>
      <c r="AD2330" t="str">
        <f t="shared" si="237"/>
        <v>o</v>
      </c>
      <c r="AE2330" t="str">
        <f t="shared" si="241"/>
        <v/>
      </c>
      <c r="AF2330" t="str">
        <f t="shared" si="239"/>
        <v/>
      </c>
      <c r="AG2330" t="str">
        <f t="shared" si="240"/>
        <v/>
      </c>
      <c r="AN2330" t="str">
        <f t="shared" si="236"/>
        <v>Defensive</v>
      </c>
    </row>
    <row r="2331" spans="2:40" x14ac:dyDescent="0.2">
      <c r="B2331" t="str">
        <f t="shared" si="235"/>
        <v/>
      </c>
      <c r="U2331" s="8">
        <f t="shared" si="238"/>
        <v>2</v>
      </c>
      <c r="AD2331" t="str">
        <f t="shared" si="237"/>
        <v>o</v>
      </c>
      <c r="AE2331" t="str">
        <f t="shared" si="241"/>
        <v/>
      </c>
      <c r="AF2331" t="str">
        <f t="shared" si="239"/>
        <v/>
      </c>
      <c r="AG2331" t="str">
        <f t="shared" si="240"/>
        <v/>
      </c>
      <c r="AN2331" t="str">
        <f t="shared" si="236"/>
        <v>Defensive</v>
      </c>
    </row>
    <row r="2332" spans="2:40" x14ac:dyDescent="0.2">
      <c r="B2332" t="str">
        <f t="shared" si="235"/>
        <v/>
      </c>
      <c r="U2332" s="8">
        <f t="shared" si="238"/>
        <v>2</v>
      </c>
      <c r="AD2332" t="str">
        <f t="shared" si="237"/>
        <v>o</v>
      </c>
      <c r="AE2332" t="str">
        <f t="shared" si="241"/>
        <v/>
      </c>
      <c r="AF2332" t="str">
        <f t="shared" si="239"/>
        <v/>
      </c>
      <c r="AG2332" t="str">
        <f t="shared" si="240"/>
        <v/>
      </c>
      <c r="AN2332" t="str">
        <f t="shared" si="236"/>
        <v>Defensive</v>
      </c>
    </row>
    <row r="2333" spans="2:40" x14ac:dyDescent="0.2">
      <c r="B2333" t="str">
        <f t="shared" si="235"/>
        <v/>
      </c>
      <c r="U2333" s="8">
        <f t="shared" si="238"/>
        <v>2</v>
      </c>
      <c r="AD2333" t="str">
        <f t="shared" si="237"/>
        <v>o</v>
      </c>
      <c r="AE2333" t="str">
        <f t="shared" si="241"/>
        <v/>
      </c>
      <c r="AF2333" t="str">
        <f t="shared" si="239"/>
        <v/>
      </c>
      <c r="AG2333" t="str">
        <f t="shared" si="240"/>
        <v/>
      </c>
      <c r="AN2333" t="str">
        <f t="shared" si="236"/>
        <v>Defensive</v>
      </c>
    </row>
    <row r="2334" spans="2:40" x14ac:dyDescent="0.2">
      <c r="B2334" t="str">
        <f t="shared" si="235"/>
        <v/>
      </c>
      <c r="U2334" s="8">
        <f t="shared" si="238"/>
        <v>2</v>
      </c>
      <c r="AD2334" t="str">
        <f t="shared" si="237"/>
        <v>o</v>
      </c>
      <c r="AE2334" t="str">
        <f t="shared" si="241"/>
        <v/>
      </c>
      <c r="AF2334" t="str">
        <f t="shared" si="239"/>
        <v/>
      </c>
      <c r="AG2334" t="str">
        <f t="shared" si="240"/>
        <v/>
      </c>
      <c r="AN2334" t="str">
        <f t="shared" si="236"/>
        <v>Defensive</v>
      </c>
    </row>
    <row r="2335" spans="2:40" x14ac:dyDescent="0.2">
      <c r="B2335" t="str">
        <f t="shared" si="235"/>
        <v/>
      </c>
      <c r="U2335" s="8">
        <f t="shared" si="238"/>
        <v>2</v>
      </c>
      <c r="AD2335" t="str">
        <f t="shared" si="237"/>
        <v>o</v>
      </c>
      <c r="AE2335" t="str">
        <f t="shared" si="241"/>
        <v/>
      </c>
      <c r="AF2335" t="str">
        <f t="shared" si="239"/>
        <v/>
      </c>
      <c r="AG2335" t="str">
        <f t="shared" si="240"/>
        <v/>
      </c>
      <c r="AN2335" t="str">
        <f t="shared" si="236"/>
        <v>Defensive</v>
      </c>
    </row>
    <row r="2336" spans="2:40" x14ac:dyDescent="0.2">
      <c r="B2336" t="str">
        <f t="shared" si="235"/>
        <v/>
      </c>
      <c r="U2336" s="8">
        <f t="shared" si="238"/>
        <v>2</v>
      </c>
      <c r="AD2336" t="str">
        <f t="shared" si="237"/>
        <v>o</v>
      </c>
      <c r="AE2336" t="str">
        <f t="shared" si="241"/>
        <v/>
      </c>
      <c r="AF2336" t="str">
        <f t="shared" si="239"/>
        <v/>
      </c>
      <c r="AG2336" t="str">
        <f t="shared" si="240"/>
        <v/>
      </c>
      <c r="AN2336" t="str">
        <f t="shared" si="236"/>
        <v>Defensive</v>
      </c>
    </row>
    <row r="2337" spans="2:40" x14ac:dyDescent="0.2">
      <c r="B2337" t="str">
        <f t="shared" si="235"/>
        <v/>
      </c>
      <c r="U2337" s="8">
        <f t="shared" si="238"/>
        <v>2</v>
      </c>
      <c r="AD2337" t="str">
        <f t="shared" si="237"/>
        <v>o</v>
      </c>
      <c r="AE2337" t="str">
        <f t="shared" si="241"/>
        <v/>
      </c>
      <c r="AF2337" t="str">
        <f t="shared" si="239"/>
        <v/>
      </c>
      <c r="AG2337" t="str">
        <f t="shared" si="240"/>
        <v/>
      </c>
      <c r="AN2337" t="str">
        <f t="shared" si="236"/>
        <v>Defensive</v>
      </c>
    </row>
    <row r="2338" spans="2:40" x14ac:dyDescent="0.2">
      <c r="B2338" t="str">
        <f t="shared" si="235"/>
        <v/>
      </c>
      <c r="U2338" s="8">
        <f t="shared" si="238"/>
        <v>2</v>
      </c>
      <c r="AD2338" t="str">
        <f t="shared" si="237"/>
        <v>o</v>
      </c>
      <c r="AE2338" t="str">
        <f t="shared" si="241"/>
        <v/>
      </c>
      <c r="AF2338" t="str">
        <f t="shared" si="239"/>
        <v/>
      </c>
      <c r="AG2338" t="str">
        <f t="shared" si="240"/>
        <v/>
      </c>
      <c r="AN2338" t="str">
        <f t="shared" si="236"/>
        <v>Defensive</v>
      </c>
    </row>
    <row r="2339" spans="2:40" x14ac:dyDescent="0.2">
      <c r="B2339" t="str">
        <f t="shared" si="235"/>
        <v/>
      </c>
      <c r="U2339" s="8">
        <f t="shared" si="238"/>
        <v>2</v>
      </c>
      <c r="AD2339" t="str">
        <f t="shared" si="237"/>
        <v>o</v>
      </c>
      <c r="AE2339" t="str">
        <f t="shared" si="241"/>
        <v/>
      </c>
      <c r="AF2339" t="str">
        <f t="shared" si="239"/>
        <v/>
      </c>
      <c r="AG2339" t="str">
        <f t="shared" si="240"/>
        <v/>
      </c>
      <c r="AN2339" t="str">
        <f t="shared" si="236"/>
        <v>Defensive</v>
      </c>
    </row>
    <row r="2340" spans="2:40" x14ac:dyDescent="0.2">
      <c r="B2340" t="str">
        <f t="shared" si="235"/>
        <v/>
      </c>
      <c r="U2340" s="8">
        <f t="shared" si="238"/>
        <v>2</v>
      </c>
      <c r="AD2340" t="str">
        <f t="shared" si="237"/>
        <v>o</v>
      </c>
      <c r="AE2340" t="str">
        <f t="shared" si="241"/>
        <v/>
      </c>
      <c r="AF2340" t="str">
        <f t="shared" si="239"/>
        <v/>
      </c>
      <c r="AG2340" t="str">
        <f t="shared" si="240"/>
        <v/>
      </c>
      <c r="AN2340" t="str">
        <f t="shared" si="236"/>
        <v>Defensive</v>
      </c>
    </row>
    <row r="2341" spans="2:40" x14ac:dyDescent="0.2">
      <c r="B2341" t="str">
        <f t="shared" si="235"/>
        <v/>
      </c>
      <c r="U2341" s="8">
        <f t="shared" si="238"/>
        <v>2</v>
      </c>
      <c r="AD2341" t="str">
        <f t="shared" si="237"/>
        <v>o</v>
      </c>
      <c r="AE2341" t="str">
        <f t="shared" si="241"/>
        <v/>
      </c>
      <c r="AF2341" t="str">
        <f t="shared" si="239"/>
        <v/>
      </c>
      <c r="AG2341" t="str">
        <f t="shared" si="240"/>
        <v/>
      </c>
      <c r="AN2341" t="str">
        <f t="shared" si="236"/>
        <v>Defensive</v>
      </c>
    </row>
    <row r="2342" spans="2:40" x14ac:dyDescent="0.2">
      <c r="B2342" t="str">
        <f t="shared" si="235"/>
        <v/>
      </c>
      <c r="U2342" s="8">
        <f t="shared" si="238"/>
        <v>2</v>
      </c>
      <c r="AD2342" t="str">
        <f t="shared" si="237"/>
        <v>o</v>
      </c>
      <c r="AE2342" t="str">
        <f t="shared" si="241"/>
        <v/>
      </c>
      <c r="AF2342" t="str">
        <f t="shared" si="239"/>
        <v/>
      </c>
      <c r="AG2342" t="str">
        <f t="shared" si="240"/>
        <v/>
      </c>
      <c r="AN2342" t="str">
        <f t="shared" si="236"/>
        <v>Defensive</v>
      </c>
    </row>
    <row r="2343" spans="2:40" x14ac:dyDescent="0.2">
      <c r="B2343" t="str">
        <f t="shared" si="235"/>
        <v/>
      </c>
      <c r="U2343" s="8">
        <f t="shared" si="238"/>
        <v>2</v>
      </c>
      <c r="AD2343" t="str">
        <f t="shared" si="237"/>
        <v>o</v>
      </c>
      <c r="AE2343" t="str">
        <f t="shared" si="241"/>
        <v/>
      </c>
      <c r="AF2343" t="str">
        <f t="shared" si="239"/>
        <v/>
      </c>
      <c r="AG2343" t="str">
        <f t="shared" si="240"/>
        <v/>
      </c>
      <c r="AN2343" t="str">
        <f t="shared" si="236"/>
        <v>Defensive</v>
      </c>
    </row>
    <row r="2344" spans="2:40" x14ac:dyDescent="0.2">
      <c r="B2344" t="str">
        <f t="shared" si="235"/>
        <v/>
      </c>
      <c r="U2344" s="8">
        <f t="shared" si="238"/>
        <v>2</v>
      </c>
      <c r="AD2344" t="str">
        <f t="shared" si="237"/>
        <v>o</v>
      </c>
      <c r="AE2344" t="str">
        <f t="shared" si="241"/>
        <v/>
      </c>
      <c r="AF2344" t="str">
        <f t="shared" si="239"/>
        <v/>
      </c>
      <c r="AG2344" t="str">
        <f t="shared" si="240"/>
        <v/>
      </c>
      <c r="AN2344" t="str">
        <f t="shared" si="236"/>
        <v>Defensive</v>
      </c>
    </row>
    <row r="2345" spans="2:40" x14ac:dyDescent="0.2">
      <c r="B2345" t="str">
        <f t="shared" si="235"/>
        <v/>
      </c>
      <c r="U2345" s="8">
        <f t="shared" si="238"/>
        <v>2</v>
      </c>
      <c r="AD2345" t="str">
        <f t="shared" si="237"/>
        <v>o</v>
      </c>
      <c r="AE2345" t="str">
        <f t="shared" si="241"/>
        <v/>
      </c>
      <c r="AF2345" t="str">
        <f t="shared" si="239"/>
        <v/>
      </c>
      <c r="AG2345" t="str">
        <f t="shared" si="240"/>
        <v/>
      </c>
      <c r="AN2345" t="str">
        <f t="shared" si="236"/>
        <v>Defensive</v>
      </c>
    </row>
    <row r="2346" spans="2:40" x14ac:dyDescent="0.2">
      <c r="B2346" t="str">
        <f t="shared" si="235"/>
        <v/>
      </c>
      <c r="U2346" s="8">
        <f t="shared" si="238"/>
        <v>2</v>
      </c>
      <c r="AD2346" t="str">
        <f t="shared" si="237"/>
        <v>o</v>
      </c>
      <c r="AE2346" t="str">
        <f t="shared" si="241"/>
        <v/>
      </c>
      <c r="AF2346" t="str">
        <f t="shared" si="239"/>
        <v/>
      </c>
      <c r="AG2346" t="str">
        <f t="shared" si="240"/>
        <v/>
      </c>
      <c r="AN2346" t="str">
        <f t="shared" si="236"/>
        <v>Defensive</v>
      </c>
    </row>
    <row r="2347" spans="2:40" x14ac:dyDescent="0.2">
      <c r="B2347" t="str">
        <f t="shared" si="235"/>
        <v/>
      </c>
      <c r="U2347" s="8">
        <f t="shared" si="238"/>
        <v>2</v>
      </c>
      <c r="AD2347" t="str">
        <f t="shared" si="237"/>
        <v>o</v>
      </c>
      <c r="AE2347" t="str">
        <f t="shared" si="241"/>
        <v/>
      </c>
      <c r="AF2347" t="str">
        <f t="shared" si="239"/>
        <v/>
      </c>
      <c r="AG2347" t="str">
        <f t="shared" si="240"/>
        <v/>
      </c>
      <c r="AN2347" t="str">
        <f t="shared" si="236"/>
        <v>Defensive</v>
      </c>
    </row>
    <row r="2348" spans="2:40" x14ac:dyDescent="0.2">
      <c r="B2348" t="str">
        <f t="shared" si="235"/>
        <v/>
      </c>
      <c r="U2348" s="8">
        <f t="shared" si="238"/>
        <v>2</v>
      </c>
      <c r="AD2348" t="str">
        <f t="shared" si="237"/>
        <v>o</v>
      </c>
      <c r="AE2348" t="str">
        <f t="shared" si="241"/>
        <v/>
      </c>
      <c r="AF2348" t="str">
        <f t="shared" si="239"/>
        <v/>
      </c>
      <c r="AG2348" t="str">
        <f t="shared" si="240"/>
        <v/>
      </c>
      <c r="AN2348" t="str">
        <f t="shared" si="236"/>
        <v>Defensive</v>
      </c>
    </row>
    <row r="2349" spans="2:40" x14ac:dyDescent="0.2">
      <c r="B2349" t="str">
        <f t="shared" si="235"/>
        <v/>
      </c>
      <c r="U2349" s="8">
        <f t="shared" si="238"/>
        <v>2</v>
      </c>
      <c r="AD2349" t="str">
        <f t="shared" si="237"/>
        <v>o</v>
      </c>
      <c r="AE2349" t="str">
        <f t="shared" si="241"/>
        <v/>
      </c>
      <c r="AF2349" t="str">
        <f t="shared" si="239"/>
        <v/>
      </c>
      <c r="AG2349" t="str">
        <f t="shared" si="240"/>
        <v/>
      </c>
      <c r="AN2349" t="str">
        <f t="shared" si="236"/>
        <v>Defensive</v>
      </c>
    </row>
    <row r="2350" spans="2:40" x14ac:dyDescent="0.2">
      <c r="B2350" t="str">
        <f t="shared" si="235"/>
        <v/>
      </c>
      <c r="U2350" s="8">
        <f t="shared" si="238"/>
        <v>2</v>
      </c>
      <c r="AD2350" t="str">
        <f t="shared" si="237"/>
        <v>o</v>
      </c>
      <c r="AE2350" t="str">
        <f t="shared" si="241"/>
        <v/>
      </c>
      <c r="AF2350" t="str">
        <f t="shared" si="239"/>
        <v/>
      </c>
      <c r="AG2350" t="str">
        <f t="shared" si="240"/>
        <v/>
      </c>
      <c r="AN2350" t="str">
        <f t="shared" si="236"/>
        <v>Defensive</v>
      </c>
    </row>
    <row r="2351" spans="2:40" x14ac:dyDescent="0.2">
      <c r="B2351" t="str">
        <f t="shared" si="235"/>
        <v/>
      </c>
      <c r="U2351" s="8">
        <f t="shared" si="238"/>
        <v>2</v>
      </c>
      <c r="AD2351" t="str">
        <f t="shared" si="237"/>
        <v>o</v>
      </c>
      <c r="AE2351" t="str">
        <f t="shared" si="241"/>
        <v/>
      </c>
      <c r="AF2351" t="str">
        <f t="shared" si="239"/>
        <v/>
      </c>
      <c r="AG2351" t="str">
        <f t="shared" si="240"/>
        <v/>
      </c>
      <c r="AN2351" t="str">
        <f t="shared" si="236"/>
        <v>Defensive</v>
      </c>
    </row>
    <row r="2352" spans="2:40" x14ac:dyDescent="0.2">
      <c r="B2352" t="str">
        <f t="shared" ref="B2352:B2415" si="242">IF(A2352=A2351,B2351,"")</f>
        <v/>
      </c>
      <c r="U2352" s="8">
        <f t="shared" si="238"/>
        <v>2</v>
      </c>
      <c r="AD2352" t="str">
        <f t="shared" si="237"/>
        <v>o</v>
      </c>
      <c r="AE2352" t="str">
        <f t="shared" si="241"/>
        <v/>
      </c>
      <c r="AF2352" t="str">
        <f t="shared" si="239"/>
        <v/>
      </c>
      <c r="AG2352" t="str">
        <f t="shared" si="240"/>
        <v/>
      </c>
      <c r="AN2352" t="str">
        <f t="shared" si="236"/>
        <v>Defensive</v>
      </c>
    </row>
    <row r="2353" spans="2:40" x14ac:dyDescent="0.2">
      <c r="B2353" t="str">
        <f t="shared" si="242"/>
        <v/>
      </c>
      <c r="U2353" s="8">
        <f t="shared" si="238"/>
        <v>2</v>
      </c>
      <c r="AD2353" t="str">
        <f t="shared" si="237"/>
        <v>o</v>
      </c>
      <c r="AE2353" t="str">
        <f t="shared" si="241"/>
        <v/>
      </c>
      <c r="AF2353" t="str">
        <f t="shared" si="239"/>
        <v/>
      </c>
      <c r="AG2353" t="str">
        <f t="shared" si="240"/>
        <v/>
      </c>
      <c r="AN2353" t="str">
        <f t="shared" si="236"/>
        <v>Defensive</v>
      </c>
    </row>
    <row r="2354" spans="2:40" x14ac:dyDescent="0.2">
      <c r="B2354" t="str">
        <f t="shared" si="242"/>
        <v/>
      </c>
      <c r="U2354" s="8">
        <f t="shared" si="238"/>
        <v>2</v>
      </c>
      <c r="AD2354" t="str">
        <f t="shared" si="237"/>
        <v>o</v>
      </c>
      <c r="AE2354" t="str">
        <f t="shared" si="241"/>
        <v/>
      </c>
      <c r="AF2354" t="str">
        <f t="shared" si="239"/>
        <v/>
      </c>
      <c r="AG2354" t="str">
        <f t="shared" si="240"/>
        <v/>
      </c>
      <c r="AN2354" t="str">
        <f t="shared" si="236"/>
        <v>Defensive</v>
      </c>
    </row>
    <row r="2355" spans="2:40" x14ac:dyDescent="0.2">
      <c r="B2355" t="str">
        <f t="shared" si="242"/>
        <v/>
      </c>
      <c r="U2355" s="8">
        <f t="shared" si="238"/>
        <v>2</v>
      </c>
      <c r="AD2355" t="str">
        <f t="shared" si="237"/>
        <v>o</v>
      </c>
      <c r="AE2355" t="str">
        <f t="shared" si="241"/>
        <v/>
      </c>
      <c r="AF2355" t="str">
        <f t="shared" si="239"/>
        <v/>
      </c>
      <c r="AG2355" t="str">
        <f t="shared" si="240"/>
        <v/>
      </c>
      <c r="AN2355" t="str">
        <f t="shared" si="236"/>
        <v>Defensive</v>
      </c>
    </row>
    <row r="2356" spans="2:40" x14ac:dyDescent="0.2">
      <c r="B2356" t="str">
        <f t="shared" si="242"/>
        <v/>
      </c>
      <c r="U2356" s="8">
        <f t="shared" si="238"/>
        <v>2</v>
      </c>
      <c r="AD2356" t="str">
        <f t="shared" si="237"/>
        <v>o</v>
      </c>
      <c r="AE2356" t="str">
        <f t="shared" si="241"/>
        <v/>
      </c>
      <c r="AF2356" t="str">
        <f t="shared" si="239"/>
        <v/>
      </c>
      <c r="AG2356" t="str">
        <f t="shared" si="240"/>
        <v/>
      </c>
      <c r="AN2356" t="str">
        <f t="shared" si="236"/>
        <v>Defensive</v>
      </c>
    </row>
    <row r="2357" spans="2:40" x14ac:dyDescent="0.2">
      <c r="B2357" t="str">
        <f t="shared" si="242"/>
        <v/>
      </c>
      <c r="U2357" s="8">
        <f t="shared" si="238"/>
        <v>2</v>
      </c>
      <c r="AD2357" t="str">
        <f t="shared" si="237"/>
        <v>o</v>
      </c>
      <c r="AE2357" t="str">
        <f t="shared" si="241"/>
        <v/>
      </c>
      <c r="AF2357" t="str">
        <f t="shared" si="239"/>
        <v/>
      </c>
      <c r="AG2357" t="str">
        <f t="shared" si="240"/>
        <v/>
      </c>
      <c r="AN2357" t="str">
        <f t="shared" si="236"/>
        <v>Defensive</v>
      </c>
    </row>
    <row r="2358" spans="2:40" x14ac:dyDescent="0.2">
      <c r="B2358" t="str">
        <f t="shared" si="242"/>
        <v/>
      </c>
      <c r="U2358" s="8">
        <f t="shared" si="238"/>
        <v>2</v>
      </c>
      <c r="AD2358" t="str">
        <f t="shared" si="237"/>
        <v>o</v>
      </c>
      <c r="AE2358" t="str">
        <f t="shared" si="241"/>
        <v/>
      </c>
      <c r="AF2358" t="str">
        <f t="shared" si="239"/>
        <v/>
      </c>
      <c r="AG2358" t="str">
        <f t="shared" si="240"/>
        <v/>
      </c>
      <c r="AN2358" t="str">
        <f t="shared" si="236"/>
        <v>Defensive</v>
      </c>
    </row>
    <row r="2359" spans="2:40" x14ac:dyDescent="0.2">
      <c r="B2359" t="str">
        <f t="shared" si="242"/>
        <v/>
      </c>
      <c r="U2359" s="8">
        <f t="shared" si="238"/>
        <v>2</v>
      </c>
      <c r="AD2359" t="str">
        <f t="shared" si="237"/>
        <v>o</v>
      </c>
      <c r="AE2359" t="str">
        <f t="shared" si="241"/>
        <v/>
      </c>
      <c r="AF2359" t="str">
        <f t="shared" si="239"/>
        <v/>
      </c>
      <c r="AG2359" t="str">
        <f t="shared" si="240"/>
        <v/>
      </c>
      <c r="AN2359" t="str">
        <f t="shared" si="236"/>
        <v>Defensive</v>
      </c>
    </row>
    <row r="2360" spans="2:40" x14ac:dyDescent="0.2">
      <c r="B2360" t="str">
        <f t="shared" si="242"/>
        <v/>
      </c>
      <c r="U2360" s="8">
        <f t="shared" si="238"/>
        <v>2</v>
      </c>
      <c r="AD2360" t="str">
        <f t="shared" si="237"/>
        <v>o</v>
      </c>
      <c r="AE2360" t="str">
        <f t="shared" si="241"/>
        <v/>
      </c>
      <c r="AF2360" t="str">
        <f t="shared" si="239"/>
        <v/>
      </c>
      <c r="AG2360" t="str">
        <f t="shared" si="240"/>
        <v/>
      </c>
      <c r="AN2360" t="str">
        <f t="shared" si="236"/>
        <v>Defensive</v>
      </c>
    </row>
    <row r="2361" spans="2:40" x14ac:dyDescent="0.2">
      <c r="B2361" t="str">
        <f t="shared" si="242"/>
        <v/>
      </c>
      <c r="U2361" s="8">
        <f t="shared" si="238"/>
        <v>2</v>
      </c>
      <c r="AD2361" t="str">
        <f t="shared" si="237"/>
        <v>o</v>
      </c>
      <c r="AE2361" t="str">
        <f t="shared" si="241"/>
        <v/>
      </c>
      <c r="AF2361" t="str">
        <f t="shared" si="239"/>
        <v/>
      </c>
      <c r="AG2361" t="str">
        <f t="shared" si="240"/>
        <v/>
      </c>
      <c r="AN2361" t="str">
        <f t="shared" ref="AN2361:AN2424" si="243">IF(AND(AD2361="e",OR(AE2361="Save",AF2361="Turnover_Takeaway",AF2361="Play_Defensive")),"Defensive",IF(AND(AD2361="o",OR(AE2361="Save",AF2361="Turnover_Takeaway",AF2361="Play_Defensive")),"Offensive",IF(OR(AE2361="Deadice",AE2361="Stoppage",AE2361="Intermission"),"",IF(AD2361="e","Offensive",IF(AD2361="o","Defensive","")))))</f>
        <v>Defensive</v>
      </c>
    </row>
    <row r="2362" spans="2:40" x14ac:dyDescent="0.2">
      <c r="B2362" t="str">
        <f t="shared" si="242"/>
        <v/>
      </c>
      <c r="U2362" s="8">
        <f t="shared" si="238"/>
        <v>2</v>
      </c>
      <c r="AD2362" t="str">
        <f t="shared" si="237"/>
        <v>o</v>
      </c>
      <c r="AE2362" t="str">
        <f t="shared" si="241"/>
        <v/>
      </c>
      <c r="AF2362" t="str">
        <f t="shared" si="239"/>
        <v/>
      </c>
      <c r="AG2362" t="str">
        <f t="shared" si="240"/>
        <v/>
      </c>
      <c r="AN2362" t="str">
        <f t="shared" si="243"/>
        <v>Defensive</v>
      </c>
    </row>
    <row r="2363" spans="2:40" x14ac:dyDescent="0.2">
      <c r="B2363" t="str">
        <f t="shared" si="242"/>
        <v/>
      </c>
      <c r="U2363" s="8">
        <f t="shared" si="238"/>
        <v>2</v>
      </c>
      <c r="AD2363" t="str">
        <f t="shared" si="237"/>
        <v>o</v>
      </c>
      <c r="AE2363" t="str">
        <f t="shared" si="241"/>
        <v/>
      </c>
      <c r="AF2363" t="str">
        <f t="shared" si="239"/>
        <v/>
      </c>
      <c r="AG2363" t="str">
        <f t="shared" si="240"/>
        <v/>
      </c>
      <c r="AN2363" t="str">
        <f t="shared" si="243"/>
        <v>Defensive</v>
      </c>
    </row>
    <row r="2364" spans="2:40" x14ac:dyDescent="0.2">
      <c r="B2364" t="str">
        <f t="shared" si="242"/>
        <v/>
      </c>
      <c r="U2364" s="8">
        <f t="shared" si="238"/>
        <v>2</v>
      </c>
      <c r="AD2364" t="str">
        <f t="shared" si="237"/>
        <v>o</v>
      </c>
      <c r="AE2364" t="str">
        <f t="shared" si="241"/>
        <v/>
      </c>
      <c r="AF2364" t="str">
        <f t="shared" si="239"/>
        <v/>
      </c>
      <c r="AG2364" t="str">
        <f t="shared" si="240"/>
        <v/>
      </c>
      <c r="AN2364" t="str">
        <f t="shared" si="243"/>
        <v>Defensive</v>
      </c>
    </row>
    <row r="2365" spans="2:40" x14ac:dyDescent="0.2">
      <c r="B2365" t="str">
        <f t="shared" si="242"/>
        <v/>
      </c>
      <c r="U2365" s="8">
        <f t="shared" si="238"/>
        <v>2</v>
      </c>
      <c r="AD2365" t="str">
        <f t="shared" si="237"/>
        <v>o</v>
      </c>
      <c r="AE2365" t="str">
        <f t="shared" si="241"/>
        <v/>
      </c>
      <c r="AF2365" t="str">
        <f t="shared" si="239"/>
        <v/>
      </c>
      <c r="AG2365" t="str">
        <f t="shared" si="240"/>
        <v/>
      </c>
      <c r="AN2365" t="str">
        <f t="shared" si="243"/>
        <v>Defensive</v>
      </c>
    </row>
    <row r="2366" spans="2:40" x14ac:dyDescent="0.2">
      <c r="B2366" t="str">
        <f t="shared" si="242"/>
        <v/>
      </c>
      <c r="U2366" s="8">
        <f t="shared" si="238"/>
        <v>2</v>
      </c>
      <c r="AD2366" t="str">
        <f t="shared" si="237"/>
        <v>o</v>
      </c>
      <c r="AE2366" t="str">
        <f t="shared" si="241"/>
        <v/>
      </c>
      <c r="AF2366" t="str">
        <f t="shared" si="239"/>
        <v/>
      </c>
      <c r="AG2366" t="str">
        <f t="shared" si="240"/>
        <v/>
      </c>
      <c r="AN2366" t="str">
        <f t="shared" si="243"/>
        <v>Defensive</v>
      </c>
    </row>
    <row r="2367" spans="2:40" x14ac:dyDescent="0.2">
      <c r="B2367" t="str">
        <f t="shared" si="242"/>
        <v/>
      </c>
      <c r="U2367" s="8">
        <f t="shared" si="238"/>
        <v>2</v>
      </c>
      <c r="AD2367" t="str">
        <f t="shared" si="237"/>
        <v>o</v>
      </c>
      <c r="AE2367" t="str">
        <f t="shared" si="241"/>
        <v/>
      </c>
      <c r="AF2367" t="str">
        <f t="shared" si="239"/>
        <v/>
      </c>
      <c r="AG2367" t="str">
        <f t="shared" si="240"/>
        <v/>
      </c>
      <c r="AN2367" t="str">
        <f t="shared" si="243"/>
        <v>Defensive</v>
      </c>
    </row>
    <row r="2368" spans="2:40" x14ac:dyDescent="0.2">
      <c r="B2368" t="str">
        <f t="shared" si="242"/>
        <v/>
      </c>
      <c r="U2368" s="8">
        <f t="shared" si="238"/>
        <v>2</v>
      </c>
      <c r="AD2368" t="str">
        <f t="shared" si="237"/>
        <v>o</v>
      </c>
      <c r="AE2368" t="str">
        <f t="shared" si="241"/>
        <v/>
      </c>
      <c r="AF2368" t="str">
        <f t="shared" si="239"/>
        <v/>
      </c>
      <c r="AG2368" t="str">
        <f t="shared" si="240"/>
        <v/>
      </c>
      <c r="AN2368" t="str">
        <f t="shared" si="243"/>
        <v>Defensive</v>
      </c>
    </row>
    <row r="2369" spans="2:40" x14ac:dyDescent="0.2">
      <c r="B2369" t="str">
        <f t="shared" si="242"/>
        <v/>
      </c>
      <c r="U2369" s="8">
        <f t="shared" si="238"/>
        <v>2</v>
      </c>
      <c r="AD2369" t="str">
        <f t="shared" si="237"/>
        <v>o</v>
      </c>
      <c r="AE2369" t="str">
        <f t="shared" si="241"/>
        <v/>
      </c>
      <c r="AF2369" t="str">
        <f t="shared" si="239"/>
        <v/>
      </c>
      <c r="AG2369" t="str">
        <f t="shared" si="240"/>
        <v/>
      </c>
      <c r="AN2369" t="str">
        <f t="shared" si="243"/>
        <v>Defensive</v>
      </c>
    </row>
    <row r="2370" spans="2:40" x14ac:dyDescent="0.2">
      <c r="B2370" t="str">
        <f t="shared" si="242"/>
        <v/>
      </c>
      <c r="U2370" s="8">
        <f t="shared" si="238"/>
        <v>2</v>
      </c>
      <c r="AD2370" t="str">
        <f t="shared" ref="AD2370:AD2433" si="244">IF(K2370="x","",IF(K2370=1,"e","o"))</f>
        <v>o</v>
      </c>
      <c r="AE2370" t="str">
        <f t="shared" si="241"/>
        <v/>
      </c>
      <c r="AF2370" t="str">
        <f t="shared" si="239"/>
        <v/>
      </c>
      <c r="AG2370" t="str">
        <f t="shared" si="240"/>
        <v/>
      </c>
      <c r="AN2370" t="str">
        <f t="shared" si="243"/>
        <v>Defensive</v>
      </c>
    </row>
    <row r="2371" spans="2:40" x14ac:dyDescent="0.2">
      <c r="B2371" t="str">
        <f t="shared" si="242"/>
        <v/>
      </c>
      <c r="U2371" s="8">
        <f t="shared" ref="U2371:U2434" si="245">IF(M2371="Intermission",U2370+1,U2370)</f>
        <v>2</v>
      </c>
      <c r="AD2371" t="str">
        <f t="shared" si="244"/>
        <v>o</v>
      </c>
      <c r="AE2371" t="str">
        <f t="shared" si="241"/>
        <v/>
      </c>
      <c r="AF2371" t="str">
        <f t="shared" ref="AF2371:AF2434" si="246">IF(N2371&lt;&gt;"",N2371,IF($A2371=$A2370,AF2370,""))</f>
        <v/>
      </c>
      <c r="AG2371" t="str">
        <f t="shared" ref="AG2371:AG2434" si="247">IF(O2371&lt;&gt;"",O2371,IF($A2371=$A2370,AG2370,""))</f>
        <v/>
      </c>
      <c r="AN2371" t="str">
        <f t="shared" si="243"/>
        <v>Defensive</v>
      </c>
    </row>
    <row r="2372" spans="2:40" x14ac:dyDescent="0.2">
      <c r="B2372" t="str">
        <f t="shared" si="242"/>
        <v/>
      </c>
      <c r="U2372" s="8">
        <f t="shared" si="245"/>
        <v>2</v>
      </c>
      <c r="AD2372" t="str">
        <f t="shared" si="244"/>
        <v>o</v>
      </c>
      <c r="AE2372" t="str">
        <f t="shared" ref="AE2372:AE2435" si="248">IF(M2372&lt;&gt;"",M2372,IF($A2372=$A2371,AE2371,""))</f>
        <v/>
      </c>
      <c r="AF2372" t="str">
        <f t="shared" si="246"/>
        <v/>
      </c>
      <c r="AG2372" t="str">
        <f t="shared" si="247"/>
        <v/>
      </c>
      <c r="AN2372" t="str">
        <f t="shared" si="243"/>
        <v>Defensive</v>
      </c>
    </row>
    <row r="2373" spans="2:40" x14ac:dyDescent="0.2">
      <c r="B2373" t="str">
        <f t="shared" si="242"/>
        <v/>
      </c>
      <c r="U2373" s="8">
        <f t="shared" si="245"/>
        <v>2</v>
      </c>
      <c r="AD2373" t="str">
        <f t="shared" si="244"/>
        <v>o</v>
      </c>
      <c r="AE2373" t="str">
        <f t="shared" si="248"/>
        <v/>
      </c>
      <c r="AF2373" t="str">
        <f t="shared" si="246"/>
        <v/>
      </c>
      <c r="AG2373" t="str">
        <f t="shared" si="247"/>
        <v/>
      </c>
      <c r="AN2373" t="str">
        <f t="shared" si="243"/>
        <v>Defensive</v>
      </c>
    </row>
    <row r="2374" spans="2:40" x14ac:dyDescent="0.2">
      <c r="B2374" t="str">
        <f t="shared" si="242"/>
        <v/>
      </c>
      <c r="U2374" s="8">
        <f t="shared" si="245"/>
        <v>2</v>
      </c>
      <c r="AD2374" t="str">
        <f t="shared" si="244"/>
        <v>o</v>
      </c>
      <c r="AE2374" t="str">
        <f t="shared" si="248"/>
        <v/>
      </c>
      <c r="AF2374" t="str">
        <f t="shared" si="246"/>
        <v/>
      </c>
      <c r="AG2374" t="str">
        <f t="shared" si="247"/>
        <v/>
      </c>
      <c r="AN2374" t="str">
        <f t="shared" si="243"/>
        <v>Defensive</v>
      </c>
    </row>
    <row r="2375" spans="2:40" x14ac:dyDescent="0.2">
      <c r="B2375" t="str">
        <f t="shared" si="242"/>
        <v/>
      </c>
      <c r="U2375" s="8">
        <f t="shared" si="245"/>
        <v>2</v>
      </c>
      <c r="AD2375" t="str">
        <f t="shared" si="244"/>
        <v>o</v>
      </c>
      <c r="AE2375" t="str">
        <f t="shared" si="248"/>
        <v/>
      </c>
      <c r="AF2375" t="str">
        <f t="shared" si="246"/>
        <v/>
      </c>
      <c r="AG2375" t="str">
        <f t="shared" si="247"/>
        <v/>
      </c>
      <c r="AN2375" t="str">
        <f t="shared" si="243"/>
        <v>Defensive</v>
      </c>
    </row>
    <row r="2376" spans="2:40" x14ac:dyDescent="0.2">
      <c r="B2376" t="str">
        <f t="shared" si="242"/>
        <v/>
      </c>
      <c r="U2376" s="8">
        <f t="shared" si="245"/>
        <v>2</v>
      </c>
      <c r="AD2376" t="str">
        <f t="shared" si="244"/>
        <v>o</v>
      </c>
      <c r="AE2376" t="str">
        <f t="shared" si="248"/>
        <v/>
      </c>
      <c r="AF2376" t="str">
        <f t="shared" si="246"/>
        <v/>
      </c>
      <c r="AG2376" t="str">
        <f t="shared" si="247"/>
        <v/>
      </c>
      <c r="AN2376" t="str">
        <f t="shared" si="243"/>
        <v>Defensive</v>
      </c>
    </row>
    <row r="2377" spans="2:40" x14ac:dyDescent="0.2">
      <c r="B2377" t="str">
        <f t="shared" si="242"/>
        <v/>
      </c>
      <c r="U2377" s="8">
        <f t="shared" si="245"/>
        <v>2</v>
      </c>
      <c r="AD2377" t="str">
        <f t="shared" si="244"/>
        <v>o</v>
      </c>
      <c r="AE2377" t="str">
        <f t="shared" si="248"/>
        <v/>
      </c>
      <c r="AF2377" t="str">
        <f t="shared" si="246"/>
        <v/>
      </c>
      <c r="AG2377" t="str">
        <f t="shared" si="247"/>
        <v/>
      </c>
      <c r="AN2377" t="str">
        <f t="shared" si="243"/>
        <v>Defensive</v>
      </c>
    </row>
    <row r="2378" spans="2:40" x14ac:dyDescent="0.2">
      <c r="B2378" t="str">
        <f t="shared" si="242"/>
        <v/>
      </c>
      <c r="U2378" s="8">
        <f t="shared" si="245"/>
        <v>2</v>
      </c>
      <c r="AD2378" t="str">
        <f t="shared" si="244"/>
        <v>o</v>
      </c>
      <c r="AE2378" t="str">
        <f t="shared" si="248"/>
        <v/>
      </c>
      <c r="AF2378" t="str">
        <f t="shared" si="246"/>
        <v/>
      </c>
      <c r="AG2378" t="str">
        <f t="shared" si="247"/>
        <v/>
      </c>
      <c r="AN2378" t="str">
        <f t="shared" si="243"/>
        <v>Defensive</v>
      </c>
    </row>
    <row r="2379" spans="2:40" x14ac:dyDescent="0.2">
      <c r="B2379" t="str">
        <f t="shared" si="242"/>
        <v/>
      </c>
      <c r="U2379" s="8">
        <f t="shared" si="245"/>
        <v>2</v>
      </c>
      <c r="AD2379" t="str">
        <f t="shared" si="244"/>
        <v>o</v>
      </c>
      <c r="AE2379" t="str">
        <f t="shared" si="248"/>
        <v/>
      </c>
      <c r="AF2379" t="str">
        <f t="shared" si="246"/>
        <v/>
      </c>
      <c r="AG2379" t="str">
        <f t="shared" si="247"/>
        <v/>
      </c>
      <c r="AN2379" t="str">
        <f t="shared" si="243"/>
        <v>Defensive</v>
      </c>
    </row>
    <row r="2380" spans="2:40" x14ac:dyDescent="0.2">
      <c r="B2380" t="str">
        <f t="shared" si="242"/>
        <v/>
      </c>
      <c r="U2380" s="8">
        <f t="shared" si="245"/>
        <v>2</v>
      </c>
      <c r="AD2380" t="str">
        <f t="shared" si="244"/>
        <v>o</v>
      </c>
      <c r="AE2380" t="str">
        <f t="shared" si="248"/>
        <v/>
      </c>
      <c r="AF2380" t="str">
        <f t="shared" si="246"/>
        <v/>
      </c>
      <c r="AG2380" t="str">
        <f t="shared" si="247"/>
        <v/>
      </c>
      <c r="AN2380" t="str">
        <f t="shared" si="243"/>
        <v>Defensive</v>
      </c>
    </row>
    <row r="2381" spans="2:40" x14ac:dyDescent="0.2">
      <c r="B2381" t="str">
        <f t="shared" si="242"/>
        <v/>
      </c>
      <c r="U2381" s="8">
        <f t="shared" si="245"/>
        <v>2</v>
      </c>
      <c r="AD2381" t="str">
        <f t="shared" si="244"/>
        <v>o</v>
      </c>
      <c r="AE2381" t="str">
        <f t="shared" si="248"/>
        <v/>
      </c>
      <c r="AF2381" t="str">
        <f t="shared" si="246"/>
        <v/>
      </c>
      <c r="AG2381" t="str">
        <f t="shared" si="247"/>
        <v/>
      </c>
      <c r="AN2381" t="str">
        <f t="shared" si="243"/>
        <v>Defensive</v>
      </c>
    </row>
    <row r="2382" spans="2:40" x14ac:dyDescent="0.2">
      <c r="B2382" t="str">
        <f t="shared" si="242"/>
        <v/>
      </c>
      <c r="U2382" s="8">
        <f t="shared" si="245"/>
        <v>2</v>
      </c>
      <c r="AD2382" t="str">
        <f t="shared" si="244"/>
        <v>o</v>
      </c>
      <c r="AE2382" t="str">
        <f t="shared" si="248"/>
        <v/>
      </c>
      <c r="AF2382" t="str">
        <f t="shared" si="246"/>
        <v/>
      </c>
      <c r="AG2382" t="str">
        <f t="shared" si="247"/>
        <v/>
      </c>
      <c r="AN2382" t="str">
        <f t="shared" si="243"/>
        <v>Defensive</v>
      </c>
    </row>
    <row r="2383" spans="2:40" x14ac:dyDescent="0.2">
      <c r="B2383" t="str">
        <f t="shared" si="242"/>
        <v/>
      </c>
      <c r="U2383" s="8">
        <f t="shared" si="245"/>
        <v>2</v>
      </c>
      <c r="AD2383" t="str">
        <f t="shared" si="244"/>
        <v>o</v>
      </c>
      <c r="AE2383" t="str">
        <f t="shared" si="248"/>
        <v/>
      </c>
      <c r="AF2383" t="str">
        <f t="shared" si="246"/>
        <v/>
      </c>
      <c r="AG2383" t="str">
        <f t="shared" si="247"/>
        <v/>
      </c>
      <c r="AN2383" t="str">
        <f t="shared" si="243"/>
        <v>Defensive</v>
      </c>
    </row>
    <row r="2384" spans="2:40" x14ac:dyDescent="0.2">
      <c r="B2384" t="str">
        <f t="shared" si="242"/>
        <v/>
      </c>
      <c r="U2384" s="8">
        <f t="shared" si="245"/>
        <v>2</v>
      </c>
      <c r="AD2384" t="str">
        <f t="shared" si="244"/>
        <v>o</v>
      </c>
      <c r="AE2384" t="str">
        <f t="shared" si="248"/>
        <v/>
      </c>
      <c r="AF2384" t="str">
        <f t="shared" si="246"/>
        <v/>
      </c>
      <c r="AG2384" t="str">
        <f t="shared" si="247"/>
        <v/>
      </c>
      <c r="AN2384" t="str">
        <f t="shared" si="243"/>
        <v>Defensive</v>
      </c>
    </row>
    <row r="2385" spans="2:40" x14ac:dyDescent="0.2">
      <c r="B2385" t="str">
        <f t="shared" si="242"/>
        <v/>
      </c>
      <c r="U2385" s="8">
        <f t="shared" si="245"/>
        <v>2</v>
      </c>
      <c r="AD2385" t="str">
        <f t="shared" si="244"/>
        <v>o</v>
      </c>
      <c r="AE2385" t="str">
        <f t="shared" si="248"/>
        <v/>
      </c>
      <c r="AF2385" t="str">
        <f t="shared" si="246"/>
        <v/>
      </c>
      <c r="AG2385" t="str">
        <f t="shared" si="247"/>
        <v/>
      </c>
      <c r="AN2385" t="str">
        <f t="shared" si="243"/>
        <v>Defensive</v>
      </c>
    </row>
    <row r="2386" spans="2:40" x14ac:dyDescent="0.2">
      <c r="B2386" t="str">
        <f t="shared" si="242"/>
        <v/>
      </c>
      <c r="U2386" s="8">
        <f t="shared" si="245"/>
        <v>2</v>
      </c>
      <c r="AD2386" t="str">
        <f t="shared" si="244"/>
        <v>o</v>
      </c>
      <c r="AE2386" t="str">
        <f t="shared" si="248"/>
        <v/>
      </c>
      <c r="AF2386" t="str">
        <f t="shared" si="246"/>
        <v/>
      </c>
      <c r="AG2386" t="str">
        <f t="shared" si="247"/>
        <v/>
      </c>
      <c r="AN2386" t="str">
        <f t="shared" si="243"/>
        <v>Defensive</v>
      </c>
    </row>
    <row r="2387" spans="2:40" x14ac:dyDescent="0.2">
      <c r="B2387" t="str">
        <f t="shared" si="242"/>
        <v/>
      </c>
      <c r="U2387" s="8">
        <f t="shared" si="245"/>
        <v>2</v>
      </c>
      <c r="AD2387" t="str">
        <f t="shared" si="244"/>
        <v>o</v>
      </c>
      <c r="AE2387" t="str">
        <f t="shared" si="248"/>
        <v/>
      </c>
      <c r="AF2387" t="str">
        <f t="shared" si="246"/>
        <v/>
      </c>
      <c r="AG2387" t="str">
        <f t="shared" si="247"/>
        <v/>
      </c>
      <c r="AN2387" t="str">
        <f t="shared" si="243"/>
        <v>Defensive</v>
      </c>
    </row>
    <row r="2388" spans="2:40" x14ac:dyDescent="0.2">
      <c r="B2388" t="str">
        <f t="shared" si="242"/>
        <v/>
      </c>
      <c r="U2388" s="8">
        <f t="shared" si="245"/>
        <v>2</v>
      </c>
      <c r="AD2388" t="str">
        <f t="shared" si="244"/>
        <v>o</v>
      </c>
      <c r="AE2388" t="str">
        <f t="shared" si="248"/>
        <v/>
      </c>
      <c r="AF2388" t="str">
        <f t="shared" si="246"/>
        <v/>
      </c>
      <c r="AG2388" t="str">
        <f t="shared" si="247"/>
        <v/>
      </c>
      <c r="AN2388" t="str">
        <f t="shared" si="243"/>
        <v>Defensive</v>
      </c>
    </row>
    <row r="2389" spans="2:40" x14ac:dyDescent="0.2">
      <c r="B2389" t="str">
        <f t="shared" si="242"/>
        <v/>
      </c>
      <c r="U2389" s="8">
        <f t="shared" si="245"/>
        <v>2</v>
      </c>
      <c r="AD2389" t="str">
        <f t="shared" si="244"/>
        <v>o</v>
      </c>
      <c r="AE2389" t="str">
        <f t="shared" si="248"/>
        <v/>
      </c>
      <c r="AF2389" t="str">
        <f t="shared" si="246"/>
        <v/>
      </c>
      <c r="AG2389" t="str">
        <f t="shared" si="247"/>
        <v/>
      </c>
      <c r="AN2389" t="str">
        <f t="shared" si="243"/>
        <v>Defensive</v>
      </c>
    </row>
    <row r="2390" spans="2:40" x14ac:dyDescent="0.2">
      <c r="B2390" t="str">
        <f t="shared" si="242"/>
        <v/>
      </c>
      <c r="U2390" s="8">
        <f t="shared" si="245"/>
        <v>2</v>
      </c>
      <c r="AD2390" t="str">
        <f t="shared" si="244"/>
        <v>o</v>
      </c>
      <c r="AE2390" t="str">
        <f t="shared" si="248"/>
        <v/>
      </c>
      <c r="AF2390" t="str">
        <f t="shared" si="246"/>
        <v/>
      </c>
      <c r="AG2390" t="str">
        <f t="shared" si="247"/>
        <v/>
      </c>
      <c r="AN2390" t="str">
        <f t="shared" si="243"/>
        <v>Defensive</v>
      </c>
    </row>
    <row r="2391" spans="2:40" x14ac:dyDescent="0.2">
      <c r="B2391" t="str">
        <f t="shared" si="242"/>
        <v/>
      </c>
      <c r="U2391" s="8">
        <f t="shared" si="245"/>
        <v>2</v>
      </c>
      <c r="AD2391" t="str">
        <f t="shared" si="244"/>
        <v>o</v>
      </c>
      <c r="AE2391" t="str">
        <f t="shared" si="248"/>
        <v/>
      </c>
      <c r="AF2391" t="str">
        <f t="shared" si="246"/>
        <v/>
      </c>
      <c r="AG2391" t="str">
        <f t="shared" si="247"/>
        <v/>
      </c>
      <c r="AN2391" t="str">
        <f t="shared" si="243"/>
        <v>Defensive</v>
      </c>
    </row>
    <row r="2392" spans="2:40" x14ac:dyDescent="0.2">
      <c r="B2392" t="str">
        <f t="shared" si="242"/>
        <v/>
      </c>
      <c r="U2392" s="8">
        <f t="shared" si="245"/>
        <v>2</v>
      </c>
      <c r="AD2392" t="str">
        <f t="shared" si="244"/>
        <v>o</v>
      </c>
      <c r="AE2392" t="str">
        <f t="shared" si="248"/>
        <v/>
      </c>
      <c r="AF2392" t="str">
        <f t="shared" si="246"/>
        <v/>
      </c>
      <c r="AG2392" t="str">
        <f t="shared" si="247"/>
        <v/>
      </c>
      <c r="AN2392" t="str">
        <f t="shared" si="243"/>
        <v>Defensive</v>
      </c>
    </row>
    <row r="2393" spans="2:40" x14ac:dyDescent="0.2">
      <c r="B2393" t="str">
        <f t="shared" si="242"/>
        <v/>
      </c>
      <c r="U2393" s="8">
        <f t="shared" si="245"/>
        <v>2</v>
      </c>
      <c r="AD2393" t="str">
        <f t="shared" si="244"/>
        <v>o</v>
      </c>
      <c r="AE2393" t="str">
        <f t="shared" si="248"/>
        <v/>
      </c>
      <c r="AF2393" t="str">
        <f t="shared" si="246"/>
        <v/>
      </c>
      <c r="AG2393" t="str">
        <f t="shared" si="247"/>
        <v/>
      </c>
      <c r="AN2393" t="str">
        <f t="shared" si="243"/>
        <v>Defensive</v>
      </c>
    </row>
    <row r="2394" spans="2:40" x14ac:dyDescent="0.2">
      <c r="B2394" t="str">
        <f t="shared" si="242"/>
        <v/>
      </c>
      <c r="U2394" s="8">
        <f t="shared" si="245"/>
        <v>2</v>
      </c>
      <c r="AD2394" t="str">
        <f t="shared" si="244"/>
        <v>o</v>
      </c>
      <c r="AE2394" t="str">
        <f t="shared" si="248"/>
        <v/>
      </c>
      <c r="AF2394" t="str">
        <f t="shared" si="246"/>
        <v/>
      </c>
      <c r="AG2394" t="str">
        <f t="shared" si="247"/>
        <v/>
      </c>
      <c r="AN2394" t="str">
        <f t="shared" si="243"/>
        <v>Defensive</v>
      </c>
    </row>
    <row r="2395" spans="2:40" x14ac:dyDescent="0.2">
      <c r="B2395" t="str">
        <f t="shared" si="242"/>
        <v/>
      </c>
      <c r="U2395" s="8">
        <f t="shared" si="245"/>
        <v>2</v>
      </c>
      <c r="AD2395" t="str">
        <f t="shared" si="244"/>
        <v>o</v>
      </c>
      <c r="AE2395" t="str">
        <f t="shared" si="248"/>
        <v/>
      </c>
      <c r="AF2395" t="str">
        <f t="shared" si="246"/>
        <v/>
      </c>
      <c r="AG2395" t="str">
        <f t="shared" si="247"/>
        <v/>
      </c>
      <c r="AN2395" t="str">
        <f t="shared" si="243"/>
        <v>Defensive</v>
      </c>
    </row>
    <row r="2396" spans="2:40" x14ac:dyDescent="0.2">
      <c r="B2396" t="str">
        <f t="shared" si="242"/>
        <v/>
      </c>
      <c r="U2396" s="8">
        <f t="shared" si="245"/>
        <v>2</v>
      </c>
      <c r="AD2396" t="str">
        <f t="shared" si="244"/>
        <v>o</v>
      </c>
      <c r="AE2396" t="str">
        <f t="shared" si="248"/>
        <v/>
      </c>
      <c r="AF2396" t="str">
        <f t="shared" si="246"/>
        <v/>
      </c>
      <c r="AG2396" t="str">
        <f t="shared" si="247"/>
        <v/>
      </c>
      <c r="AN2396" t="str">
        <f t="shared" si="243"/>
        <v>Defensive</v>
      </c>
    </row>
    <row r="2397" spans="2:40" x14ac:dyDescent="0.2">
      <c r="B2397" t="str">
        <f t="shared" si="242"/>
        <v/>
      </c>
      <c r="U2397" s="8">
        <f t="shared" si="245"/>
        <v>2</v>
      </c>
      <c r="AD2397" t="str">
        <f t="shared" si="244"/>
        <v>o</v>
      </c>
      <c r="AE2397" t="str">
        <f t="shared" si="248"/>
        <v/>
      </c>
      <c r="AF2397" t="str">
        <f t="shared" si="246"/>
        <v/>
      </c>
      <c r="AG2397" t="str">
        <f t="shared" si="247"/>
        <v/>
      </c>
      <c r="AN2397" t="str">
        <f t="shared" si="243"/>
        <v>Defensive</v>
      </c>
    </row>
    <row r="2398" spans="2:40" x14ac:dyDescent="0.2">
      <c r="B2398" t="str">
        <f t="shared" si="242"/>
        <v/>
      </c>
      <c r="U2398" s="8">
        <f t="shared" si="245"/>
        <v>2</v>
      </c>
      <c r="AD2398" t="str">
        <f t="shared" si="244"/>
        <v>o</v>
      </c>
      <c r="AE2398" t="str">
        <f t="shared" si="248"/>
        <v/>
      </c>
      <c r="AF2398" t="str">
        <f t="shared" si="246"/>
        <v/>
      </c>
      <c r="AG2398" t="str">
        <f t="shared" si="247"/>
        <v/>
      </c>
      <c r="AN2398" t="str">
        <f t="shared" si="243"/>
        <v>Defensive</v>
      </c>
    </row>
    <row r="2399" spans="2:40" x14ac:dyDescent="0.2">
      <c r="B2399" t="str">
        <f t="shared" si="242"/>
        <v/>
      </c>
      <c r="U2399" s="8">
        <f t="shared" si="245"/>
        <v>2</v>
      </c>
      <c r="AD2399" t="str">
        <f t="shared" si="244"/>
        <v>o</v>
      </c>
      <c r="AE2399" t="str">
        <f t="shared" si="248"/>
        <v/>
      </c>
      <c r="AF2399" t="str">
        <f t="shared" si="246"/>
        <v/>
      </c>
      <c r="AG2399" t="str">
        <f t="shared" si="247"/>
        <v/>
      </c>
      <c r="AN2399" t="str">
        <f t="shared" si="243"/>
        <v>Defensive</v>
      </c>
    </row>
    <row r="2400" spans="2:40" x14ac:dyDescent="0.2">
      <c r="B2400" t="str">
        <f t="shared" si="242"/>
        <v/>
      </c>
      <c r="U2400" s="8">
        <f t="shared" si="245"/>
        <v>2</v>
      </c>
      <c r="AD2400" t="str">
        <f t="shared" si="244"/>
        <v>o</v>
      </c>
      <c r="AE2400" t="str">
        <f t="shared" si="248"/>
        <v/>
      </c>
      <c r="AF2400" t="str">
        <f t="shared" si="246"/>
        <v/>
      </c>
      <c r="AG2400" t="str">
        <f t="shared" si="247"/>
        <v/>
      </c>
      <c r="AN2400" t="str">
        <f t="shared" si="243"/>
        <v>Defensive</v>
      </c>
    </row>
    <row r="2401" spans="2:40" x14ac:dyDescent="0.2">
      <c r="B2401" t="str">
        <f t="shared" si="242"/>
        <v/>
      </c>
      <c r="U2401" s="8">
        <f t="shared" si="245"/>
        <v>2</v>
      </c>
      <c r="AD2401" t="str">
        <f t="shared" si="244"/>
        <v>o</v>
      </c>
      <c r="AE2401" t="str">
        <f t="shared" si="248"/>
        <v/>
      </c>
      <c r="AF2401" t="str">
        <f t="shared" si="246"/>
        <v/>
      </c>
      <c r="AG2401" t="str">
        <f t="shared" si="247"/>
        <v/>
      </c>
      <c r="AN2401" t="str">
        <f t="shared" si="243"/>
        <v>Defensive</v>
      </c>
    </row>
    <row r="2402" spans="2:40" x14ac:dyDescent="0.2">
      <c r="B2402" t="str">
        <f t="shared" si="242"/>
        <v/>
      </c>
      <c r="U2402" s="8">
        <f t="shared" si="245"/>
        <v>2</v>
      </c>
      <c r="AD2402" t="str">
        <f t="shared" si="244"/>
        <v>o</v>
      </c>
      <c r="AE2402" t="str">
        <f t="shared" si="248"/>
        <v/>
      </c>
      <c r="AF2402" t="str">
        <f t="shared" si="246"/>
        <v/>
      </c>
      <c r="AG2402" t="str">
        <f t="shared" si="247"/>
        <v/>
      </c>
      <c r="AN2402" t="str">
        <f t="shared" si="243"/>
        <v>Defensive</v>
      </c>
    </row>
    <row r="2403" spans="2:40" x14ac:dyDescent="0.2">
      <c r="B2403" t="str">
        <f t="shared" si="242"/>
        <v/>
      </c>
      <c r="U2403" s="8">
        <f t="shared" si="245"/>
        <v>2</v>
      </c>
      <c r="AD2403" t="str">
        <f t="shared" si="244"/>
        <v>o</v>
      </c>
      <c r="AE2403" t="str">
        <f t="shared" si="248"/>
        <v/>
      </c>
      <c r="AF2403" t="str">
        <f t="shared" si="246"/>
        <v/>
      </c>
      <c r="AG2403" t="str">
        <f t="shared" si="247"/>
        <v/>
      </c>
      <c r="AN2403" t="str">
        <f t="shared" si="243"/>
        <v>Defensive</v>
      </c>
    </row>
    <row r="2404" spans="2:40" x14ac:dyDescent="0.2">
      <c r="B2404" t="str">
        <f t="shared" si="242"/>
        <v/>
      </c>
      <c r="U2404" s="8">
        <f t="shared" si="245"/>
        <v>2</v>
      </c>
      <c r="AD2404" t="str">
        <f t="shared" si="244"/>
        <v>o</v>
      </c>
      <c r="AE2404" t="str">
        <f t="shared" si="248"/>
        <v/>
      </c>
      <c r="AF2404" t="str">
        <f t="shared" si="246"/>
        <v/>
      </c>
      <c r="AG2404" t="str">
        <f t="shared" si="247"/>
        <v/>
      </c>
      <c r="AN2404" t="str">
        <f t="shared" si="243"/>
        <v>Defensive</v>
      </c>
    </row>
    <row r="2405" spans="2:40" x14ac:dyDescent="0.2">
      <c r="B2405" t="str">
        <f t="shared" si="242"/>
        <v/>
      </c>
      <c r="U2405" s="8">
        <f t="shared" si="245"/>
        <v>2</v>
      </c>
      <c r="AD2405" t="str">
        <f t="shared" si="244"/>
        <v>o</v>
      </c>
      <c r="AE2405" t="str">
        <f t="shared" si="248"/>
        <v/>
      </c>
      <c r="AF2405" t="str">
        <f t="shared" si="246"/>
        <v/>
      </c>
      <c r="AG2405" t="str">
        <f t="shared" si="247"/>
        <v/>
      </c>
      <c r="AN2405" t="str">
        <f t="shared" si="243"/>
        <v>Defensive</v>
      </c>
    </row>
    <row r="2406" spans="2:40" x14ac:dyDescent="0.2">
      <c r="B2406" t="str">
        <f t="shared" si="242"/>
        <v/>
      </c>
      <c r="U2406" s="8">
        <f t="shared" si="245"/>
        <v>2</v>
      </c>
      <c r="AD2406" t="str">
        <f t="shared" si="244"/>
        <v>o</v>
      </c>
      <c r="AE2406" t="str">
        <f t="shared" si="248"/>
        <v/>
      </c>
      <c r="AF2406" t="str">
        <f t="shared" si="246"/>
        <v/>
      </c>
      <c r="AG2406" t="str">
        <f t="shared" si="247"/>
        <v/>
      </c>
      <c r="AN2406" t="str">
        <f t="shared" si="243"/>
        <v>Defensive</v>
      </c>
    </row>
    <row r="2407" spans="2:40" x14ac:dyDescent="0.2">
      <c r="B2407" t="str">
        <f t="shared" si="242"/>
        <v/>
      </c>
      <c r="U2407" s="8">
        <f t="shared" si="245"/>
        <v>2</v>
      </c>
      <c r="AD2407" t="str">
        <f t="shared" si="244"/>
        <v>o</v>
      </c>
      <c r="AE2407" t="str">
        <f t="shared" si="248"/>
        <v/>
      </c>
      <c r="AF2407" t="str">
        <f t="shared" si="246"/>
        <v/>
      </c>
      <c r="AG2407" t="str">
        <f t="shared" si="247"/>
        <v/>
      </c>
      <c r="AN2407" t="str">
        <f t="shared" si="243"/>
        <v>Defensive</v>
      </c>
    </row>
    <row r="2408" spans="2:40" x14ac:dyDescent="0.2">
      <c r="B2408" t="str">
        <f t="shared" si="242"/>
        <v/>
      </c>
      <c r="U2408" s="8">
        <f t="shared" si="245"/>
        <v>2</v>
      </c>
      <c r="AD2408" t="str">
        <f t="shared" si="244"/>
        <v>o</v>
      </c>
      <c r="AE2408" t="str">
        <f t="shared" si="248"/>
        <v/>
      </c>
      <c r="AF2408" t="str">
        <f t="shared" si="246"/>
        <v/>
      </c>
      <c r="AG2408" t="str">
        <f t="shared" si="247"/>
        <v/>
      </c>
      <c r="AN2408" t="str">
        <f t="shared" si="243"/>
        <v>Defensive</v>
      </c>
    </row>
    <row r="2409" spans="2:40" x14ac:dyDescent="0.2">
      <c r="B2409" t="str">
        <f t="shared" si="242"/>
        <v/>
      </c>
      <c r="U2409" s="8">
        <f t="shared" si="245"/>
        <v>2</v>
      </c>
      <c r="AD2409" t="str">
        <f t="shared" si="244"/>
        <v>o</v>
      </c>
      <c r="AE2409" t="str">
        <f t="shared" si="248"/>
        <v/>
      </c>
      <c r="AF2409" t="str">
        <f t="shared" si="246"/>
        <v/>
      </c>
      <c r="AG2409" t="str">
        <f t="shared" si="247"/>
        <v/>
      </c>
      <c r="AN2409" t="str">
        <f t="shared" si="243"/>
        <v>Defensive</v>
      </c>
    </row>
    <row r="2410" spans="2:40" x14ac:dyDescent="0.2">
      <c r="B2410" t="str">
        <f t="shared" si="242"/>
        <v/>
      </c>
      <c r="U2410" s="8">
        <f t="shared" si="245"/>
        <v>2</v>
      </c>
      <c r="AD2410" t="str">
        <f t="shared" si="244"/>
        <v>o</v>
      </c>
      <c r="AE2410" t="str">
        <f t="shared" si="248"/>
        <v/>
      </c>
      <c r="AF2410" t="str">
        <f t="shared" si="246"/>
        <v/>
      </c>
      <c r="AG2410" t="str">
        <f t="shared" si="247"/>
        <v/>
      </c>
      <c r="AN2410" t="str">
        <f t="shared" si="243"/>
        <v>Defensive</v>
      </c>
    </row>
    <row r="2411" spans="2:40" x14ac:dyDescent="0.2">
      <c r="B2411" t="str">
        <f t="shared" si="242"/>
        <v/>
      </c>
      <c r="U2411" s="8">
        <f t="shared" si="245"/>
        <v>2</v>
      </c>
      <c r="AD2411" t="str">
        <f t="shared" si="244"/>
        <v>o</v>
      </c>
      <c r="AE2411" t="str">
        <f t="shared" si="248"/>
        <v/>
      </c>
      <c r="AF2411" t="str">
        <f t="shared" si="246"/>
        <v/>
      </c>
      <c r="AG2411" t="str">
        <f t="shared" si="247"/>
        <v/>
      </c>
      <c r="AN2411" t="str">
        <f t="shared" si="243"/>
        <v>Defensive</v>
      </c>
    </row>
    <row r="2412" spans="2:40" x14ac:dyDescent="0.2">
      <c r="B2412" t="str">
        <f t="shared" si="242"/>
        <v/>
      </c>
      <c r="U2412" s="8">
        <f t="shared" si="245"/>
        <v>2</v>
      </c>
      <c r="AD2412" t="str">
        <f t="shared" si="244"/>
        <v>o</v>
      </c>
      <c r="AE2412" t="str">
        <f t="shared" si="248"/>
        <v/>
      </c>
      <c r="AF2412" t="str">
        <f t="shared" si="246"/>
        <v/>
      </c>
      <c r="AG2412" t="str">
        <f t="shared" si="247"/>
        <v/>
      </c>
      <c r="AN2412" t="str">
        <f t="shared" si="243"/>
        <v>Defensive</v>
      </c>
    </row>
    <row r="2413" spans="2:40" x14ac:dyDescent="0.2">
      <c r="B2413" t="str">
        <f t="shared" si="242"/>
        <v/>
      </c>
      <c r="U2413" s="8">
        <f t="shared" si="245"/>
        <v>2</v>
      </c>
      <c r="AD2413" t="str">
        <f t="shared" si="244"/>
        <v>o</v>
      </c>
      <c r="AE2413" t="str">
        <f t="shared" si="248"/>
        <v/>
      </c>
      <c r="AF2413" t="str">
        <f t="shared" si="246"/>
        <v/>
      </c>
      <c r="AG2413" t="str">
        <f t="shared" si="247"/>
        <v/>
      </c>
      <c r="AN2413" t="str">
        <f t="shared" si="243"/>
        <v>Defensive</v>
      </c>
    </row>
    <row r="2414" spans="2:40" x14ac:dyDescent="0.2">
      <c r="B2414" t="str">
        <f t="shared" si="242"/>
        <v/>
      </c>
      <c r="U2414" s="8">
        <f t="shared" si="245"/>
        <v>2</v>
      </c>
      <c r="AD2414" t="str">
        <f t="shared" si="244"/>
        <v>o</v>
      </c>
      <c r="AE2414" t="str">
        <f t="shared" si="248"/>
        <v/>
      </c>
      <c r="AF2414" t="str">
        <f t="shared" si="246"/>
        <v/>
      </c>
      <c r="AG2414" t="str">
        <f t="shared" si="247"/>
        <v/>
      </c>
      <c r="AN2414" t="str">
        <f t="shared" si="243"/>
        <v>Defensive</v>
      </c>
    </row>
    <row r="2415" spans="2:40" x14ac:dyDescent="0.2">
      <c r="B2415" t="str">
        <f t="shared" si="242"/>
        <v/>
      </c>
      <c r="U2415" s="8">
        <f t="shared" si="245"/>
        <v>2</v>
      </c>
      <c r="AD2415" t="str">
        <f t="shared" si="244"/>
        <v>o</v>
      </c>
      <c r="AE2415" t="str">
        <f t="shared" si="248"/>
        <v/>
      </c>
      <c r="AF2415" t="str">
        <f t="shared" si="246"/>
        <v/>
      </c>
      <c r="AG2415" t="str">
        <f t="shared" si="247"/>
        <v/>
      </c>
      <c r="AN2415" t="str">
        <f t="shared" si="243"/>
        <v>Defensive</v>
      </c>
    </row>
    <row r="2416" spans="2:40" x14ac:dyDescent="0.2">
      <c r="B2416" t="str">
        <f t="shared" ref="B2416:B2479" si="249">IF(A2416=A2415,B2415,"")</f>
        <v/>
      </c>
      <c r="U2416" s="8">
        <f t="shared" si="245"/>
        <v>2</v>
      </c>
      <c r="AD2416" t="str">
        <f t="shared" si="244"/>
        <v>o</v>
      </c>
      <c r="AE2416" t="str">
        <f t="shared" si="248"/>
        <v/>
      </c>
      <c r="AF2416" t="str">
        <f t="shared" si="246"/>
        <v/>
      </c>
      <c r="AG2416" t="str">
        <f t="shared" si="247"/>
        <v/>
      </c>
      <c r="AN2416" t="str">
        <f t="shared" si="243"/>
        <v>Defensive</v>
      </c>
    </row>
    <row r="2417" spans="2:40" x14ac:dyDescent="0.2">
      <c r="B2417" t="str">
        <f t="shared" si="249"/>
        <v/>
      </c>
      <c r="U2417" s="8">
        <f t="shared" si="245"/>
        <v>2</v>
      </c>
      <c r="AD2417" t="str">
        <f t="shared" si="244"/>
        <v>o</v>
      </c>
      <c r="AE2417" t="str">
        <f t="shared" si="248"/>
        <v/>
      </c>
      <c r="AF2417" t="str">
        <f t="shared" si="246"/>
        <v/>
      </c>
      <c r="AG2417" t="str">
        <f t="shared" si="247"/>
        <v/>
      </c>
      <c r="AN2417" t="str">
        <f t="shared" si="243"/>
        <v>Defensive</v>
      </c>
    </row>
    <row r="2418" spans="2:40" x14ac:dyDescent="0.2">
      <c r="B2418" t="str">
        <f t="shared" si="249"/>
        <v/>
      </c>
      <c r="U2418" s="8">
        <f t="shared" si="245"/>
        <v>2</v>
      </c>
      <c r="AD2418" t="str">
        <f t="shared" si="244"/>
        <v>o</v>
      </c>
      <c r="AE2418" t="str">
        <f t="shared" si="248"/>
        <v/>
      </c>
      <c r="AF2418" t="str">
        <f t="shared" si="246"/>
        <v/>
      </c>
      <c r="AG2418" t="str">
        <f t="shared" si="247"/>
        <v/>
      </c>
      <c r="AN2418" t="str">
        <f t="shared" si="243"/>
        <v>Defensive</v>
      </c>
    </row>
    <row r="2419" spans="2:40" x14ac:dyDescent="0.2">
      <c r="B2419" t="str">
        <f t="shared" si="249"/>
        <v/>
      </c>
      <c r="U2419" s="8">
        <f t="shared" si="245"/>
        <v>2</v>
      </c>
      <c r="AD2419" t="str">
        <f t="shared" si="244"/>
        <v>o</v>
      </c>
      <c r="AE2419" t="str">
        <f t="shared" si="248"/>
        <v/>
      </c>
      <c r="AF2419" t="str">
        <f t="shared" si="246"/>
        <v/>
      </c>
      <c r="AG2419" t="str">
        <f t="shared" si="247"/>
        <v/>
      </c>
      <c r="AN2419" t="str">
        <f t="shared" si="243"/>
        <v>Defensive</v>
      </c>
    </row>
    <row r="2420" spans="2:40" x14ac:dyDescent="0.2">
      <c r="B2420" t="str">
        <f t="shared" si="249"/>
        <v/>
      </c>
      <c r="U2420" s="8">
        <f t="shared" si="245"/>
        <v>2</v>
      </c>
      <c r="AD2420" t="str">
        <f t="shared" si="244"/>
        <v>o</v>
      </c>
      <c r="AE2420" t="str">
        <f t="shared" si="248"/>
        <v/>
      </c>
      <c r="AF2420" t="str">
        <f t="shared" si="246"/>
        <v/>
      </c>
      <c r="AG2420" t="str">
        <f t="shared" si="247"/>
        <v/>
      </c>
      <c r="AN2420" t="str">
        <f t="shared" si="243"/>
        <v>Defensive</v>
      </c>
    </row>
    <row r="2421" spans="2:40" x14ac:dyDescent="0.2">
      <c r="B2421" t="str">
        <f t="shared" si="249"/>
        <v/>
      </c>
      <c r="U2421" s="8">
        <f t="shared" si="245"/>
        <v>2</v>
      </c>
      <c r="AD2421" t="str">
        <f t="shared" si="244"/>
        <v>o</v>
      </c>
      <c r="AE2421" t="str">
        <f t="shared" si="248"/>
        <v/>
      </c>
      <c r="AF2421" t="str">
        <f t="shared" si="246"/>
        <v/>
      </c>
      <c r="AG2421" t="str">
        <f t="shared" si="247"/>
        <v/>
      </c>
      <c r="AN2421" t="str">
        <f t="shared" si="243"/>
        <v>Defensive</v>
      </c>
    </row>
    <row r="2422" spans="2:40" x14ac:dyDescent="0.2">
      <c r="B2422" t="str">
        <f t="shared" si="249"/>
        <v/>
      </c>
      <c r="U2422" s="8">
        <f t="shared" si="245"/>
        <v>2</v>
      </c>
      <c r="AD2422" t="str">
        <f t="shared" si="244"/>
        <v>o</v>
      </c>
      <c r="AE2422" t="str">
        <f t="shared" si="248"/>
        <v/>
      </c>
      <c r="AF2422" t="str">
        <f t="shared" si="246"/>
        <v/>
      </c>
      <c r="AG2422" t="str">
        <f t="shared" si="247"/>
        <v/>
      </c>
      <c r="AN2422" t="str">
        <f t="shared" si="243"/>
        <v>Defensive</v>
      </c>
    </row>
    <row r="2423" spans="2:40" x14ac:dyDescent="0.2">
      <c r="B2423" t="str">
        <f t="shared" si="249"/>
        <v/>
      </c>
      <c r="U2423" s="8">
        <f t="shared" si="245"/>
        <v>2</v>
      </c>
      <c r="AD2423" t="str">
        <f t="shared" si="244"/>
        <v>o</v>
      </c>
      <c r="AE2423" t="str">
        <f t="shared" si="248"/>
        <v/>
      </c>
      <c r="AF2423" t="str">
        <f t="shared" si="246"/>
        <v/>
      </c>
      <c r="AG2423" t="str">
        <f t="shared" si="247"/>
        <v/>
      </c>
      <c r="AN2423" t="str">
        <f t="shared" si="243"/>
        <v>Defensive</v>
      </c>
    </row>
    <row r="2424" spans="2:40" x14ac:dyDescent="0.2">
      <c r="B2424" t="str">
        <f t="shared" si="249"/>
        <v/>
      </c>
      <c r="U2424" s="8">
        <f t="shared" si="245"/>
        <v>2</v>
      </c>
      <c r="AD2424" t="str">
        <f t="shared" si="244"/>
        <v>o</v>
      </c>
      <c r="AE2424" t="str">
        <f t="shared" si="248"/>
        <v/>
      </c>
      <c r="AF2424" t="str">
        <f t="shared" si="246"/>
        <v/>
      </c>
      <c r="AG2424" t="str">
        <f t="shared" si="247"/>
        <v/>
      </c>
      <c r="AN2424" t="str">
        <f t="shared" si="243"/>
        <v>Defensive</v>
      </c>
    </row>
    <row r="2425" spans="2:40" x14ac:dyDescent="0.2">
      <c r="B2425" t="str">
        <f t="shared" si="249"/>
        <v/>
      </c>
      <c r="U2425" s="8">
        <f t="shared" si="245"/>
        <v>2</v>
      </c>
      <c r="AD2425" t="str">
        <f t="shared" si="244"/>
        <v>o</v>
      </c>
      <c r="AE2425" t="str">
        <f t="shared" si="248"/>
        <v/>
      </c>
      <c r="AF2425" t="str">
        <f t="shared" si="246"/>
        <v/>
      </c>
      <c r="AG2425" t="str">
        <f t="shared" si="247"/>
        <v/>
      </c>
      <c r="AN2425" t="str">
        <f t="shared" ref="AN2425:AN2488" si="250">IF(AND(AD2425="e",OR(AE2425="Save",AF2425="Turnover_Takeaway",AF2425="Play_Defensive")),"Defensive",IF(AND(AD2425="o",OR(AE2425="Save",AF2425="Turnover_Takeaway",AF2425="Play_Defensive")),"Offensive",IF(OR(AE2425="Deadice",AE2425="Stoppage",AE2425="Intermission"),"",IF(AD2425="e","Offensive",IF(AD2425="o","Defensive","")))))</f>
        <v>Defensive</v>
      </c>
    </row>
    <row r="2426" spans="2:40" x14ac:dyDescent="0.2">
      <c r="B2426" t="str">
        <f t="shared" si="249"/>
        <v/>
      </c>
      <c r="U2426" s="8">
        <f t="shared" si="245"/>
        <v>2</v>
      </c>
      <c r="AD2426" t="str">
        <f t="shared" si="244"/>
        <v>o</v>
      </c>
      <c r="AE2426" t="str">
        <f t="shared" si="248"/>
        <v/>
      </c>
      <c r="AF2426" t="str">
        <f t="shared" si="246"/>
        <v/>
      </c>
      <c r="AG2426" t="str">
        <f t="shared" si="247"/>
        <v/>
      </c>
      <c r="AN2426" t="str">
        <f t="shared" si="250"/>
        <v>Defensive</v>
      </c>
    </row>
    <row r="2427" spans="2:40" x14ac:dyDescent="0.2">
      <c r="B2427" t="str">
        <f t="shared" si="249"/>
        <v/>
      </c>
      <c r="U2427" s="8">
        <f t="shared" si="245"/>
        <v>2</v>
      </c>
      <c r="AD2427" t="str">
        <f t="shared" si="244"/>
        <v>o</v>
      </c>
      <c r="AE2427" t="str">
        <f t="shared" si="248"/>
        <v/>
      </c>
      <c r="AF2427" t="str">
        <f t="shared" si="246"/>
        <v/>
      </c>
      <c r="AG2427" t="str">
        <f t="shared" si="247"/>
        <v/>
      </c>
      <c r="AN2427" t="str">
        <f t="shared" si="250"/>
        <v>Defensive</v>
      </c>
    </row>
    <row r="2428" spans="2:40" x14ac:dyDescent="0.2">
      <c r="B2428" t="str">
        <f t="shared" si="249"/>
        <v/>
      </c>
      <c r="U2428" s="8">
        <f t="shared" si="245"/>
        <v>2</v>
      </c>
      <c r="AD2428" t="str">
        <f t="shared" si="244"/>
        <v>o</v>
      </c>
      <c r="AE2428" t="str">
        <f t="shared" si="248"/>
        <v/>
      </c>
      <c r="AF2428" t="str">
        <f t="shared" si="246"/>
        <v/>
      </c>
      <c r="AG2428" t="str">
        <f t="shared" si="247"/>
        <v/>
      </c>
      <c r="AN2428" t="str">
        <f t="shared" si="250"/>
        <v>Defensive</v>
      </c>
    </row>
    <row r="2429" spans="2:40" x14ac:dyDescent="0.2">
      <c r="B2429" t="str">
        <f t="shared" si="249"/>
        <v/>
      </c>
      <c r="U2429" s="8">
        <f t="shared" si="245"/>
        <v>2</v>
      </c>
      <c r="AD2429" t="str">
        <f t="shared" si="244"/>
        <v>o</v>
      </c>
      <c r="AE2429" t="str">
        <f t="shared" si="248"/>
        <v/>
      </c>
      <c r="AF2429" t="str">
        <f t="shared" si="246"/>
        <v/>
      </c>
      <c r="AG2429" t="str">
        <f t="shared" si="247"/>
        <v/>
      </c>
      <c r="AN2429" t="str">
        <f t="shared" si="250"/>
        <v>Defensive</v>
      </c>
    </row>
    <row r="2430" spans="2:40" x14ac:dyDescent="0.2">
      <c r="B2430" t="str">
        <f t="shared" si="249"/>
        <v/>
      </c>
      <c r="U2430" s="8">
        <f t="shared" si="245"/>
        <v>2</v>
      </c>
      <c r="AD2430" t="str">
        <f t="shared" si="244"/>
        <v>o</v>
      </c>
      <c r="AE2430" t="str">
        <f t="shared" si="248"/>
        <v/>
      </c>
      <c r="AF2430" t="str">
        <f t="shared" si="246"/>
        <v/>
      </c>
      <c r="AG2430" t="str">
        <f t="shared" si="247"/>
        <v/>
      </c>
      <c r="AN2430" t="str">
        <f t="shared" si="250"/>
        <v>Defensive</v>
      </c>
    </row>
    <row r="2431" spans="2:40" x14ac:dyDescent="0.2">
      <c r="B2431" t="str">
        <f t="shared" si="249"/>
        <v/>
      </c>
      <c r="U2431" s="8">
        <f t="shared" si="245"/>
        <v>2</v>
      </c>
      <c r="AD2431" t="str">
        <f t="shared" si="244"/>
        <v>o</v>
      </c>
      <c r="AE2431" t="str">
        <f t="shared" si="248"/>
        <v/>
      </c>
      <c r="AF2431" t="str">
        <f t="shared" si="246"/>
        <v/>
      </c>
      <c r="AG2431" t="str">
        <f t="shared" si="247"/>
        <v/>
      </c>
      <c r="AN2431" t="str">
        <f t="shared" si="250"/>
        <v>Defensive</v>
      </c>
    </row>
    <row r="2432" spans="2:40" x14ac:dyDescent="0.2">
      <c r="B2432" t="str">
        <f t="shared" si="249"/>
        <v/>
      </c>
      <c r="U2432" s="8">
        <f t="shared" si="245"/>
        <v>2</v>
      </c>
      <c r="AD2432" t="str">
        <f t="shared" si="244"/>
        <v>o</v>
      </c>
      <c r="AE2432" t="str">
        <f t="shared" si="248"/>
        <v/>
      </c>
      <c r="AF2432" t="str">
        <f t="shared" si="246"/>
        <v/>
      </c>
      <c r="AG2432" t="str">
        <f t="shared" si="247"/>
        <v/>
      </c>
      <c r="AN2432" t="str">
        <f t="shared" si="250"/>
        <v>Defensive</v>
      </c>
    </row>
    <row r="2433" spans="2:40" x14ac:dyDescent="0.2">
      <c r="B2433" t="str">
        <f t="shared" si="249"/>
        <v/>
      </c>
      <c r="U2433" s="8">
        <f t="shared" si="245"/>
        <v>2</v>
      </c>
      <c r="AD2433" t="str">
        <f t="shared" si="244"/>
        <v>o</v>
      </c>
      <c r="AE2433" t="str">
        <f t="shared" si="248"/>
        <v/>
      </c>
      <c r="AF2433" t="str">
        <f t="shared" si="246"/>
        <v/>
      </c>
      <c r="AG2433" t="str">
        <f t="shared" si="247"/>
        <v/>
      </c>
      <c r="AN2433" t="str">
        <f t="shared" si="250"/>
        <v>Defensive</v>
      </c>
    </row>
    <row r="2434" spans="2:40" x14ac:dyDescent="0.2">
      <c r="B2434" t="str">
        <f t="shared" si="249"/>
        <v/>
      </c>
      <c r="U2434" s="8">
        <f t="shared" si="245"/>
        <v>2</v>
      </c>
      <c r="AD2434" t="str">
        <f t="shared" ref="AD2434:AD2497" si="251">IF(K2434="x","",IF(K2434=1,"e","o"))</f>
        <v>o</v>
      </c>
      <c r="AE2434" t="str">
        <f t="shared" si="248"/>
        <v/>
      </c>
      <c r="AF2434" t="str">
        <f t="shared" si="246"/>
        <v/>
      </c>
      <c r="AG2434" t="str">
        <f t="shared" si="247"/>
        <v/>
      </c>
      <c r="AN2434" t="str">
        <f t="shared" si="250"/>
        <v>Defensive</v>
      </c>
    </row>
    <row r="2435" spans="2:40" x14ac:dyDescent="0.2">
      <c r="B2435" t="str">
        <f t="shared" si="249"/>
        <v/>
      </c>
      <c r="U2435" s="8">
        <f t="shared" ref="U2435:U2498" si="252">IF(M2435="Intermission",U2434+1,U2434)</f>
        <v>2</v>
      </c>
      <c r="AD2435" t="str">
        <f t="shared" si="251"/>
        <v>o</v>
      </c>
      <c r="AE2435" t="str">
        <f t="shared" si="248"/>
        <v/>
      </c>
      <c r="AF2435" t="str">
        <f t="shared" ref="AF2435:AF2498" si="253">IF(N2435&lt;&gt;"",N2435,IF($A2435=$A2434,AF2434,""))</f>
        <v/>
      </c>
      <c r="AG2435" t="str">
        <f t="shared" ref="AG2435:AG2498" si="254">IF(O2435&lt;&gt;"",O2435,IF($A2435=$A2434,AG2434,""))</f>
        <v/>
      </c>
      <c r="AN2435" t="str">
        <f t="shared" si="250"/>
        <v>Defensive</v>
      </c>
    </row>
    <row r="2436" spans="2:40" x14ac:dyDescent="0.2">
      <c r="B2436" t="str">
        <f t="shared" si="249"/>
        <v/>
      </c>
      <c r="U2436" s="8">
        <f t="shared" si="252"/>
        <v>2</v>
      </c>
      <c r="AD2436" t="str">
        <f t="shared" si="251"/>
        <v>o</v>
      </c>
      <c r="AE2436" t="str">
        <f t="shared" ref="AE2436:AE2499" si="255">IF(M2436&lt;&gt;"",M2436,IF($A2436=$A2435,AE2435,""))</f>
        <v/>
      </c>
      <c r="AF2436" t="str">
        <f t="shared" si="253"/>
        <v/>
      </c>
      <c r="AG2436" t="str">
        <f t="shared" si="254"/>
        <v/>
      </c>
      <c r="AN2436" t="str">
        <f t="shared" si="250"/>
        <v>Defensive</v>
      </c>
    </row>
    <row r="2437" spans="2:40" x14ac:dyDescent="0.2">
      <c r="B2437" t="str">
        <f t="shared" si="249"/>
        <v/>
      </c>
      <c r="U2437" s="8">
        <f t="shared" si="252"/>
        <v>2</v>
      </c>
      <c r="AD2437" t="str">
        <f t="shared" si="251"/>
        <v>o</v>
      </c>
      <c r="AE2437" t="str">
        <f t="shared" si="255"/>
        <v/>
      </c>
      <c r="AF2437" t="str">
        <f t="shared" si="253"/>
        <v/>
      </c>
      <c r="AG2437" t="str">
        <f t="shared" si="254"/>
        <v/>
      </c>
      <c r="AN2437" t="str">
        <f t="shared" si="250"/>
        <v>Defensive</v>
      </c>
    </row>
    <row r="2438" spans="2:40" x14ac:dyDescent="0.2">
      <c r="B2438" t="str">
        <f t="shared" si="249"/>
        <v/>
      </c>
      <c r="U2438" s="8">
        <f t="shared" si="252"/>
        <v>2</v>
      </c>
      <c r="AD2438" t="str">
        <f t="shared" si="251"/>
        <v>o</v>
      </c>
      <c r="AE2438" t="str">
        <f t="shared" si="255"/>
        <v/>
      </c>
      <c r="AF2438" t="str">
        <f t="shared" si="253"/>
        <v/>
      </c>
      <c r="AG2438" t="str">
        <f t="shared" si="254"/>
        <v/>
      </c>
      <c r="AN2438" t="str">
        <f t="shared" si="250"/>
        <v>Defensive</v>
      </c>
    </row>
    <row r="2439" spans="2:40" x14ac:dyDescent="0.2">
      <c r="B2439" t="str">
        <f t="shared" si="249"/>
        <v/>
      </c>
      <c r="U2439" s="8">
        <f t="shared" si="252"/>
        <v>2</v>
      </c>
      <c r="AD2439" t="str">
        <f t="shared" si="251"/>
        <v>o</v>
      </c>
      <c r="AE2439" t="str">
        <f t="shared" si="255"/>
        <v/>
      </c>
      <c r="AF2439" t="str">
        <f t="shared" si="253"/>
        <v/>
      </c>
      <c r="AG2439" t="str">
        <f t="shared" si="254"/>
        <v/>
      </c>
      <c r="AN2439" t="str">
        <f t="shared" si="250"/>
        <v>Defensive</v>
      </c>
    </row>
    <row r="2440" spans="2:40" x14ac:dyDescent="0.2">
      <c r="B2440" t="str">
        <f t="shared" si="249"/>
        <v/>
      </c>
      <c r="U2440" s="8">
        <f t="shared" si="252"/>
        <v>2</v>
      </c>
      <c r="AD2440" t="str">
        <f t="shared" si="251"/>
        <v>o</v>
      </c>
      <c r="AE2440" t="str">
        <f t="shared" si="255"/>
        <v/>
      </c>
      <c r="AF2440" t="str">
        <f t="shared" si="253"/>
        <v/>
      </c>
      <c r="AG2440" t="str">
        <f t="shared" si="254"/>
        <v/>
      </c>
      <c r="AN2440" t="str">
        <f t="shared" si="250"/>
        <v>Defensive</v>
      </c>
    </row>
    <row r="2441" spans="2:40" x14ac:dyDescent="0.2">
      <c r="B2441" t="str">
        <f t="shared" si="249"/>
        <v/>
      </c>
      <c r="U2441" s="8">
        <f t="shared" si="252"/>
        <v>2</v>
      </c>
      <c r="AD2441" t="str">
        <f t="shared" si="251"/>
        <v>o</v>
      </c>
      <c r="AE2441" t="str">
        <f t="shared" si="255"/>
        <v/>
      </c>
      <c r="AF2441" t="str">
        <f t="shared" si="253"/>
        <v/>
      </c>
      <c r="AG2441" t="str">
        <f t="shared" si="254"/>
        <v/>
      </c>
      <c r="AN2441" t="str">
        <f t="shared" si="250"/>
        <v>Defensive</v>
      </c>
    </row>
    <row r="2442" spans="2:40" x14ac:dyDescent="0.2">
      <c r="B2442" t="str">
        <f t="shared" si="249"/>
        <v/>
      </c>
      <c r="U2442" s="8">
        <f t="shared" si="252"/>
        <v>2</v>
      </c>
      <c r="AD2442" t="str">
        <f t="shared" si="251"/>
        <v>o</v>
      </c>
      <c r="AE2442" t="str">
        <f t="shared" si="255"/>
        <v/>
      </c>
      <c r="AF2442" t="str">
        <f t="shared" si="253"/>
        <v/>
      </c>
      <c r="AG2442" t="str">
        <f t="shared" si="254"/>
        <v/>
      </c>
      <c r="AN2442" t="str">
        <f t="shared" si="250"/>
        <v>Defensive</v>
      </c>
    </row>
    <row r="2443" spans="2:40" x14ac:dyDescent="0.2">
      <c r="B2443" t="str">
        <f t="shared" si="249"/>
        <v/>
      </c>
      <c r="U2443" s="8">
        <f t="shared" si="252"/>
        <v>2</v>
      </c>
      <c r="AD2443" t="str">
        <f t="shared" si="251"/>
        <v>o</v>
      </c>
      <c r="AE2443" t="str">
        <f t="shared" si="255"/>
        <v/>
      </c>
      <c r="AF2443" t="str">
        <f t="shared" si="253"/>
        <v/>
      </c>
      <c r="AG2443" t="str">
        <f t="shared" si="254"/>
        <v/>
      </c>
      <c r="AN2443" t="str">
        <f t="shared" si="250"/>
        <v>Defensive</v>
      </c>
    </row>
    <row r="2444" spans="2:40" x14ac:dyDescent="0.2">
      <c r="B2444" t="str">
        <f t="shared" si="249"/>
        <v/>
      </c>
      <c r="U2444" s="8">
        <f t="shared" si="252"/>
        <v>2</v>
      </c>
      <c r="AD2444" t="str">
        <f t="shared" si="251"/>
        <v>o</v>
      </c>
      <c r="AE2444" t="str">
        <f t="shared" si="255"/>
        <v/>
      </c>
      <c r="AF2444" t="str">
        <f t="shared" si="253"/>
        <v/>
      </c>
      <c r="AG2444" t="str">
        <f t="shared" si="254"/>
        <v/>
      </c>
      <c r="AN2444" t="str">
        <f t="shared" si="250"/>
        <v>Defensive</v>
      </c>
    </row>
    <row r="2445" spans="2:40" x14ac:dyDescent="0.2">
      <c r="B2445" t="str">
        <f t="shared" si="249"/>
        <v/>
      </c>
      <c r="U2445" s="8">
        <f t="shared" si="252"/>
        <v>2</v>
      </c>
      <c r="AD2445" t="str">
        <f t="shared" si="251"/>
        <v>o</v>
      </c>
      <c r="AE2445" t="str">
        <f t="shared" si="255"/>
        <v/>
      </c>
      <c r="AF2445" t="str">
        <f t="shared" si="253"/>
        <v/>
      </c>
      <c r="AG2445" t="str">
        <f t="shared" si="254"/>
        <v/>
      </c>
      <c r="AN2445" t="str">
        <f t="shared" si="250"/>
        <v>Defensive</v>
      </c>
    </row>
    <row r="2446" spans="2:40" x14ac:dyDescent="0.2">
      <c r="B2446" t="str">
        <f t="shared" si="249"/>
        <v/>
      </c>
      <c r="U2446" s="8">
        <f t="shared" si="252"/>
        <v>2</v>
      </c>
      <c r="AD2446" t="str">
        <f t="shared" si="251"/>
        <v>o</v>
      </c>
      <c r="AE2446" t="str">
        <f t="shared" si="255"/>
        <v/>
      </c>
      <c r="AF2446" t="str">
        <f t="shared" si="253"/>
        <v/>
      </c>
      <c r="AG2446" t="str">
        <f t="shared" si="254"/>
        <v/>
      </c>
      <c r="AN2446" t="str">
        <f t="shared" si="250"/>
        <v>Defensive</v>
      </c>
    </row>
    <row r="2447" spans="2:40" x14ac:dyDescent="0.2">
      <c r="B2447" t="str">
        <f t="shared" si="249"/>
        <v/>
      </c>
      <c r="U2447" s="8">
        <f t="shared" si="252"/>
        <v>2</v>
      </c>
      <c r="AD2447" t="str">
        <f t="shared" si="251"/>
        <v>o</v>
      </c>
      <c r="AE2447" t="str">
        <f t="shared" si="255"/>
        <v/>
      </c>
      <c r="AF2447" t="str">
        <f t="shared" si="253"/>
        <v/>
      </c>
      <c r="AG2447" t="str">
        <f t="shared" si="254"/>
        <v/>
      </c>
      <c r="AN2447" t="str">
        <f t="shared" si="250"/>
        <v>Defensive</v>
      </c>
    </row>
    <row r="2448" spans="2:40" x14ac:dyDescent="0.2">
      <c r="B2448" t="str">
        <f t="shared" si="249"/>
        <v/>
      </c>
      <c r="U2448" s="8">
        <f t="shared" si="252"/>
        <v>2</v>
      </c>
      <c r="AD2448" t="str">
        <f t="shared" si="251"/>
        <v>o</v>
      </c>
      <c r="AE2448" t="str">
        <f t="shared" si="255"/>
        <v/>
      </c>
      <c r="AF2448" t="str">
        <f t="shared" si="253"/>
        <v/>
      </c>
      <c r="AG2448" t="str">
        <f t="shared" si="254"/>
        <v/>
      </c>
      <c r="AN2448" t="str">
        <f t="shared" si="250"/>
        <v>Defensive</v>
      </c>
    </row>
    <row r="2449" spans="2:40" x14ac:dyDescent="0.2">
      <c r="B2449" t="str">
        <f t="shared" si="249"/>
        <v/>
      </c>
      <c r="U2449" s="8">
        <f t="shared" si="252"/>
        <v>2</v>
      </c>
      <c r="AD2449" t="str">
        <f t="shared" si="251"/>
        <v>o</v>
      </c>
      <c r="AE2449" t="str">
        <f t="shared" si="255"/>
        <v/>
      </c>
      <c r="AF2449" t="str">
        <f t="shared" si="253"/>
        <v/>
      </c>
      <c r="AG2449" t="str">
        <f t="shared" si="254"/>
        <v/>
      </c>
      <c r="AN2449" t="str">
        <f t="shared" si="250"/>
        <v>Defensive</v>
      </c>
    </row>
    <row r="2450" spans="2:40" x14ac:dyDescent="0.2">
      <c r="B2450" t="str">
        <f t="shared" si="249"/>
        <v/>
      </c>
      <c r="U2450" s="8">
        <f t="shared" si="252"/>
        <v>2</v>
      </c>
      <c r="AD2450" t="str">
        <f t="shared" si="251"/>
        <v>o</v>
      </c>
      <c r="AE2450" t="str">
        <f t="shared" si="255"/>
        <v/>
      </c>
      <c r="AF2450" t="str">
        <f t="shared" si="253"/>
        <v/>
      </c>
      <c r="AG2450" t="str">
        <f t="shared" si="254"/>
        <v/>
      </c>
      <c r="AN2450" t="str">
        <f t="shared" si="250"/>
        <v>Defensive</v>
      </c>
    </row>
    <row r="2451" spans="2:40" x14ac:dyDescent="0.2">
      <c r="B2451" t="str">
        <f t="shared" si="249"/>
        <v/>
      </c>
      <c r="U2451" s="8">
        <f t="shared" si="252"/>
        <v>2</v>
      </c>
      <c r="AD2451" t="str">
        <f t="shared" si="251"/>
        <v>o</v>
      </c>
      <c r="AE2451" t="str">
        <f t="shared" si="255"/>
        <v/>
      </c>
      <c r="AF2451" t="str">
        <f t="shared" si="253"/>
        <v/>
      </c>
      <c r="AG2451" t="str">
        <f t="shared" si="254"/>
        <v/>
      </c>
      <c r="AN2451" t="str">
        <f t="shared" si="250"/>
        <v>Defensive</v>
      </c>
    </row>
    <row r="2452" spans="2:40" x14ac:dyDescent="0.2">
      <c r="B2452" t="str">
        <f t="shared" si="249"/>
        <v/>
      </c>
      <c r="U2452" s="8">
        <f t="shared" si="252"/>
        <v>2</v>
      </c>
      <c r="AD2452" t="str">
        <f t="shared" si="251"/>
        <v>o</v>
      </c>
      <c r="AE2452" t="str">
        <f t="shared" si="255"/>
        <v/>
      </c>
      <c r="AF2452" t="str">
        <f t="shared" si="253"/>
        <v/>
      </c>
      <c r="AG2452" t="str">
        <f t="shared" si="254"/>
        <v/>
      </c>
      <c r="AN2452" t="str">
        <f t="shared" si="250"/>
        <v>Defensive</v>
      </c>
    </row>
    <row r="2453" spans="2:40" x14ac:dyDescent="0.2">
      <c r="B2453" t="str">
        <f t="shared" si="249"/>
        <v/>
      </c>
      <c r="U2453" s="8">
        <f t="shared" si="252"/>
        <v>2</v>
      </c>
      <c r="AD2453" t="str">
        <f t="shared" si="251"/>
        <v>o</v>
      </c>
      <c r="AE2453" t="str">
        <f t="shared" si="255"/>
        <v/>
      </c>
      <c r="AF2453" t="str">
        <f t="shared" si="253"/>
        <v/>
      </c>
      <c r="AG2453" t="str">
        <f t="shared" si="254"/>
        <v/>
      </c>
      <c r="AN2453" t="str">
        <f t="shared" si="250"/>
        <v>Defensive</v>
      </c>
    </row>
    <row r="2454" spans="2:40" x14ac:dyDescent="0.2">
      <c r="B2454" t="str">
        <f t="shared" si="249"/>
        <v/>
      </c>
      <c r="U2454" s="8">
        <f t="shared" si="252"/>
        <v>2</v>
      </c>
      <c r="AD2454" t="str">
        <f t="shared" si="251"/>
        <v>o</v>
      </c>
      <c r="AE2454" t="str">
        <f t="shared" si="255"/>
        <v/>
      </c>
      <c r="AF2454" t="str">
        <f t="shared" si="253"/>
        <v/>
      </c>
      <c r="AG2454" t="str">
        <f t="shared" si="254"/>
        <v/>
      </c>
      <c r="AN2454" t="str">
        <f t="shared" si="250"/>
        <v>Defensive</v>
      </c>
    </row>
    <row r="2455" spans="2:40" x14ac:dyDescent="0.2">
      <c r="B2455" t="str">
        <f t="shared" si="249"/>
        <v/>
      </c>
      <c r="U2455" s="8">
        <f t="shared" si="252"/>
        <v>2</v>
      </c>
      <c r="AD2455" t="str">
        <f t="shared" si="251"/>
        <v>o</v>
      </c>
      <c r="AE2455" t="str">
        <f t="shared" si="255"/>
        <v/>
      </c>
      <c r="AF2455" t="str">
        <f t="shared" si="253"/>
        <v/>
      </c>
      <c r="AG2455" t="str">
        <f t="shared" si="254"/>
        <v/>
      </c>
      <c r="AN2455" t="str">
        <f t="shared" si="250"/>
        <v>Defensive</v>
      </c>
    </row>
    <row r="2456" spans="2:40" x14ac:dyDescent="0.2">
      <c r="B2456" t="str">
        <f t="shared" si="249"/>
        <v/>
      </c>
      <c r="U2456" s="8">
        <f t="shared" si="252"/>
        <v>2</v>
      </c>
      <c r="AD2456" t="str">
        <f t="shared" si="251"/>
        <v>o</v>
      </c>
      <c r="AE2456" t="str">
        <f t="shared" si="255"/>
        <v/>
      </c>
      <c r="AF2456" t="str">
        <f t="shared" si="253"/>
        <v/>
      </c>
      <c r="AG2456" t="str">
        <f t="shared" si="254"/>
        <v/>
      </c>
      <c r="AN2456" t="str">
        <f t="shared" si="250"/>
        <v>Defensive</v>
      </c>
    </row>
    <row r="2457" spans="2:40" x14ac:dyDescent="0.2">
      <c r="B2457" t="str">
        <f t="shared" si="249"/>
        <v/>
      </c>
      <c r="U2457" s="8">
        <f t="shared" si="252"/>
        <v>2</v>
      </c>
      <c r="AD2457" t="str">
        <f t="shared" si="251"/>
        <v>o</v>
      </c>
      <c r="AE2457" t="str">
        <f t="shared" si="255"/>
        <v/>
      </c>
      <c r="AF2457" t="str">
        <f t="shared" si="253"/>
        <v/>
      </c>
      <c r="AG2457" t="str">
        <f t="shared" si="254"/>
        <v/>
      </c>
      <c r="AN2457" t="str">
        <f t="shared" si="250"/>
        <v>Defensive</v>
      </c>
    </row>
    <row r="2458" spans="2:40" x14ac:dyDescent="0.2">
      <c r="B2458" t="str">
        <f t="shared" si="249"/>
        <v/>
      </c>
      <c r="U2458" s="8">
        <f t="shared" si="252"/>
        <v>2</v>
      </c>
      <c r="AD2458" t="str">
        <f t="shared" si="251"/>
        <v>o</v>
      </c>
      <c r="AE2458" t="str">
        <f t="shared" si="255"/>
        <v/>
      </c>
      <c r="AF2458" t="str">
        <f t="shared" si="253"/>
        <v/>
      </c>
      <c r="AG2458" t="str">
        <f t="shared" si="254"/>
        <v/>
      </c>
      <c r="AN2458" t="str">
        <f t="shared" si="250"/>
        <v>Defensive</v>
      </c>
    </row>
    <row r="2459" spans="2:40" x14ac:dyDescent="0.2">
      <c r="B2459" t="str">
        <f t="shared" si="249"/>
        <v/>
      </c>
      <c r="U2459" s="8">
        <f t="shared" si="252"/>
        <v>2</v>
      </c>
      <c r="AD2459" t="str">
        <f t="shared" si="251"/>
        <v>o</v>
      </c>
      <c r="AE2459" t="str">
        <f t="shared" si="255"/>
        <v/>
      </c>
      <c r="AF2459" t="str">
        <f t="shared" si="253"/>
        <v/>
      </c>
      <c r="AG2459" t="str">
        <f t="shared" si="254"/>
        <v/>
      </c>
      <c r="AN2459" t="str">
        <f t="shared" si="250"/>
        <v>Defensive</v>
      </c>
    </row>
    <row r="2460" spans="2:40" x14ac:dyDescent="0.2">
      <c r="B2460" t="str">
        <f t="shared" si="249"/>
        <v/>
      </c>
      <c r="U2460" s="8">
        <f t="shared" si="252"/>
        <v>2</v>
      </c>
      <c r="AD2460" t="str">
        <f t="shared" si="251"/>
        <v>o</v>
      </c>
      <c r="AE2460" t="str">
        <f t="shared" si="255"/>
        <v/>
      </c>
      <c r="AF2460" t="str">
        <f t="shared" si="253"/>
        <v/>
      </c>
      <c r="AG2460" t="str">
        <f t="shared" si="254"/>
        <v/>
      </c>
      <c r="AN2460" t="str">
        <f t="shared" si="250"/>
        <v>Defensive</v>
      </c>
    </row>
    <row r="2461" spans="2:40" x14ac:dyDescent="0.2">
      <c r="B2461" t="str">
        <f t="shared" si="249"/>
        <v/>
      </c>
      <c r="U2461" s="8">
        <f t="shared" si="252"/>
        <v>2</v>
      </c>
      <c r="AD2461" t="str">
        <f t="shared" si="251"/>
        <v>o</v>
      </c>
      <c r="AE2461" t="str">
        <f t="shared" si="255"/>
        <v/>
      </c>
      <c r="AF2461" t="str">
        <f t="shared" si="253"/>
        <v/>
      </c>
      <c r="AG2461" t="str">
        <f t="shared" si="254"/>
        <v/>
      </c>
      <c r="AN2461" t="str">
        <f t="shared" si="250"/>
        <v>Defensive</v>
      </c>
    </row>
    <row r="2462" spans="2:40" x14ac:dyDescent="0.2">
      <c r="B2462" t="str">
        <f t="shared" si="249"/>
        <v/>
      </c>
      <c r="U2462" s="8">
        <f t="shared" si="252"/>
        <v>2</v>
      </c>
      <c r="AD2462" t="str">
        <f t="shared" si="251"/>
        <v>o</v>
      </c>
      <c r="AE2462" t="str">
        <f t="shared" si="255"/>
        <v/>
      </c>
      <c r="AF2462" t="str">
        <f t="shared" si="253"/>
        <v/>
      </c>
      <c r="AG2462" t="str">
        <f t="shared" si="254"/>
        <v/>
      </c>
      <c r="AN2462" t="str">
        <f t="shared" si="250"/>
        <v>Defensive</v>
      </c>
    </row>
    <row r="2463" spans="2:40" x14ac:dyDescent="0.2">
      <c r="B2463" t="str">
        <f t="shared" si="249"/>
        <v/>
      </c>
      <c r="U2463" s="8">
        <f t="shared" si="252"/>
        <v>2</v>
      </c>
      <c r="AD2463" t="str">
        <f t="shared" si="251"/>
        <v>o</v>
      </c>
      <c r="AE2463" t="str">
        <f t="shared" si="255"/>
        <v/>
      </c>
      <c r="AF2463" t="str">
        <f t="shared" si="253"/>
        <v/>
      </c>
      <c r="AG2463" t="str">
        <f t="shared" si="254"/>
        <v/>
      </c>
      <c r="AN2463" t="str">
        <f t="shared" si="250"/>
        <v>Defensive</v>
      </c>
    </row>
    <row r="2464" spans="2:40" x14ac:dyDescent="0.2">
      <c r="B2464" t="str">
        <f t="shared" si="249"/>
        <v/>
      </c>
      <c r="U2464" s="8">
        <f t="shared" si="252"/>
        <v>2</v>
      </c>
      <c r="AD2464" t="str">
        <f t="shared" si="251"/>
        <v>o</v>
      </c>
      <c r="AE2464" t="str">
        <f t="shared" si="255"/>
        <v/>
      </c>
      <c r="AF2464" t="str">
        <f t="shared" si="253"/>
        <v/>
      </c>
      <c r="AG2464" t="str">
        <f t="shared" si="254"/>
        <v/>
      </c>
      <c r="AN2464" t="str">
        <f t="shared" si="250"/>
        <v>Defensive</v>
      </c>
    </row>
    <row r="2465" spans="2:40" x14ac:dyDescent="0.2">
      <c r="B2465" t="str">
        <f t="shared" si="249"/>
        <v/>
      </c>
      <c r="U2465" s="8">
        <f t="shared" si="252"/>
        <v>2</v>
      </c>
      <c r="AD2465" t="str">
        <f t="shared" si="251"/>
        <v>o</v>
      </c>
      <c r="AE2465" t="str">
        <f t="shared" si="255"/>
        <v/>
      </c>
      <c r="AF2465" t="str">
        <f t="shared" si="253"/>
        <v/>
      </c>
      <c r="AG2465" t="str">
        <f t="shared" si="254"/>
        <v/>
      </c>
      <c r="AN2465" t="str">
        <f t="shared" si="250"/>
        <v>Defensive</v>
      </c>
    </row>
    <row r="2466" spans="2:40" x14ac:dyDescent="0.2">
      <c r="B2466" t="str">
        <f t="shared" si="249"/>
        <v/>
      </c>
      <c r="U2466" s="8">
        <f t="shared" si="252"/>
        <v>2</v>
      </c>
      <c r="AD2466" t="str">
        <f t="shared" si="251"/>
        <v>o</v>
      </c>
      <c r="AE2466" t="str">
        <f t="shared" si="255"/>
        <v/>
      </c>
      <c r="AF2466" t="str">
        <f t="shared" si="253"/>
        <v/>
      </c>
      <c r="AG2466" t="str">
        <f t="shared" si="254"/>
        <v/>
      </c>
      <c r="AN2466" t="str">
        <f t="shared" si="250"/>
        <v>Defensive</v>
      </c>
    </row>
    <row r="2467" spans="2:40" x14ac:dyDescent="0.2">
      <c r="B2467" t="str">
        <f t="shared" si="249"/>
        <v/>
      </c>
      <c r="U2467" s="8">
        <f t="shared" si="252"/>
        <v>2</v>
      </c>
      <c r="AD2467" t="str">
        <f t="shared" si="251"/>
        <v>o</v>
      </c>
      <c r="AE2467" t="str">
        <f t="shared" si="255"/>
        <v/>
      </c>
      <c r="AF2467" t="str">
        <f t="shared" si="253"/>
        <v/>
      </c>
      <c r="AG2467" t="str">
        <f t="shared" si="254"/>
        <v/>
      </c>
      <c r="AN2467" t="str">
        <f t="shared" si="250"/>
        <v>Defensive</v>
      </c>
    </row>
    <row r="2468" spans="2:40" x14ac:dyDescent="0.2">
      <c r="B2468" t="str">
        <f t="shared" si="249"/>
        <v/>
      </c>
      <c r="U2468" s="8">
        <f t="shared" si="252"/>
        <v>2</v>
      </c>
      <c r="AD2468" t="str">
        <f t="shared" si="251"/>
        <v>o</v>
      </c>
      <c r="AE2468" t="str">
        <f t="shared" si="255"/>
        <v/>
      </c>
      <c r="AF2468" t="str">
        <f t="shared" si="253"/>
        <v/>
      </c>
      <c r="AG2468" t="str">
        <f t="shared" si="254"/>
        <v/>
      </c>
      <c r="AN2468" t="str">
        <f t="shared" si="250"/>
        <v>Defensive</v>
      </c>
    </row>
    <row r="2469" spans="2:40" x14ac:dyDescent="0.2">
      <c r="B2469" t="str">
        <f t="shared" si="249"/>
        <v/>
      </c>
      <c r="U2469" s="8">
        <f t="shared" si="252"/>
        <v>2</v>
      </c>
      <c r="AD2469" t="str">
        <f t="shared" si="251"/>
        <v>o</v>
      </c>
      <c r="AE2469" t="str">
        <f t="shared" si="255"/>
        <v/>
      </c>
      <c r="AF2469" t="str">
        <f t="shared" si="253"/>
        <v/>
      </c>
      <c r="AG2469" t="str">
        <f t="shared" si="254"/>
        <v/>
      </c>
      <c r="AN2469" t="str">
        <f t="shared" si="250"/>
        <v>Defensive</v>
      </c>
    </row>
    <row r="2470" spans="2:40" x14ac:dyDescent="0.2">
      <c r="B2470" t="str">
        <f t="shared" si="249"/>
        <v/>
      </c>
      <c r="U2470" s="8">
        <f t="shared" si="252"/>
        <v>2</v>
      </c>
      <c r="AD2470" t="str">
        <f t="shared" si="251"/>
        <v>o</v>
      </c>
      <c r="AE2470" t="str">
        <f t="shared" si="255"/>
        <v/>
      </c>
      <c r="AF2470" t="str">
        <f t="shared" si="253"/>
        <v/>
      </c>
      <c r="AG2470" t="str">
        <f t="shared" si="254"/>
        <v/>
      </c>
      <c r="AN2470" t="str">
        <f t="shared" si="250"/>
        <v>Defensive</v>
      </c>
    </row>
    <row r="2471" spans="2:40" x14ac:dyDescent="0.2">
      <c r="B2471" t="str">
        <f t="shared" si="249"/>
        <v/>
      </c>
      <c r="U2471" s="8">
        <f t="shared" si="252"/>
        <v>2</v>
      </c>
      <c r="AD2471" t="str">
        <f t="shared" si="251"/>
        <v>o</v>
      </c>
      <c r="AE2471" t="str">
        <f t="shared" si="255"/>
        <v/>
      </c>
      <c r="AF2471" t="str">
        <f t="shared" si="253"/>
        <v/>
      </c>
      <c r="AG2471" t="str">
        <f t="shared" si="254"/>
        <v/>
      </c>
      <c r="AN2471" t="str">
        <f t="shared" si="250"/>
        <v>Defensive</v>
      </c>
    </row>
    <row r="2472" spans="2:40" x14ac:dyDescent="0.2">
      <c r="B2472" t="str">
        <f t="shared" si="249"/>
        <v/>
      </c>
      <c r="U2472" s="8">
        <f t="shared" si="252"/>
        <v>2</v>
      </c>
      <c r="AD2472" t="str">
        <f t="shared" si="251"/>
        <v>o</v>
      </c>
      <c r="AE2472" t="str">
        <f t="shared" si="255"/>
        <v/>
      </c>
      <c r="AF2472" t="str">
        <f t="shared" si="253"/>
        <v/>
      </c>
      <c r="AG2472" t="str">
        <f t="shared" si="254"/>
        <v/>
      </c>
      <c r="AN2472" t="str">
        <f t="shared" si="250"/>
        <v>Defensive</v>
      </c>
    </row>
    <row r="2473" spans="2:40" x14ac:dyDescent="0.2">
      <c r="B2473" t="str">
        <f t="shared" si="249"/>
        <v/>
      </c>
      <c r="U2473" s="8">
        <f t="shared" si="252"/>
        <v>2</v>
      </c>
      <c r="AD2473" t="str">
        <f t="shared" si="251"/>
        <v>o</v>
      </c>
      <c r="AE2473" t="str">
        <f t="shared" si="255"/>
        <v/>
      </c>
      <c r="AF2473" t="str">
        <f t="shared" si="253"/>
        <v/>
      </c>
      <c r="AG2473" t="str">
        <f t="shared" si="254"/>
        <v/>
      </c>
      <c r="AN2473" t="str">
        <f t="shared" si="250"/>
        <v>Defensive</v>
      </c>
    </row>
    <row r="2474" spans="2:40" x14ac:dyDescent="0.2">
      <c r="B2474" t="str">
        <f t="shared" si="249"/>
        <v/>
      </c>
      <c r="U2474" s="8">
        <f t="shared" si="252"/>
        <v>2</v>
      </c>
      <c r="AD2474" t="str">
        <f t="shared" si="251"/>
        <v>o</v>
      </c>
      <c r="AE2474" t="str">
        <f t="shared" si="255"/>
        <v/>
      </c>
      <c r="AF2474" t="str">
        <f t="shared" si="253"/>
        <v/>
      </c>
      <c r="AG2474" t="str">
        <f t="shared" si="254"/>
        <v/>
      </c>
      <c r="AN2474" t="str">
        <f t="shared" si="250"/>
        <v>Defensive</v>
      </c>
    </row>
    <row r="2475" spans="2:40" x14ac:dyDescent="0.2">
      <c r="B2475" t="str">
        <f t="shared" si="249"/>
        <v/>
      </c>
      <c r="U2475" s="8">
        <f t="shared" si="252"/>
        <v>2</v>
      </c>
      <c r="AD2475" t="str">
        <f t="shared" si="251"/>
        <v>o</v>
      </c>
      <c r="AE2475" t="str">
        <f t="shared" si="255"/>
        <v/>
      </c>
      <c r="AF2475" t="str">
        <f t="shared" si="253"/>
        <v/>
      </c>
      <c r="AG2475" t="str">
        <f t="shared" si="254"/>
        <v/>
      </c>
      <c r="AN2475" t="str">
        <f t="shared" si="250"/>
        <v>Defensive</v>
      </c>
    </row>
    <row r="2476" spans="2:40" x14ac:dyDescent="0.2">
      <c r="B2476" t="str">
        <f t="shared" si="249"/>
        <v/>
      </c>
      <c r="U2476" s="8">
        <f t="shared" si="252"/>
        <v>2</v>
      </c>
      <c r="AD2476" t="str">
        <f t="shared" si="251"/>
        <v>o</v>
      </c>
      <c r="AE2476" t="str">
        <f t="shared" si="255"/>
        <v/>
      </c>
      <c r="AF2476" t="str">
        <f t="shared" si="253"/>
        <v/>
      </c>
      <c r="AG2476" t="str">
        <f t="shared" si="254"/>
        <v/>
      </c>
      <c r="AN2476" t="str">
        <f t="shared" si="250"/>
        <v>Defensive</v>
      </c>
    </row>
    <row r="2477" spans="2:40" x14ac:dyDescent="0.2">
      <c r="B2477" t="str">
        <f t="shared" si="249"/>
        <v/>
      </c>
      <c r="U2477" s="8">
        <f t="shared" si="252"/>
        <v>2</v>
      </c>
      <c r="AD2477" t="str">
        <f t="shared" si="251"/>
        <v>o</v>
      </c>
      <c r="AE2477" t="str">
        <f t="shared" si="255"/>
        <v/>
      </c>
      <c r="AF2477" t="str">
        <f t="shared" si="253"/>
        <v/>
      </c>
      <c r="AG2477" t="str">
        <f t="shared" si="254"/>
        <v/>
      </c>
      <c r="AN2477" t="str">
        <f t="shared" si="250"/>
        <v>Defensive</v>
      </c>
    </row>
    <row r="2478" spans="2:40" x14ac:dyDescent="0.2">
      <c r="B2478" t="str">
        <f t="shared" si="249"/>
        <v/>
      </c>
      <c r="U2478" s="8">
        <f t="shared" si="252"/>
        <v>2</v>
      </c>
      <c r="AD2478" t="str">
        <f t="shared" si="251"/>
        <v>o</v>
      </c>
      <c r="AE2478" t="str">
        <f t="shared" si="255"/>
        <v/>
      </c>
      <c r="AF2478" t="str">
        <f t="shared" si="253"/>
        <v/>
      </c>
      <c r="AG2478" t="str">
        <f t="shared" si="254"/>
        <v/>
      </c>
      <c r="AN2478" t="str">
        <f t="shared" si="250"/>
        <v>Defensive</v>
      </c>
    </row>
    <row r="2479" spans="2:40" x14ac:dyDescent="0.2">
      <c r="B2479" t="str">
        <f t="shared" si="249"/>
        <v/>
      </c>
      <c r="U2479" s="8">
        <f t="shared" si="252"/>
        <v>2</v>
      </c>
      <c r="AD2479" t="str">
        <f t="shared" si="251"/>
        <v>o</v>
      </c>
      <c r="AE2479" t="str">
        <f t="shared" si="255"/>
        <v/>
      </c>
      <c r="AF2479" t="str">
        <f t="shared" si="253"/>
        <v/>
      </c>
      <c r="AG2479" t="str">
        <f t="shared" si="254"/>
        <v/>
      </c>
      <c r="AN2479" t="str">
        <f t="shared" si="250"/>
        <v>Defensive</v>
      </c>
    </row>
    <row r="2480" spans="2:40" x14ac:dyDescent="0.2">
      <c r="B2480" t="str">
        <f t="shared" ref="B2480:B2543" si="256">IF(A2480=A2479,B2479,"")</f>
        <v/>
      </c>
      <c r="U2480" s="8">
        <f t="shared" si="252"/>
        <v>2</v>
      </c>
      <c r="AD2480" t="str">
        <f t="shared" si="251"/>
        <v>o</v>
      </c>
      <c r="AE2480" t="str">
        <f t="shared" si="255"/>
        <v/>
      </c>
      <c r="AF2480" t="str">
        <f t="shared" si="253"/>
        <v/>
      </c>
      <c r="AG2480" t="str">
        <f t="shared" si="254"/>
        <v/>
      </c>
      <c r="AN2480" t="str">
        <f t="shared" si="250"/>
        <v>Defensive</v>
      </c>
    </row>
    <row r="2481" spans="2:40" x14ac:dyDescent="0.2">
      <c r="B2481" t="str">
        <f t="shared" si="256"/>
        <v/>
      </c>
      <c r="U2481" s="8">
        <f t="shared" si="252"/>
        <v>2</v>
      </c>
      <c r="AD2481" t="str">
        <f t="shared" si="251"/>
        <v>o</v>
      </c>
      <c r="AE2481" t="str">
        <f t="shared" si="255"/>
        <v/>
      </c>
      <c r="AF2481" t="str">
        <f t="shared" si="253"/>
        <v/>
      </c>
      <c r="AG2481" t="str">
        <f t="shared" si="254"/>
        <v/>
      </c>
      <c r="AN2481" t="str">
        <f t="shared" si="250"/>
        <v>Defensive</v>
      </c>
    </row>
    <row r="2482" spans="2:40" x14ac:dyDescent="0.2">
      <c r="B2482" t="str">
        <f t="shared" si="256"/>
        <v/>
      </c>
      <c r="U2482" s="8">
        <f t="shared" si="252"/>
        <v>2</v>
      </c>
      <c r="AD2482" t="str">
        <f t="shared" si="251"/>
        <v>o</v>
      </c>
      <c r="AE2482" t="str">
        <f t="shared" si="255"/>
        <v/>
      </c>
      <c r="AF2482" t="str">
        <f t="shared" si="253"/>
        <v/>
      </c>
      <c r="AG2482" t="str">
        <f t="shared" si="254"/>
        <v/>
      </c>
      <c r="AN2482" t="str">
        <f t="shared" si="250"/>
        <v>Defensive</v>
      </c>
    </row>
    <row r="2483" spans="2:40" x14ac:dyDescent="0.2">
      <c r="B2483" t="str">
        <f t="shared" si="256"/>
        <v/>
      </c>
      <c r="U2483" s="8">
        <f t="shared" si="252"/>
        <v>2</v>
      </c>
      <c r="AD2483" t="str">
        <f t="shared" si="251"/>
        <v>o</v>
      </c>
      <c r="AE2483" t="str">
        <f t="shared" si="255"/>
        <v/>
      </c>
      <c r="AF2483" t="str">
        <f t="shared" si="253"/>
        <v/>
      </c>
      <c r="AG2483" t="str">
        <f t="shared" si="254"/>
        <v/>
      </c>
      <c r="AN2483" t="str">
        <f t="shared" si="250"/>
        <v>Defensive</v>
      </c>
    </row>
    <row r="2484" spans="2:40" x14ac:dyDescent="0.2">
      <c r="B2484" t="str">
        <f t="shared" si="256"/>
        <v/>
      </c>
      <c r="U2484" s="8">
        <f t="shared" si="252"/>
        <v>2</v>
      </c>
      <c r="AD2484" t="str">
        <f t="shared" si="251"/>
        <v>o</v>
      </c>
      <c r="AE2484" t="str">
        <f t="shared" si="255"/>
        <v/>
      </c>
      <c r="AF2484" t="str">
        <f t="shared" si="253"/>
        <v/>
      </c>
      <c r="AG2484" t="str">
        <f t="shared" si="254"/>
        <v/>
      </c>
      <c r="AN2484" t="str">
        <f t="shared" si="250"/>
        <v>Defensive</v>
      </c>
    </row>
    <row r="2485" spans="2:40" x14ac:dyDescent="0.2">
      <c r="B2485" t="str">
        <f t="shared" si="256"/>
        <v/>
      </c>
      <c r="U2485" s="8">
        <f t="shared" si="252"/>
        <v>2</v>
      </c>
      <c r="AD2485" t="str">
        <f t="shared" si="251"/>
        <v>o</v>
      </c>
      <c r="AE2485" t="str">
        <f t="shared" si="255"/>
        <v/>
      </c>
      <c r="AF2485" t="str">
        <f t="shared" si="253"/>
        <v/>
      </c>
      <c r="AG2485" t="str">
        <f t="shared" si="254"/>
        <v/>
      </c>
      <c r="AN2485" t="str">
        <f t="shared" si="250"/>
        <v>Defensive</v>
      </c>
    </row>
    <row r="2486" spans="2:40" x14ac:dyDescent="0.2">
      <c r="B2486" t="str">
        <f t="shared" si="256"/>
        <v/>
      </c>
      <c r="U2486" s="8">
        <f t="shared" si="252"/>
        <v>2</v>
      </c>
      <c r="AD2486" t="str">
        <f t="shared" si="251"/>
        <v>o</v>
      </c>
      <c r="AE2486" t="str">
        <f t="shared" si="255"/>
        <v/>
      </c>
      <c r="AF2486" t="str">
        <f t="shared" si="253"/>
        <v/>
      </c>
      <c r="AG2486" t="str">
        <f t="shared" si="254"/>
        <v/>
      </c>
      <c r="AN2486" t="str">
        <f t="shared" si="250"/>
        <v>Defensive</v>
      </c>
    </row>
    <row r="2487" spans="2:40" x14ac:dyDescent="0.2">
      <c r="B2487" t="str">
        <f t="shared" si="256"/>
        <v/>
      </c>
      <c r="U2487" s="8">
        <f t="shared" si="252"/>
        <v>2</v>
      </c>
      <c r="AD2487" t="str">
        <f t="shared" si="251"/>
        <v>o</v>
      </c>
      <c r="AE2487" t="str">
        <f t="shared" si="255"/>
        <v/>
      </c>
      <c r="AF2487" t="str">
        <f t="shared" si="253"/>
        <v/>
      </c>
      <c r="AG2487" t="str">
        <f t="shared" si="254"/>
        <v/>
      </c>
      <c r="AN2487" t="str">
        <f t="shared" si="250"/>
        <v>Defensive</v>
      </c>
    </row>
    <row r="2488" spans="2:40" x14ac:dyDescent="0.2">
      <c r="B2488" t="str">
        <f t="shared" si="256"/>
        <v/>
      </c>
      <c r="U2488" s="8">
        <f t="shared" si="252"/>
        <v>2</v>
      </c>
      <c r="AD2488" t="str">
        <f t="shared" si="251"/>
        <v>o</v>
      </c>
      <c r="AE2488" t="str">
        <f t="shared" si="255"/>
        <v/>
      </c>
      <c r="AF2488" t="str">
        <f t="shared" si="253"/>
        <v/>
      </c>
      <c r="AG2488" t="str">
        <f t="shared" si="254"/>
        <v/>
      </c>
      <c r="AN2488" t="str">
        <f t="shared" si="250"/>
        <v>Defensive</v>
      </c>
    </row>
    <row r="2489" spans="2:40" x14ac:dyDescent="0.2">
      <c r="B2489" t="str">
        <f t="shared" si="256"/>
        <v/>
      </c>
      <c r="U2489" s="8">
        <f t="shared" si="252"/>
        <v>2</v>
      </c>
      <c r="AD2489" t="str">
        <f t="shared" si="251"/>
        <v>o</v>
      </c>
      <c r="AE2489" t="str">
        <f t="shared" si="255"/>
        <v/>
      </c>
      <c r="AF2489" t="str">
        <f t="shared" si="253"/>
        <v/>
      </c>
      <c r="AG2489" t="str">
        <f t="shared" si="254"/>
        <v/>
      </c>
      <c r="AN2489" t="str">
        <f t="shared" ref="AN2489:AN2552" si="257">IF(AND(AD2489="e",OR(AE2489="Save",AF2489="Turnover_Takeaway",AF2489="Play_Defensive")),"Defensive",IF(AND(AD2489="o",OR(AE2489="Save",AF2489="Turnover_Takeaway",AF2489="Play_Defensive")),"Offensive",IF(OR(AE2489="Deadice",AE2489="Stoppage",AE2489="Intermission"),"",IF(AD2489="e","Offensive",IF(AD2489="o","Defensive","")))))</f>
        <v>Defensive</v>
      </c>
    </row>
    <row r="2490" spans="2:40" x14ac:dyDescent="0.2">
      <c r="B2490" t="str">
        <f t="shared" si="256"/>
        <v/>
      </c>
      <c r="U2490" s="8">
        <f t="shared" si="252"/>
        <v>2</v>
      </c>
      <c r="AD2490" t="str">
        <f t="shared" si="251"/>
        <v>o</v>
      </c>
      <c r="AE2490" t="str">
        <f t="shared" si="255"/>
        <v/>
      </c>
      <c r="AF2490" t="str">
        <f t="shared" si="253"/>
        <v/>
      </c>
      <c r="AG2490" t="str">
        <f t="shared" si="254"/>
        <v/>
      </c>
      <c r="AN2490" t="str">
        <f t="shared" si="257"/>
        <v>Defensive</v>
      </c>
    </row>
    <row r="2491" spans="2:40" x14ac:dyDescent="0.2">
      <c r="B2491" t="str">
        <f t="shared" si="256"/>
        <v/>
      </c>
      <c r="U2491" s="8">
        <f t="shared" si="252"/>
        <v>2</v>
      </c>
      <c r="AD2491" t="str">
        <f t="shared" si="251"/>
        <v>o</v>
      </c>
      <c r="AE2491" t="str">
        <f t="shared" si="255"/>
        <v/>
      </c>
      <c r="AF2491" t="str">
        <f t="shared" si="253"/>
        <v/>
      </c>
      <c r="AG2491" t="str">
        <f t="shared" si="254"/>
        <v/>
      </c>
      <c r="AN2491" t="str">
        <f t="shared" si="257"/>
        <v>Defensive</v>
      </c>
    </row>
    <row r="2492" spans="2:40" x14ac:dyDescent="0.2">
      <c r="B2492" t="str">
        <f t="shared" si="256"/>
        <v/>
      </c>
      <c r="U2492" s="8">
        <f t="shared" si="252"/>
        <v>2</v>
      </c>
      <c r="AD2492" t="str">
        <f t="shared" si="251"/>
        <v>o</v>
      </c>
      <c r="AE2492" t="str">
        <f t="shared" si="255"/>
        <v/>
      </c>
      <c r="AF2492" t="str">
        <f t="shared" si="253"/>
        <v/>
      </c>
      <c r="AG2492" t="str">
        <f t="shared" si="254"/>
        <v/>
      </c>
      <c r="AN2492" t="str">
        <f t="shared" si="257"/>
        <v>Defensive</v>
      </c>
    </row>
    <row r="2493" spans="2:40" x14ac:dyDescent="0.2">
      <c r="B2493" t="str">
        <f t="shared" si="256"/>
        <v/>
      </c>
      <c r="U2493" s="8">
        <f t="shared" si="252"/>
        <v>2</v>
      </c>
      <c r="AD2493" t="str">
        <f t="shared" si="251"/>
        <v>o</v>
      </c>
      <c r="AE2493" t="str">
        <f t="shared" si="255"/>
        <v/>
      </c>
      <c r="AF2493" t="str">
        <f t="shared" si="253"/>
        <v/>
      </c>
      <c r="AG2493" t="str">
        <f t="shared" si="254"/>
        <v/>
      </c>
      <c r="AN2493" t="str">
        <f t="shared" si="257"/>
        <v>Defensive</v>
      </c>
    </row>
    <row r="2494" spans="2:40" x14ac:dyDescent="0.2">
      <c r="B2494" t="str">
        <f t="shared" si="256"/>
        <v/>
      </c>
      <c r="U2494" s="8">
        <f t="shared" si="252"/>
        <v>2</v>
      </c>
      <c r="AD2494" t="str">
        <f t="shared" si="251"/>
        <v>o</v>
      </c>
      <c r="AE2494" t="str">
        <f t="shared" si="255"/>
        <v/>
      </c>
      <c r="AF2494" t="str">
        <f t="shared" si="253"/>
        <v/>
      </c>
      <c r="AG2494" t="str">
        <f t="shared" si="254"/>
        <v/>
      </c>
      <c r="AN2494" t="str">
        <f t="shared" si="257"/>
        <v>Defensive</v>
      </c>
    </row>
    <row r="2495" spans="2:40" x14ac:dyDescent="0.2">
      <c r="B2495" t="str">
        <f t="shared" si="256"/>
        <v/>
      </c>
      <c r="U2495" s="8">
        <f t="shared" si="252"/>
        <v>2</v>
      </c>
      <c r="AD2495" t="str">
        <f t="shared" si="251"/>
        <v>o</v>
      </c>
      <c r="AE2495" t="str">
        <f t="shared" si="255"/>
        <v/>
      </c>
      <c r="AF2495" t="str">
        <f t="shared" si="253"/>
        <v/>
      </c>
      <c r="AG2495" t="str">
        <f t="shared" si="254"/>
        <v/>
      </c>
      <c r="AN2495" t="str">
        <f t="shared" si="257"/>
        <v>Defensive</v>
      </c>
    </row>
    <row r="2496" spans="2:40" x14ac:dyDescent="0.2">
      <c r="B2496" t="str">
        <f t="shared" si="256"/>
        <v/>
      </c>
      <c r="U2496" s="8">
        <f t="shared" si="252"/>
        <v>2</v>
      </c>
      <c r="AD2496" t="str">
        <f t="shared" si="251"/>
        <v>o</v>
      </c>
      <c r="AE2496" t="str">
        <f t="shared" si="255"/>
        <v/>
      </c>
      <c r="AF2496" t="str">
        <f t="shared" si="253"/>
        <v/>
      </c>
      <c r="AG2496" t="str">
        <f t="shared" si="254"/>
        <v/>
      </c>
      <c r="AN2496" t="str">
        <f t="shared" si="257"/>
        <v>Defensive</v>
      </c>
    </row>
    <row r="2497" spans="2:40" x14ac:dyDescent="0.2">
      <c r="B2497" t="str">
        <f t="shared" si="256"/>
        <v/>
      </c>
      <c r="U2497" s="8">
        <f t="shared" si="252"/>
        <v>2</v>
      </c>
      <c r="AD2497" t="str">
        <f t="shared" si="251"/>
        <v>o</v>
      </c>
      <c r="AE2497" t="str">
        <f t="shared" si="255"/>
        <v/>
      </c>
      <c r="AF2497" t="str">
        <f t="shared" si="253"/>
        <v/>
      </c>
      <c r="AG2497" t="str">
        <f t="shared" si="254"/>
        <v/>
      </c>
      <c r="AN2497" t="str">
        <f t="shared" si="257"/>
        <v>Defensive</v>
      </c>
    </row>
    <row r="2498" spans="2:40" x14ac:dyDescent="0.2">
      <c r="B2498" t="str">
        <f t="shared" si="256"/>
        <v/>
      </c>
      <c r="U2498" s="8">
        <f t="shared" si="252"/>
        <v>2</v>
      </c>
      <c r="AD2498" t="str">
        <f t="shared" ref="AD2498:AD2561" si="258">IF(K2498="x","",IF(K2498=1,"e","o"))</f>
        <v>o</v>
      </c>
      <c r="AE2498" t="str">
        <f t="shared" si="255"/>
        <v/>
      </c>
      <c r="AF2498" t="str">
        <f t="shared" si="253"/>
        <v/>
      </c>
      <c r="AG2498" t="str">
        <f t="shared" si="254"/>
        <v/>
      </c>
      <c r="AN2498" t="str">
        <f t="shared" si="257"/>
        <v>Defensive</v>
      </c>
    </row>
    <row r="2499" spans="2:40" x14ac:dyDescent="0.2">
      <c r="B2499" t="str">
        <f t="shared" si="256"/>
        <v/>
      </c>
      <c r="U2499" s="8">
        <f t="shared" ref="U2499:U2562" si="259">IF(M2499="Intermission",U2498+1,U2498)</f>
        <v>2</v>
      </c>
      <c r="AD2499" t="str">
        <f t="shared" si="258"/>
        <v>o</v>
      </c>
      <c r="AE2499" t="str">
        <f t="shared" si="255"/>
        <v/>
      </c>
      <c r="AF2499" t="str">
        <f t="shared" ref="AF2499:AF2562" si="260">IF(N2499&lt;&gt;"",N2499,IF($A2499=$A2498,AF2498,""))</f>
        <v/>
      </c>
      <c r="AG2499" t="str">
        <f t="shared" ref="AG2499:AG2562" si="261">IF(O2499&lt;&gt;"",O2499,IF($A2499=$A2498,AG2498,""))</f>
        <v/>
      </c>
      <c r="AN2499" t="str">
        <f t="shared" si="257"/>
        <v>Defensive</v>
      </c>
    </row>
    <row r="2500" spans="2:40" x14ac:dyDescent="0.2">
      <c r="B2500" t="str">
        <f t="shared" si="256"/>
        <v/>
      </c>
      <c r="U2500" s="8">
        <f t="shared" si="259"/>
        <v>2</v>
      </c>
      <c r="AD2500" t="str">
        <f t="shared" si="258"/>
        <v>o</v>
      </c>
      <c r="AE2500" t="str">
        <f t="shared" ref="AE2500:AE2563" si="262">IF(M2500&lt;&gt;"",M2500,IF($A2500=$A2499,AE2499,""))</f>
        <v/>
      </c>
      <c r="AF2500" t="str">
        <f t="shared" si="260"/>
        <v/>
      </c>
      <c r="AG2500" t="str">
        <f t="shared" si="261"/>
        <v/>
      </c>
      <c r="AN2500" t="str">
        <f t="shared" si="257"/>
        <v>Defensive</v>
      </c>
    </row>
    <row r="2501" spans="2:40" x14ac:dyDescent="0.2">
      <c r="B2501" t="str">
        <f t="shared" si="256"/>
        <v/>
      </c>
      <c r="U2501" s="8">
        <f t="shared" si="259"/>
        <v>2</v>
      </c>
      <c r="AD2501" t="str">
        <f t="shared" si="258"/>
        <v>o</v>
      </c>
      <c r="AE2501" t="str">
        <f t="shared" si="262"/>
        <v/>
      </c>
      <c r="AF2501" t="str">
        <f t="shared" si="260"/>
        <v/>
      </c>
      <c r="AG2501" t="str">
        <f t="shared" si="261"/>
        <v/>
      </c>
      <c r="AN2501" t="str">
        <f t="shared" si="257"/>
        <v>Defensive</v>
      </c>
    </row>
    <row r="2502" spans="2:40" x14ac:dyDescent="0.2">
      <c r="B2502" t="str">
        <f t="shared" si="256"/>
        <v/>
      </c>
      <c r="U2502" s="8">
        <f t="shared" si="259"/>
        <v>2</v>
      </c>
      <c r="AD2502" t="str">
        <f t="shared" si="258"/>
        <v>o</v>
      </c>
      <c r="AE2502" t="str">
        <f t="shared" si="262"/>
        <v/>
      </c>
      <c r="AF2502" t="str">
        <f t="shared" si="260"/>
        <v/>
      </c>
      <c r="AG2502" t="str">
        <f t="shared" si="261"/>
        <v/>
      </c>
      <c r="AN2502" t="str">
        <f t="shared" si="257"/>
        <v>Defensive</v>
      </c>
    </row>
    <row r="2503" spans="2:40" x14ac:dyDescent="0.2">
      <c r="B2503" t="str">
        <f t="shared" si="256"/>
        <v/>
      </c>
      <c r="U2503" s="8">
        <f t="shared" si="259"/>
        <v>2</v>
      </c>
      <c r="AD2503" t="str">
        <f t="shared" si="258"/>
        <v>o</v>
      </c>
      <c r="AE2503" t="str">
        <f t="shared" si="262"/>
        <v/>
      </c>
      <c r="AF2503" t="str">
        <f t="shared" si="260"/>
        <v/>
      </c>
      <c r="AG2503" t="str">
        <f t="shared" si="261"/>
        <v/>
      </c>
      <c r="AN2503" t="str">
        <f t="shared" si="257"/>
        <v>Defensive</v>
      </c>
    </row>
    <row r="2504" spans="2:40" x14ac:dyDescent="0.2">
      <c r="B2504" t="str">
        <f t="shared" si="256"/>
        <v/>
      </c>
      <c r="U2504" s="8">
        <f t="shared" si="259"/>
        <v>2</v>
      </c>
      <c r="AD2504" t="str">
        <f t="shared" si="258"/>
        <v>o</v>
      </c>
      <c r="AE2504" t="str">
        <f t="shared" si="262"/>
        <v/>
      </c>
      <c r="AF2504" t="str">
        <f t="shared" si="260"/>
        <v/>
      </c>
      <c r="AG2504" t="str">
        <f t="shared" si="261"/>
        <v/>
      </c>
      <c r="AN2504" t="str">
        <f t="shared" si="257"/>
        <v>Defensive</v>
      </c>
    </row>
    <row r="2505" spans="2:40" x14ac:dyDescent="0.2">
      <c r="B2505" t="str">
        <f t="shared" si="256"/>
        <v/>
      </c>
      <c r="U2505" s="8">
        <f t="shared" si="259"/>
        <v>2</v>
      </c>
      <c r="AD2505" t="str">
        <f t="shared" si="258"/>
        <v>o</v>
      </c>
      <c r="AE2505" t="str">
        <f t="shared" si="262"/>
        <v/>
      </c>
      <c r="AF2505" t="str">
        <f t="shared" si="260"/>
        <v/>
      </c>
      <c r="AG2505" t="str">
        <f t="shared" si="261"/>
        <v/>
      </c>
      <c r="AN2505" t="str">
        <f t="shared" si="257"/>
        <v>Defensive</v>
      </c>
    </row>
    <row r="2506" spans="2:40" x14ac:dyDescent="0.2">
      <c r="B2506" t="str">
        <f t="shared" si="256"/>
        <v/>
      </c>
      <c r="U2506" s="8">
        <f t="shared" si="259"/>
        <v>2</v>
      </c>
      <c r="AD2506" t="str">
        <f t="shared" si="258"/>
        <v>o</v>
      </c>
      <c r="AE2506" t="str">
        <f t="shared" si="262"/>
        <v/>
      </c>
      <c r="AF2506" t="str">
        <f t="shared" si="260"/>
        <v/>
      </c>
      <c r="AG2506" t="str">
        <f t="shared" si="261"/>
        <v/>
      </c>
      <c r="AN2506" t="str">
        <f t="shared" si="257"/>
        <v>Defensive</v>
      </c>
    </row>
    <row r="2507" spans="2:40" x14ac:dyDescent="0.2">
      <c r="B2507" t="str">
        <f t="shared" si="256"/>
        <v/>
      </c>
      <c r="U2507" s="8">
        <f t="shared" si="259"/>
        <v>2</v>
      </c>
      <c r="AD2507" t="str">
        <f t="shared" si="258"/>
        <v>o</v>
      </c>
      <c r="AE2507" t="str">
        <f t="shared" si="262"/>
        <v/>
      </c>
      <c r="AF2507" t="str">
        <f t="shared" si="260"/>
        <v/>
      </c>
      <c r="AG2507" t="str">
        <f t="shared" si="261"/>
        <v/>
      </c>
      <c r="AN2507" t="str">
        <f t="shared" si="257"/>
        <v>Defensive</v>
      </c>
    </row>
    <row r="2508" spans="2:40" x14ac:dyDescent="0.2">
      <c r="B2508" t="str">
        <f t="shared" si="256"/>
        <v/>
      </c>
      <c r="U2508" s="8">
        <f t="shared" si="259"/>
        <v>2</v>
      </c>
      <c r="AD2508" t="str">
        <f t="shared" si="258"/>
        <v>o</v>
      </c>
      <c r="AE2508" t="str">
        <f t="shared" si="262"/>
        <v/>
      </c>
      <c r="AF2508" t="str">
        <f t="shared" si="260"/>
        <v/>
      </c>
      <c r="AG2508" t="str">
        <f t="shared" si="261"/>
        <v/>
      </c>
      <c r="AN2508" t="str">
        <f t="shared" si="257"/>
        <v>Defensive</v>
      </c>
    </row>
    <row r="2509" spans="2:40" x14ac:dyDescent="0.2">
      <c r="B2509" t="str">
        <f t="shared" si="256"/>
        <v/>
      </c>
      <c r="U2509" s="8">
        <f t="shared" si="259"/>
        <v>2</v>
      </c>
      <c r="AD2509" t="str">
        <f t="shared" si="258"/>
        <v>o</v>
      </c>
      <c r="AE2509" t="str">
        <f t="shared" si="262"/>
        <v/>
      </c>
      <c r="AF2509" t="str">
        <f t="shared" si="260"/>
        <v/>
      </c>
      <c r="AG2509" t="str">
        <f t="shared" si="261"/>
        <v/>
      </c>
      <c r="AN2509" t="str">
        <f t="shared" si="257"/>
        <v>Defensive</v>
      </c>
    </row>
    <row r="2510" spans="2:40" x14ac:dyDescent="0.2">
      <c r="B2510" t="str">
        <f t="shared" si="256"/>
        <v/>
      </c>
      <c r="U2510" s="8">
        <f t="shared" si="259"/>
        <v>2</v>
      </c>
      <c r="AD2510" t="str">
        <f t="shared" si="258"/>
        <v>o</v>
      </c>
      <c r="AE2510" t="str">
        <f t="shared" si="262"/>
        <v/>
      </c>
      <c r="AF2510" t="str">
        <f t="shared" si="260"/>
        <v/>
      </c>
      <c r="AG2510" t="str">
        <f t="shared" si="261"/>
        <v/>
      </c>
      <c r="AN2510" t="str">
        <f t="shared" si="257"/>
        <v>Defensive</v>
      </c>
    </row>
    <row r="2511" spans="2:40" x14ac:dyDescent="0.2">
      <c r="B2511" t="str">
        <f t="shared" si="256"/>
        <v/>
      </c>
      <c r="U2511" s="8">
        <f t="shared" si="259"/>
        <v>2</v>
      </c>
      <c r="AD2511" t="str">
        <f t="shared" si="258"/>
        <v>o</v>
      </c>
      <c r="AE2511" t="str">
        <f t="shared" si="262"/>
        <v/>
      </c>
      <c r="AF2511" t="str">
        <f t="shared" si="260"/>
        <v/>
      </c>
      <c r="AG2511" t="str">
        <f t="shared" si="261"/>
        <v/>
      </c>
      <c r="AN2511" t="str">
        <f t="shared" si="257"/>
        <v>Defensive</v>
      </c>
    </row>
    <row r="2512" spans="2:40" x14ac:dyDescent="0.2">
      <c r="B2512" t="str">
        <f t="shared" si="256"/>
        <v/>
      </c>
      <c r="U2512" s="8">
        <f t="shared" si="259"/>
        <v>2</v>
      </c>
      <c r="AD2512" t="str">
        <f t="shared" si="258"/>
        <v>o</v>
      </c>
      <c r="AE2512" t="str">
        <f t="shared" si="262"/>
        <v/>
      </c>
      <c r="AF2512" t="str">
        <f t="shared" si="260"/>
        <v/>
      </c>
      <c r="AG2512" t="str">
        <f t="shared" si="261"/>
        <v/>
      </c>
      <c r="AN2512" t="str">
        <f t="shared" si="257"/>
        <v>Defensive</v>
      </c>
    </row>
    <row r="2513" spans="2:40" x14ac:dyDescent="0.2">
      <c r="B2513" t="str">
        <f t="shared" si="256"/>
        <v/>
      </c>
      <c r="U2513" s="8">
        <f t="shared" si="259"/>
        <v>2</v>
      </c>
      <c r="AD2513" t="str">
        <f t="shared" si="258"/>
        <v>o</v>
      </c>
      <c r="AE2513" t="str">
        <f t="shared" si="262"/>
        <v/>
      </c>
      <c r="AF2513" t="str">
        <f t="shared" si="260"/>
        <v/>
      </c>
      <c r="AG2513" t="str">
        <f t="shared" si="261"/>
        <v/>
      </c>
      <c r="AN2513" t="str">
        <f t="shared" si="257"/>
        <v>Defensive</v>
      </c>
    </row>
    <row r="2514" spans="2:40" x14ac:dyDescent="0.2">
      <c r="B2514" t="str">
        <f t="shared" si="256"/>
        <v/>
      </c>
      <c r="U2514" s="8">
        <f t="shared" si="259"/>
        <v>2</v>
      </c>
      <c r="AD2514" t="str">
        <f t="shared" si="258"/>
        <v>o</v>
      </c>
      <c r="AE2514" t="str">
        <f t="shared" si="262"/>
        <v/>
      </c>
      <c r="AF2514" t="str">
        <f t="shared" si="260"/>
        <v/>
      </c>
      <c r="AG2514" t="str">
        <f t="shared" si="261"/>
        <v/>
      </c>
      <c r="AN2514" t="str">
        <f t="shared" si="257"/>
        <v>Defensive</v>
      </c>
    </row>
    <row r="2515" spans="2:40" x14ac:dyDescent="0.2">
      <c r="B2515" t="str">
        <f t="shared" si="256"/>
        <v/>
      </c>
      <c r="U2515" s="8">
        <f t="shared" si="259"/>
        <v>2</v>
      </c>
      <c r="AD2515" t="str">
        <f t="shared" si="258"/>
        <v>o</v>
      </c>
      <c r="AE2515" t="str">
        <f t="shared" si="262"/>
        <v/>
      </c>
      <c r="AF2515" t="str">
        <f t="shared" si="260"/>
        <v/>
      </c>
      <c r="AG2515" t="str">
        <f t="shared" si="261"/>
        <v/>
      </c>
      <c r="AN2515" t="str">
        <f t="shared" si="257"/>
        <v>Defensive</v>
      </c>
    </row>
    <row r="2516" spans="2:40" x14ac:dyDescent="0.2">
      <c r="B2516" t="str">
        <f t="shared" si="256"/>
        <v/>
      </c>
      <c r="U2516" s="8">
        <f t="shared" si="259"/>
        <v>2</v>
      </c>
      <c r="AD2516" t="str">
        <f t="shared" si="258"/>
        <v>o</v>
      </c>
      <c r="AE2516" t="str">
        <f t="shared" si="262"/>
        <v/>
      </c>
      <c r="AF2516" t="str">
        <f t="shared" si="260"/>
        <v/>
      </c>
      <c r="AG2516" t="str">
        <f t="shared" si="261"/>
        <v/>
      </c>
      <c r="AN2516" t="str">
        <f t="shared" si="257"/>
        <v>Defensive</v>
      </c>
    </row>
    <row r="2517" spans="2:40" x14ac:dyDescent="0.2">
      <c r="B2517" t="str">
        <f t="shared" si="256"/>
        <v/>
      </c>
      <c r="U2517" s="8">
        <f t="shared" si="259"/>
        <v>2</v>
      </c>
      <c r="AD2517" t="str">
        <f t="shared" si="258"/>
        <v>o</v>
      </c>
      <c r="AE2517" t="str">
        <f t="shared" si="262"/>
        <v/>
      </c>
      <c r="AF2517" t="str">
        <f t="shared" si="260"/>
        <v/>
      </c>
      <c r="AG2517" t="str">
        <f t="shared" si="261"/>
        <v/>
      </c>
      <c r="AN2517" t="str">
        <f t="shared" si="257"/>
        <v>Defensive</v>
      </c>
    </row>
    <row r="2518" spans="2:40" x14ac:dyDescent="0.2">
      <c r="B2518" t="str">
        <f t="shared" si="256"/>
        <v/>
      </c>
      <c r="U2518" s="8">
        <f t="shared" si="259"/>
        <v>2</v>
      </c>
      <c r="AD2518" t="str">
        <f t="shared" si="258"/>
        <v>o</v>
      </c>
      <c r="AE2518" t="str">
        <f t="shared" si="262"/>
        <v/>
      </c>
      <c r="AF2518" t="str">
        <f t="shared" si="260"/>
        <v/>
      </c>
      <c r="AG2518" t="str">
        <f t="shared" si="261"/>
        <v/>
      </c>
      <c r="AN2518" t="str">
        <f t="shared" si="257"/>
        <v>Defensive</v>
      </c>
    </row>
    <row r="2519" spans="2:40" x14ac:dyDescent="0.2">
      <c r="B2519" t="str">
        <f t="shared" si="256"/>
        <v/>
      </c>
      <c r="U2519" s="8">
        <f t="shared" si="259"/>
        <v>2</v>
      </c>
      <c r="AD2519" t="str">
        <f t="shared" si="258"/>
        <v>o</v>
      </c>
      <c r="AE2519" t="str">
        <f t="shared" si="262"/>
        <v/>
      </c>
      <c r="AF2519" t="str">
        <f t="shared" si="260"/>
        <v/>
      </c>
      <c r="AG2519" t="str">
        <f t="shared" si="261"/>
        <v/>
      </c>
      <c r="AN2519" t="str">
        <f t="shared" si="257"/>
        <v>Defensive</v>
      </c>
    </row>
    <row r="2520" spans="2:40" x14ac:dyDescent="0.2">
      <c r="B2520" t="str">
        <f t="shared" si="256"/>
        <v/>
      </c>
      <c r="U2520" s="8">
        <f t="shared" si="259"/>
        <v>2</v>
      </c>
      <c r="AD2520" t="str">
        <f t="shared" si="258"/>
        <v>o</v>
      </c>
      <c r="AE2520" t="str">
        <f t="shared" si="262"/>
        <v/>
      </c>
      <c r="AF2520" t="str">
        <f t="shared" si="260"/>
        <v/>
      </c>
      <c r="AG2520" t="str">
        <f t="shared" si="261"/>
        <v/>
      </c>
      <c r="AN2520" t="str">
        <f t="shared" si="257"/>
        <v>Defensive</v>
      </c>
    </row>
    <row r="2521" spans="2:40" x14ac:dyDescent="0.2">
      <c r="B2521" t="str">
        <f t="shared" si="256"/>
        <v/>
      </c>
      <c r="U2521" s="8">
        <f t="shared" si="259"/>
        <v>2</v>
      </c>
      <c r="AD2521" t="str">
        <f t="shared" si="258"/>
        <v>o</v>
      </c>
      <c r="AE2521" t="str">
        <f t="shared" si="262"/>
        <v/>
      </c>
      <c r="AF2521" t="str">
        <f t="shared" si="260"/>
        <v/>
      </c>
      <c r="AG2521" t="str">
        <f t="shared" si="261"/>
        <v/>
      </c>
      <c r="AN2521" t="str">
        <f t="shared" si="257"/>
        <v>Defensive</v>
      </c>
    </row>
    <row r="2522" spans="2:40" x14ac:dyDescent="0.2">
      <c r="B2522" t="str">
        <f t="shared" si="256"/>
        <v/>
      </c>
      <c r="U2522" s="8">
        <f t="shared" si="259"/>
        <v>2</v>
      </c>
      <c r="AD2522" t="str">
        <f t="shared" si="258"/>
        <v>o</v>
      </c>
      <c r="AE2522" t="str">
        <f t="shared" si="262"/>
        <v/>
      </c>
      <c r="AF2522" t="str">
        <f t="shared" si="260"/>
        <v/>
      </c>
      <c r="AG2522" t="str">
        <f t="shared" si="261"/>
        <v/>
      </c>
      <c r="AN2522" t="str">
        <f t="shared" si="257"/>
        <v>Defensive</v>
      </c>
    </row>
    <row r="2523" spans="2:40" x14ac:dyDescent="0.2">
      <c r="B2523" t="str">
        <f t="shared" si="256"/>
        <v/>
      </c>
      <c r="U2523" s="8">
        <f t="shared" si="259"/>
        <v>2</v>
      </c>
      <c r="AD2523" t="str">
        <f t="shared" si="258"/>
        <v>o</v>
      </c>
      <c r="AE2523" t="str">
        <f t="shared" si="262"/>
        <v/>
      </c>
      <c r="AF2523" t="str">
        <f t="shared" si="260"/>
        <v/>
      </c>
      <c r="AG2523" t="str">
        <f t="shared" si="261"/>
        <v/>
      </c>
      <c r="AN2523" t="str">
        <f t="shared" si="257"/>
        <v>Defensive</v>
      </c>
    </row>
    <row r="2524" spans="2:40" x14ac:dyDescent="0.2">
      <c r="B2524" t="str">
        <f t="shared" si="256"/>
        <v/>
      </c>
      <c r="U2524" s="8">
        <f t="shared" si="259"/>
        <v>2</v>
      </c>
      <c r="AD2524" t="str">
        <f t="shared" si="258"/>
        <v>o</v>
      </c>
      <c r="AE2524" t="str">
        <f t="shared" si="262"/>
        <v/>
      </c>
      <c r="AF2524" t="str">
        <f t="shared" si="260"/>
        <v/>
      </c>
      <c r="AG2524" t="str">
        <f t="shared" si="261"/>
        <v/>
      </c>
      <c r="AN2524" t="str">
        <f t="shared" si="257"/>
        <v>Defensive</v>
      </c>
    </row>
    <row r="2525" spans="2:40" x14ac:dyDescent="0.2">
      <c r="B2525" t="str">
        <f t="shared" si="256"/>
        <v/>
      </c>
      <c r="U2525" s="8">
        <f t="shared" si="259"/>
        <v>2</v>
      </c>
      <c r="AD2525" t="str">
        <f t="shared" si="258"/>
        <v>o</v>
      </c>
      <c r="AE2525" t="str">
        <f t="shared" si="262"/>
        <v/>
      </c>
      <c r="AF2525" t="str">
        <f t="shared" si="260"/>
        <v/>
      </c>
      <c r="AG2525" t="str">
        <f t="shared" si="261"/>
        <v/>
      </c>
      <c r="AN2525" t="str">
        <f t="shared" si="257"/>
        <v>Defensive</v>
      </c>
    </row>
    <row r="2526" spans="2:40" x14ac:dyDescent="0.2">
      <c r="B2526" t="str">
        <f t="shared" si="256"/>
        <v/>
      </c>
      <c r="U2526" s="8">
        <f t="shared" si="259"/>
        <v>2</v>
      </c>
      <c r="AD2526" t="str">
        <f t="shared" si="258"/>
        <v>o</v>
      </c>
      <c r="AE2526" t="str">
        <f t="shared" si="262"/>
        <v/>
      </c>
      <c r="AF2526" t="str">
        <f t="shared" si="260"/>
        <v/>
      </c>
      <c r="AG2526" t="str">
        <f t="shared" si="261"/>
        <v/>
      </c>
      <c r="AN2526" t="str">
        <f t="shared" si="257"/>
        <v>Defensive</v>
      </c>
    </row>
    <row r="2527" spans="2:40" x14ac:dyDescent="0.2">
      <c r="B2527" t="str">
        <f t="shared" si="256"/>
        <v/>
      </c>
      <c r="U2527" s="8">
        <f t="shared" si="259"/>
        <v>2</v>
      </c>
      <c r="AD2527" t="str">
        <f t="shared" si="258"/>
        <v>o</v>
      </c>
      <c r="AE2527" t="str">
        <f t="shared" si="262"/>
        <v/>
      </c>
      <c r="AF2527" t="str">
        <f t="shared" si="260"/>
        <v/>
      </c>
      <c r="AG2527" t="str">
        <f t="shared" si="261"/>
        <v/>
      </c>
      <c r="AN2527" t="str">
        <f t="shared" si="257"/>
        <v>Defensive</v>
      </c>
    </row>
    <row r="2528" spans="2:40" x14ac:dyDescent="0.2">
      <c r="B2528" t="str">
        <f t="shared" si="256"/>
        <v/>
      </c>
      <c r="U2528" s="8">
        <f t="shared" si="259"/>
        <v>2</v>
      </c>
      <c r="AD2528" t="str">
        <f t="shared" si="258"/>
        <v>o</v>
      </c>
      <c r="AE2528" t="str">
        <f t="shared" si="262"/>
        <v/>
      </c>
      <c r="AF2528" t="str">
        <f t="shared" si="260"/>
        <v/>
      </c>
      <c r="AG2528" t="str">
        <f t="shared" si="261"/>
        <v/>
      </c>
      <c r="AN2528" t="str">
        <f t="shared" si="257"/>
        <v>Defensive</v>
      </c>
    </row>
    <row r="2529" spans="2:40" x14ac:dyDescent="0.2">
      <c r="B2529" t="str">
        <f t="shared" si="256"/>
        <v/>
      </c>
      <c r="U2529" s="8">
        <f t="shared" si="259"/>
        <v>2</v>
      </c>
      <c r="AD2529" t="str">
        <f t="shared" si="258"/>
        <v>o</v>
      </c>
      <c r="AE2529" t="str">
        <f t="shared" si="262"/>
        <v/>
      </c>
      <c r="AF2529" t="str">
        <f t="shared" si="260"/>
        <v/>
      </c>
      <c r="AG2529" t="str">
        <f t="shared" si="261"/>
        <v/>
      </c>
      <c r="AN2529" t="str">
        <f t="shared" si="257"/>
        <v>Defensive</v>
      </c>
    </row>
    <row r="2530" spans="2:40" x14ac:dyDescent="0.2">
      <c r="B2530" t="str">
        <f t="shared" si="256"/>
        <v/>
      </c>
      <c r="U2530" s="8">
        <f t="shared" si="259"/>
        <v>2</v>
      </c>
      <c r="AD2530" t="str">
        <f t="shared" si="258"/>
        <v>o</v>
      </c>
      <c r="AE2530" t="str">
        <f t="shared" si="262"/>
        <v/>
      </c>
      <c r="AF2530" t="str">
        <f t="shared" si="260"/>
        <v/>
      </c>
      <c r="AG2530" t="str">
        <f t="shared" si="261"/>
        <v/>
      </c>
      <c r="AN2530" t="str">
        <f t="shared" si="257"/>
        <v>Defensive</v>
      </c>
    </row>
    <row r="2531" spans="2:40" x14ac:dyDescent="0.2">
      <c r="B2531" t="str">
        <f t="shared" si="256"/>
        <v/>
      </c>
      <c r="U2531" s="8">
        <f t="shared" si="259"/>
        <v>2</v>
      </c>
      <c r="AD2531" t="str">
        <f t="shared" si="258"/>
        <v>o</v>
      </c>
      <c r="AE2531" t="str">
        <f t="shared" si="262"/>
        <v/>
      </c>
      <c r="AF2531" t="str">
        <f t="shared" si="260"/>
        <v/>
      </c>
      <c r="AG2531" t="str">
        <f t="shared" si="261"/>
        <v/>
      </c>
      <c r="AN2531" t="str">
        <f t="shared" si="257"/>
        <v>Defensive</v>
      </c>
    </row>
    <row r="2532" spans="2:40" x14ac:dyDescent="0.2">
      <c r="B2532" t="str">
        <f t="shared" si="256"/>
        <v/>
      </c>
      <c r="U2532" s="8">
        <f t="shared" si="259"/>
        <v>2</v>
      </c>
      <c r="AD2532" t="str">
        <f t="shared" si="258"/>
        <v>o</v>
      </c>
      <c r="AE2532" t="str">
        <f t="shared" si="262"/>
        <v/>
      </c>
      <c r="AF2532" t="str">
        <f t="shared" si="260"/>
        <v/>
      </c>
      <c r="AG2532" t="str">
        <f t="shared" si="261"/>
        <v/>
      </c>
      <c r="AN2532" t="str">
        <f t="shared" si="257"/>
        <v>Defensive</v>
      </c>
    </row>
    <row r="2533" spans="2:40" x14ac:dyDescent="0.2">
      <c r="B2533" t="str">
        <f t="shared" si="256"/>
        <v/>
      </c>
      <c r="U2533" s="8">
        <f t="shared" si="259"/>
        <v>2</v>
      </c>
      <c r="AD2533" t="str">
        <f t="shared" si="258"/>
        <v>o</v>
      </c>
      <c r="AE2533" t="str">
        <f t="shared" si="262"/>
        <v/>
      </c>
      <c r="AF2533" t="str">
        <f t="shared" si="260"/>
        <v/>
      </c>
      <c r="AG2533" t="str">
        <f t="shared" si="261"/>
        <v/>
      </c>
      <c r="AN2533" t="str">
        <f t="shared" si="257"/>
        <v>Defensive</v>
      </c>
    </row>
    <row r="2534" spans="2:40" x14ac:dyDescent="0.2">
      <c r="B2534" t="str">
        <f t="shared" si="256"/>
        <v/>
      </c>
      <c r="U2534" s="8">
        <f t="shared" si="259"/>
        <v>2</v>
      </c>
      <c r="AD2534" t="str">
        <f t="shared" si="258"/>
        <v>o</v>
      </c>
      <c r="AE2534" t="str">
        <f t="shared" si="262"/>
        <v/>
      </c>
      <c r="AF2534" t="str">
        <f t="shared" si="260"/>
        <v/>
      </c>
      <c r="AG2534" t="str">
        <f t="shared" si="261"/>
        <v/>
      </c>
      <c r="AN2534" t="str">
        <f t="shared" si="257"/>
        <v>Defensive</v>
      </c>
    </row>
    <row r="2535" spans="2:40" x14ac:dyDescent="0.2">
      <c r="B2535" t="str">
        <f t="shared" si="256"/>
        <v/>
      </c>
      <c r="U2535" s="8">
        <f t="shared" si="259"/>
        <v>2</v>
      </c>
      <c r="AD2535" t="str">
        <f t="shared" si="258"/>
        <v>o</v>
      </c>
      <c r="AE2535" t="str">
        <f t="shared" si="262"/>
        <v/>
      </c>
      <c r="AF2535" t="str">
        <f t="shared" si="260"/>
        <v/>
      </c>
      <c r="AG2535" t="str">
        <f t="shared" si="261"/>
        <v/>
      </c>
      <c r="AN2535" t="str">
        <f t="shared" si="257"/>
        <v>Defensive</v>
      </c>
    </row>
    <row r="2536" spans="2:40" x14ac:dyDescent="0.2">
      <c r="B2536" t="str">
        <f t="shared" si="256"/>
        <v/>
      </c>
      <c r="U2536" s="8">
        <f t="shared" si="259"/>
        <v>2</v>
      </c>
      <c r="AD2536" t="str">
        <f t="shared" si="258"/>
        <v>o</v>
      </c>
      <c r="AE2536" t="str">
        <f t="shared" si="262"/>
        <v/>
      </c>
      <c r="AF2536" t="str">
        <f t="shared" si="260"/>
        <v/>
      </c>
      <c r="AG2536" t="str">
        <f t="shared" si="261"/>
        <v/>
      </c>
      <c r="AN2536" t="str">
        <f t="shared" si="257"/>
        <v>Defensive</v>
      </c>
    </row>
    <row r="2537" spans="2:40" x14ac:dyDescent="0.2">
      <c r="B2537" t="str">
        <f t="shared" si="256"/>
        <v/>
      </c>
      <c r="U2537" s="8">
        <f t="shared" si="259"/>
        <v>2</v>
      </c>
      <c r="AD2537" t="str">
        <f t="shared" si="258"/>
        <v>o</v>
      </c>
      <c r="AE2537" t="str">
        <f t="shared" si="262"/>
        <v/>
      </c>
      <c r="AF2537" t="str">
        <f t="shared" si="260"/>
        <v/>
      </c>
      <c r="AG2537" t="str">
        <f t="shared" si="261"/>
        <v/>
      </c>
      <c r="AN2537" t="str">
        <f t="shared" si="257"/>
        <v>Defensive</v>
      </c>
    </row>
    <row r="2538" spans="2:40" x14ac:dyDescent="0.2">
      <c r="B2538" t="str">
        <f t="shared" si="256"/>
        <v/>
      </c>
      <c r="U2538" s="8">
        <f t="shared" si="259"/>
        <v>2</v>
      </c>
      <c r="AD2538" t="str">
        <f t="shared" si="258"/>
        <v>o</v>
      </c>
      <c r="AE2538" t="str">
        <f t="shared" si="262"/>
        <v/>
      </c>
      <c r="AF2538" t="str">
        <f t="shared" si="260"/>
        <v/>
      </c>
      <c r="AG2538" t="str">
        <f t="shared" si="261"/>
        <v/>
      </c>
      <c r="AN2538" t="str">
        <f t="shared" si="257"/>
        <v>Defensive</v>
      </c>
    </row>
    <row r="2539" spans="2:40" x14ac:dyDescent="0.2">
      <c r="B2539" t="str">
        <f t="shared" si="256"/>
        <v/>
      </c>
      <c r="U2539" s="8">
        <f t="shared" si="259"/>
        <v>2</v>
      </c>
      <c r="AD2539" t="str">
        <f t="shared" si="258"/>
        <v>o</v>
      </c>
      <c r="AE2539" t="str">
        <f t="shared" si="262"/>
        <v/>
      </c>
      <c r="AF2539" t="str">
        <f t="shared" si="260"/>
        <v/>
      </c>
      <c r="AG2539" t="str">
        <f t="shared" si="261"/>
        <v/>
      </c>
      <c r="AN2539" t="str">
        <f t="shared" si="257"/>
        <v>Defensive</v>
      </c>
    </row>
    <row r="2540" spans="2:40" x14ac:dyDescent="0.2">
      <c r="B2540" t="str">
        <f t="shared" si="256"/>
        <v/>
      </c>
      <c r="U2540" s="8">
        <f t="shared" si="259"/>
        <v>2</v>
      </c>
      <c r="AD2540" t="str">
        <f t="shared" si="258"/>
        <v>o</v>
      </c>
      <c r="AE2540" t="str">
        <f t="shared" si="262"/>
        <v/>
      </c>
      <c r="AF2540" t="str">
        <f t="shared" si="260"/>
        <v/>
      </c>
      <c r="AG2540" t="str">
        <f t="shared" si="261"/>
        <v/>
      </c>
      <c r="AN2540" t="str">
        <f t="shared" si="257"/>
        <v>Defensive</v>
      </c>
    </row>
    <row r="2541" spans="2:40" x14ac:dyDescent="0.2">
      <c r="B2541" t="str">
        <f t="shared" si="256"/>
        <v/>
      </c>
      <c r="U2541" s="8">
        <f t="shared" si="259"/>
        <v>2</v>
      </c>
      <c r="AD2541" t="str">
        <f t="shared" si="258"/>
        <v>o</v>
      </c>
      <c r="AE2541" t="str">
        <f t="shared" si="262"/>
        <v/>
      </c>
      <c r="AF2541" t="str">
        <f t="shared" si="260"/>
        <v/>
      </c>
      <c r="AG2541" t="str">
        <f t="shared" si="261"/>
        <v/>
      </c>
      <c r="AN2541" t="str">
        <f t="shared" si="257"/>
        <v>Defensive</v>
      </c>
    </row>
    <row r="2542" spans="2:40" x14ac:dyDescent="0.2">
      <c r="B2542" t="str">
        <f t="shared" si="256"/>
        <v/>
      </c>
      <c r="U2542" s="8">
        <f t="shared" si="259"/>
        <v>2</v>
      </c>
      <c r="AD2542" t="str">
        <f t="shared" si="258"/>
        <v>o</v>
      </c>
      <c r="AE2542" t="str">
        <f t="shared" si="262"/>
        <v/>
      </c>
      <c r="AF2542" t="str">
        <f t="shared" si="260"/>
        <v/>
      </c>
      <c r="AG2542" t="str">
        <f t="shared" si="261"/>
        <v/>
      </c>
      <c r="AN2542" t="str">
        <f t="shared" si="257"/>
        <v>Defensive</v>
      </c>
    </row>
    <row r="2543" spans="2:40" x14ac:dyDescent="0.2">
      <c r="B2543" t="str">
        <f t="shared" si="256"/>
        <v/>
      </c>
      <c r="U2543" s="8">
        <f t="shared" si="259"/>
        <v>2</v>
      </c>
      <c r="AD2543" t="str">
        <f t="shared" si="258"/>
        <v>o</v>
      </c>
      <c r="AE2543" t="str">
        <f t="shared" si="262"/>
        <v/>
      </c>
      <c r="AF2543" t="str">
        <f t="shared" si="260"/>
        <v/>
      </c>
      <c r="AG2543" t="str">
        <f t="shared" si="261"/>
        <v/>
      </c>
      <c r="AN2543" t="str">
        <f t="shared" si="257"/>
        <v>Defensive</v>
      </c>
    </row>
    <row r="2544" spans="2:40" x14ac:dyDescent="0.2">
      <c r="B2544" t="str">
        <f t="shared" ref="B2544:B2607" si="263">IF(A2544=A2543,B2543,"")</f>
        <v/>
      </c>
      <c r="U2544" s="8">
        <f t="shared" si="259"/>
        <v>2</v>
      </c>
      <c r="AD2544" t="str">
        <f t="shared" si="258"/>
        <v>o</v>
      </c>
      <c r="AE2544" t="str">
        <f t="shared" si="262"/>
        <v/>
      </c>
      <c r="AF2544" t="str">
        <f t="shared" si="260"/>
        <v/>
      </c>
      <c r="AG2544" t="str">
        <f t="shared" si="261"/>
        <v/>
      </c>
      <c r="AN2544" t="str">
        <f t="shared" si="257"/>
        <v>Defensive</v>
      </c>
    </row>
    <row r="2545" spans="2:40" x14ac:dyDescent="0.2">
      <c r="B2545" t="str">
        <f t="shared" si="263"/>
        <v/>
      </c>
      <c r="U2545" s="8">
        <f t="shared" si="259"/>
        <v>2</v>
      </c>
      <c r="AD2545" t="str">
        <f t="shared" si="258"/>
        <v>o</v>
      </c>
      <c r="AE2545" t="str">
        <f t="shared" si="262"/>
        <v/>
      </c>
      <c r="AF2545" t="str">
        <f t="shared" si="260"/>
        <v/>
      </c>
      <c r="AG2545" t="str">
        <f t="shared" si="261"/>
        <v/>
      </c>
      <c r="AN2545" t="str">
        <f t="shared" si="257"/>
        <v>Defensive</v>
      </c>
    </row>
    <row r="2546" spans="2:40" x14ac:dyDescent="0.2">
      <c r="B2546" t="str">
        <f t="shared" si="263"/>
        <v/>
      </c>
      <c r="U2546" s="8">
        <f t="shared" si="259"/>
        <v>2</v>
      </c>
      <c r="AD2546" t="str">
        <f t="shared" si="258"/>
        <v>o</v>
      </c>
      <c r="AE2546" t="str">
        <f t="shared" si="262"/>
        <v/>
      </c>
      <c r="AF2546" t="str">
        <f t="shared" si="260"/>
        <v/>
      </c>
      <c r="AG2546" t="str">
        <f t="shared" si="261"/>
        <v/>
      </c>
      <c r="AN2546" t="str">
        <f t="shared" si="257"/>
        <v>Defensive</v>
      </c>
    </row>
    <row r="2547" spans="2:40" x14ac:dyDescent="0.2">
      <c r="B2547" t="str">
        <f t="shared" si="263"/>
        <v/>
      </c>
      <c r="U2547" s="8">
        <f t="shared" si="259"/>
        <v>2</v>
      </c>
      <c r="AD2547" t="str">
        <f t="shared" si="258"/>
        <v>o</v>
      </c>
      <c r="AE2547" t="str">
        <f t="shared" si="262"/>
        <v/>
      </c>
      <c r="AF2547" t="str">
        <f t="shared" si="260"/>
        <v/>
      </c>
      <c r="AG2547" t="str">
        <f t="shared" si="261"/>
        <v/>
      </c>
      <c r="AN2547" t="str">
        <f t="shared" si="257"/>
        <v>Defensive</v>
      </c>
    </row>
    <row r="2548" spans="2:40" x14ac:dyDescent="0.2">
      <c r="B2548" t="str">
        <f t="shared" si="263"/>
        <v/>
      </c>
      <c r="U2548" s="8">
        <f t="shared" si="259"/>
        <v>2</v>
      </c>
      <c r="AD2548" t="str">
        <f t="shared" si="258"/>
        <v>o</v>
      </c>
      <c r="AE2548" t="str">
        <f t="shared" si="262"/>
        <v/>
      </c>
      <c r="AF2548" t="str">
        <f t="shared" si="260"/>
        <v/>
      </c>
      <c r="AG2548" t="str">
        <f t="shared" si="261"/>
        <v/>
      </c>
      <c r="AN2548" t="str">
        <f t="shared" si="257"/>
        <v>Defensive</v>
      </c>
    </row>
    <row r="2549" spans="2:40" x14ac:dyDescent="0.2">
      <c r="B2549" t="str">
        <f t="shared" si="263"/>
        <v/>
      </c>
      <c r="U2549" s="8">
        <f t="shared" si="259"/>
        <v>2</v>
      </c>
      <c r="AD2549" t="str">
        <f t="shared" si="258"/>
        <v>o</v>
      </c>
      <c r="AE2549" t="str">
        <f t="shared" si="262"/>
        <v/>
      </c>
      <c r="AF2549" t="str">
        <f t="shared" si="260"/>
        <v/>
      </c>
      <c r="AG2549" t="str">
        <f t="shared" si="261"/>
        <v/>
      </c>
      <c r="AN2549" t="str">
        <f t="shared" si="257"/>
        <v>Defensive</v>
      </c>
    </row>
    <row r="2550" spans="2:40" x14ac:dyDescent="0.2">
      <c r="B2550" t="str">
        <f t="shared" si="263"/>
        <v/>
      </c>
      <c r="U2550" s="8">
        <f t="shared" si="259"/>
        <v>2</v>
      </c>
      <c r="AD2550" t="str">
        <f t="shared" si="258"/>
        <v>o</v>
      </c>
      <c r="AE2550" t="str">
        <f t="shared" si="262"/>
        <v/>
      </c>
      <c r="AF2550" t="str">
        <f t="shared" si="260"/>
        <v/>
      </c>
      <c r="AG2550" t="str">
        <f t="shared" si="261"/>
        <v/>
      </c>
      <c r="AN2550" t="str">
        <f t="shared" si="257"/>
        <v>Defensive</v>
      </c>
    </row>
    <row r="2551" spans="2:40" x14ac:dyDescent="0.2">
      <c r="B2551" t="str">
        <f t="shared" si="263"/>
        <v/>
      </c>
      <c r="U2551" s="8">
        <f t="shared" si="259"/>
        <v>2</v>
      </c>
      <c r="AD2551" t="str">
        <f t="shared" si="258"/>
        <v>o</v>
      </c>
      <c r="AE2551" t="str">
        <f t="shared" si="262"/>
        <v/>
      </c>
      <c r="AF2551" t="str">
        <f t="shared" si="260"/>
        <v/>
      </c>
      <c r="AG2551" t="str">
        <f t="shared" si="261"/>
        <v/>
      </c>
      <c r="AN2551" t="str">
        <f t="shared" si="257"/>
        <v>Defensive</v>
      </c>
    </row>
    <row r="2552" spans="2:40" x14ac:dyDescent="0.2">
      <c r="B2552" t="str">
        <f t="shared" si="263"/>
        <v/>
      </c>
      <c r="U2552" s="8">
        <f t="shared" si="259"/>
        <v>2</v>
      </c>
      <c r="AD2552" t="str">
        <f t="shared" si="258"/>
        <v>o</v>
      </c>
      <c r="AE2552" t="str">
        <f t="shared" si="262"/>
        <v/>
      </c>
      <c r="AF2552" t="str">
        <f t="shared" si="260"/>
        <v/>
      </c>
      <c r="AG2552" t="str">
        <f t="shared" si="261"/>
        <v/>
      </c>
      <c r="AN2552" t="str">
        <f t="shared" si="257"/>
        <v>Defensive</v>
      </c>
    </row>
    <row r="2553" spans="2:40" x14ac:dyDescent="0.2">
      <c r="B2553" t="str">
        <f t="shared" si="263"/>
        <v/>
      </c>
      <c r="U2553" s="8">
        <f t="shared" si="259"/>
        <v>2</v>
      </c>
      <c r="AD2553" t="str">
        <f t="shared" si="258"/>
        <v>o</v>
      </c>
      <c r="AE2553" t="str">
        <f t="shared" si="262"/>
        <v/>
      </c>
      <c r="AF2553" t="str">
        <f t="shared" si="260"/>
        <v/>
      </c>
      <c r="AG2553" t="str">
        <f t="shared" si="261"/>
        <v/>
      </c>
      <c r="AN2553" t="str">
        <f t="shared" ref="AN2553:AN2616" si="264">IF(AND(AD2553="e",OR(AE2553="Save",AF2553="Turnover_Takeaway",AF2553="Play_Defensive")),"Defensive",IF(AND(AD2553="o",OR(AE2553="Save",AF2553="Turnover_Takeaway",AF2553="Play_Defensive")),"Offensive",IF(OR(AE2553="Deadice",AE2553="Stoppage",AE2553="Intermission"),"",IF(AD2553="e","Offensive",IF(AD2553="o","Defensive","")))))</f>
        <v>Defensive</v>
      </c>
    </row>
    <row r="2554" spans="2:40" x14ac:dyDescent="0.2">
      <c r="B2554" t="str">
        <f t="shared" si="263"/>
        <v/>
      </c>
      <c r="U2554" s="8">
        <f t="shared" si="259"/>
        <v>2</v>
      </c>
      <c r="AD2554" t="str">
        <f t="shared" si="258"/>
        <v>o</v>
      </c>
      <c r="AE2554" t="str">
        <f t="shared" si="262"/>
        <v/>
      </c>
      <c r="AF2554" t="str">
        <f t="shared" si="260"/>
        <v/>
      </c>
      <c r="AG2554" t="str">
        <f t="shared" si="261"/>
        <v/>
      </c>
      <c r="AN2554" t="str">
        <f t="shared" si="264"/>
        <v>Defensive</v>
      </c>
    </row>
    <row r="2555" spans="2:40" x14ac:dyDescent="0.2">
      <c r="B2555" t="str">
        <f t="shared" si="263"/>
        <v/>
      </c>
      <c r="U2555" s="8">
        <f t="shared" si="259"/>
        <v>2</v>
      </c>
      <c r="AD2555" t="str">
        <f t="shared" si="258"/>
        <v>o</v>
      </c>
      <c r="AE2555" t="str">
        <f t="shared" si="262"/>
        <v/>
      </c>
      <c r="AF2555" t="str">
        <f t="shared" si="260"/>
        <v/>
      </c>
      <c r="AG2555" t="str">
        <f t="shared" si="261"/>
        <v/>
      </c>
      <c r="AN2555" t="str">
        <f t="shared" si="264"/>
        <v>Defensive</v>
      </c>
    </row>
    <row r="2556" spans="2:40" x14ac:dyDescent="0.2">
      <c r="B2556" t="str">
        <f t="shared" si="263"/>
        <v/>
      </c>
      <c r="U2556" s="8">
        <f t="shared" si="259"/>
        <v>2</v>
      </c>
      <c r="AD2556" t="str">
        <f t="shared" si="258"/>
        <v>o</v>
      </c>
      <c r="AE2556" t="str">
        <f t="shared" si="262"/>
        <v/>
      </c>
      <c r="AF2556" t="str">
        <f t="shared" si="260"/>
        <v/>
      </c>
      <c r="AG2556" t="str">
        <f t="shared" si="261"/>
        <v/>
      </c>
      <c r="AN2556" t="str">
        <f t="shared" si="264"/>
        <v>Defensive</v>
      </c>
    </row>
    <row r="2557" spans="2:40" x14ac:dyDescent="0.2">
      <c r="B2557" t="str">
        <f t="shared" si="263"/>
        <v/>
      </c>
      <c r="U2557" s="8">
        <f t="shared" si="259"/>
        <v>2</v>
      </c>
      <c r="AD2557" t="str">
        <f t="shared" si="258"/>
        <v>o</v>
      </c>
      <c r="AE2557" t="str">
        <f t="shared" si="262"/>
        <v/>
      </c>
      <c r="AF2557" t="str">
        <f t="shared" si="260"/>
        <v/>
      </c>
      <c r="AG2557" t="str">
        <f t="shared" si="261"/>
        <v/>
      </c>
      <c r="AN2557" t="str">
        <f t="shared" si="264"/>
        <v>Defensive</v>
      </c>
    </row>
    <row r="2558" spans="2:40" x14ac:dyDescent="0.2">
      <c r="B2558" t="str">
        <f t="shared" si="263"/>
        <v/>
      </c>
      <c r="U2558" s="8">
        <f t="shared" si="259"/>
        <v>2</v>
      </c>
      <c r="AD2558" t="str">
        <f t="shared" si="258"/>
        <v>o</v>
      </c>
      <c r="AE2558" t="str">
        <f t="shared" si="262"/>
        <v/>
      </c>
      <c r="AF2558" t="str">
        <f t="shared" si="260"/>
        <v/>
      </c>
      <c r="AG2558" t="str">
        <f t="shared" si="261"/>
        <v/>
      </c>
      <c r="AN2558" t="str">
        <f t="shared" si="264"/>
        <v>Defensive</v>
      </c>
    </row>
    <row r="2559" spans="2:40" x14ac:dyDescent="0.2">
      <c r="B2559" t="str">
        <f t="shared" si="263"/>
        <v/>
      </c>
      <c r="U2559" s="8">
        <f t="shared" si="259"/>
        <v>2</v>
      </c>
      <c r="AD2559" t="str">
        <f t="shared" si="258"/>
        <v>o</v>
      </c>
      <c r="AE2559" t="str">
        <f t="shared" si="262"/>
        <v/>
      </c>
      <c r="AF2559" t="str">
        <f t="shared" si="260"/>
        <v/>
      </c>
      <c r="AG2559" t="str">
        <f t="shared" si="261"/>
        <v/>
      </c>
      <c r="AN2559" t="str">
        <f t="shared" si="264"/>
        <v>Defensive</v>
      </c>
    </row>
    <row r="2560" spans="2:40" x14ac:dyDescent="0.2">
      <c r="B2560" t="str">
        <f t="shared" si="263"/>
        <v/>
      </c>
      <c r="U2560" s="8">
        <f t="shared" si="259"/>
        <v>2</v>
      </c>
      <c r="AD2560" t="str">
        <f t="shared" si="258"/>
        <v>o</v>
      </c>
      <c r="AE2560" t="str">
        <f t="shared" si="262"/>
        <v/>
      </c>
      <c r="AF2560" t="str">
        <f t="shared" si="260"/>
        <v/>
      </c>
      <c r="AG2560" t="str">
        <f t="shared" si="261"/>
        <v/>
      </c>
      <c r="AN2560" t="str">
        <f t="shared" si="264"/>
        <v>Defensive</v>
      </c>
    </row>
    <row r="2561" spans="2:40" x14ac:dyDescent="0.2">
      <c r="B2561" t="str">
        <f t="shared" si="263"/>
        <v/>
      </c>
      <c r="U2561" s="8">
        <f t="shared" si="259"/>
        <v>2</v>
      </c>
      <c r="AD2561" t="str">
        <f t="shared" si="258"/>
        <v>o</v>
      </c>
      <c r="AE2561" t="str">
        <f t="shared" si="262"/>
        <v/>
      </c>
      <c r="AF2561" t="str">
        <f t="shared" si="260"/>
        <v/>
      </c>
      <c r="AG2561" t="str">
        <f t="shared" si="261"/>
        <v/>
      </c>
      <c r="AN2561" t="str">
        <f t="shared" si="264"/>
        <v>Defensive</v>
      </c>
    </row>
    <row r="2562" spans="2:40" x14ac:dyDescent="0.2">
      <c r="B2562" t="str">
        <f t="shared" si="263"/>
        <v/>
      </c>
      <c r="U2562" s="8">
        <f t="shared" si="259"/>
        <v>2</v>
      </c>
      <c r="AD2562" t="str">
        <f t="shared" ref="AD2562:AD2625" si="265">IF(K2562="x","",IF(K2562=1,"e","o"))</f>
        <v>o</v>
      </c>
      <c r="AE2562" t="str">
        <f t="shared" si="262"/>
        <v/>
      </c>
      <c r="AF2562" t="str">
        <f t="shared" si="260"/>
        <v/>
      </c>
      <c r="AG2562" t="str">
        <f t="shared" si="261"/>
        <v/>
      </c>
      <c r="AN2562" t="str">
        <f t="shared" si="264"/>
        <v>Defensive</v>
      </c>
    </row>
    <row r="2563" spans="2:40" x14ac:dyDescent="0.2">
      <c r="B2563" t="str">
        <f t="shared" si="263"/>
        <v/>
      </c>
      <c r="U2563" s="8">
        <f t="shared" ref="U2563:U2626" si="266">IF(M2563="Intermission",U2562+1,U2562)</f>
        <v>2</v>
      </c>
      <c r="AD2563" t="str">
        <f t="shared" si="265"/>
        <v>o</v>
      </c>
      <c r="AE2563" t="str">
        <f t="shared" si="262"/>
        <v/>
      </c>
      <c r="AF2563" t="str">
        <f t="shared" ref="AF2563:AF2626" si="267">IF(N2563&lt;&gt;"",N2563,IF($A2563=$A2562,AF2562,""))</f>
        <v/>
      </c>
      <c r="AG2563" t="str">
        <f t="shared" ref="AG2563:AG2626" si="268">IF(O2563&lt;&gt;"",O2563,IF($A2563=$A2562,AG2562,""))</f>
        <v/>
      </c>
      <c r="AN2563" t="str">
        <f t="shared" si="264"/>
        <v>Defensive</v>
      </c>
    </row>
    <row r="2564" spans="2:40" x14ac:dyDescent="0.2">
      <c r="B2564" t="str">
        <f t="shared" si="263"/>
        <v/>
      </c>
      <c r="U2564" s="8">
        <f t="shared" si="266"/>
        <v>2</v>
      </c>
      <c r="AD2564" t="str">
        <f t="shared" si="265"/>
        <v>o</v>
      </c>
      <c r="AE2564" t="str">
        <f t="shared" ref="AE2564:AE2627" si="269">IF(M2564&lt;&gt;"",M2564,IF($A2564=$A2563,AE2563,""))</f>
        <v/>
      </c>
      <c r="AF2564" t="str">
        <f t="shared" si="267"/>
        <v/>
      </c>
      <c r="AG2564" t="str">
        <f t="shared" si="268"/>
        <v/>
      </c>
      <c r="AN2564" t="str">
        <f t="shared" si="264"/>
        <v>Defensive</v>
      </c>
    </row>
    <row r="2565" spans="2:40" x14ac:dyDescent="0.2">
      <c r="B2565" t="str">
        <f t="shared" si="263"/>
        <v/>
      </c>
      <c r="U2565" s="8">
        <f t="shared" si="266"/>
        <v>2</v>
      </c>
      <c r="AD2565" t="str">
        <f t="shared" si="265"/>
        <v>o</v>
      </c>
      <c r="AE2565" t="str">
        <f t="shared" si="269"/>
        <v/>
      </c>
      <c r="AF2565" t="str">
        <f t="shared" si="267"/>
        <v/>
      </c>
      <c r="AG2565" t="str">
        <f t="shared" si="268"/>
        <v/>
      </c>
      <c r="AN2565" t="str">
        <f t="shared" si="264"/>
        <v>Defensive</v>
      </c>
    </row>
    <row r="2566" spans="2:40" x14ac:dyDescent="0.2">
      <c r="B2566" t="str">
        <f t="shared" si="263"/>
        <v/>
      </c>
      <c r="U2566" s="8">
        <f t="shared" si="266"/>
        <v>2</v>
      </c>
      <c r="AD2566" t="str">
        <f t="shared" si="265"/>
        <v>o</v>
      </c>
      <c r="AE2566" t="str">
        <f t="shared" si="269"/>
        <v/>
      </c>
      <c r="AF2566" t="str">
        <f t="shared" si="267"/>
        <v/>
      </c>
      <c r="AG2566" t="str">
        <f t="shared" si="268"/>
        <v/>
      </c>
      <c r="AN2566" t="str">
        <f t="shared" si="264"/>
        <v>Defensive</v>
      </c>
    </row>
    <row r="2567" spans="2:40" x14ac:dyDescent="0.2">
      <c r="B2567" t="str">
        <f t="shared" si="263"/>
        <v/>
      </c>
      <c r="U2567" s="8">
        <f t="shared" si="266"/>
        <v>2</v>
      </c>
      <c r="AD2567" t="str">
        <f t="shared" si="265"/>
        <v>o</v>
      </c>
      <c r="AE2567" t="str">
        <f t="shared" si="269"/>
        <v/>
      </c>
      <c r="AF2567" t="str">
        <f t="shared" si="267"/>
        <v/>
      </c>
      <c r="AG2567" t="str">
        <f t="shared" si="268"/>
        <v/>
      </c>
      <c r="AN2567" t="str">
        <f t="shared" si="264"/>
        <v>Defensive</v>
      </c>
    </row>
    <row r="2568" spans="2:40" x14ac:dyDescent="0.2">
      <c r="B2568" t="str">
        <f t="shared" si="263"/>
        <v/>
      </c>
      <c r="U2568" s="8">
        <f t="shared" si="266"/>
        <v>2</v>
      </c>
      <c r="AD2568" t="str">
        <f t="shared" si="265"/>
        <v>o</v>
      </c>
      <c r="AE2568" t="str">
        <f t="shared" si="269"/>
        <v/>
      </c>
      <c r="AF2568" t="str">
        <f t="shared" si="267"/>
        <v/>
      </c>
      <c r="AG2568" t="str">
        <f t="shared" si="268"/>
        <v/>
      </c>
      <c r="AN2568" t="str">
        <f t="shared" si="264"/>
        <v>Defensive</v>
      </c>
    </row>
    <row r="2569" spans="2:40" x14ac:dyDescent="0.2">
      <c r="B2569" t="str">
        <f t="shared" si="263"/>
        <v/>
      </c>
      <c r="U2569" s="8">
        <f t="shared" si="266"/>
        <v>2</v>
      </c>
      <c r="AD2569" t="str">
        <f t="shared" si="265"/>
        <v>o</v>
      </c>
      <c r="AE2569" t="str">
        <f t="shared" si="269"/>
        <v/>
      </c>
      <c r="AF2569" t="str">
        <f t="shared" si="267"/>
        <v/>
      </c>
      <c r="AG2569" t="str">
        <f t="shared" si="268"/>
        <v/>
      </c>
      <c r="AN2569" t="str">
        <f t="shared" si="264"/>
        <v>Defensive</v>
      </c>
    </row>
    <row r="2570" spans="2:40" x14ac:dyDescent="0.2">
      <c r="B2570" t="str">
        <f t="shared" si="263"/>
        <v/>
      </c>
      <c r="U2570" s="8">
        <f t="shared" si="266"/>
        <v>2</v>
      </c>
      <c r="AD2570" t="str">
        <f t="shared" si="265"/>
        <v>o</v>
      </c>
      <c r="AE2570" t="str">
        <f t="shared" si="269"/>
        <v/>
      </c>
      <c r="AF2570" t="str">
        <f t="shared" si="267"/>
        <v/>
      </c>
      <c r="AG2570" t="str">
        <f t="shared" si="268"/>
        <v/>
      </c>
      <c r="AN2570" t="str">
        <f t="shared" si="264"/>
        <v>Defensive</v>
      </c>
    </row>
    <row r="2571" spans="2:40" x14ac:dyDescent="0.2">
      <c r="B2571" t="str">
        <f t="shared" si="263"/>
        <v/>
      </c>
      <c r="U2571" s="8">
        <f t="shared" si="266"/>
        <v>2</v>
      </c>
      <c r="AD2571" t="str">
        <f t="shared" si="265"/>
        <v>o</v>
      </c>
      <c r="AE2571" t="str">
        <f t="shared" si="269"/>
        <v/>
      </c>
      <c r="AF2571" t="str">
        <f t="shared" si="267"/>
        <v/>
      </c>
      <c r="AG2571" t="str">
        <f t="shared" si="268"/>
        <v/>
      </c>
      <c r="AN2571" t="str">
        <f t="shared" si="264"/>
        <v>Defensive</v>
      </c>
    </row>
    <row r="2572" spans="2:40" x14ac:dyDescent="0.2">
      <c r="B2572" t="str">
        <f t="shared" si="263"/>
        <v/>
      </c>
      <c r="U2572" s="8">
        <f t="shared" si="266"/>
        <v>2</v>
      </c>
      <c r="AD2572" t="str">
        <f t="shared" si="265"/>
        <v>o</v>
      </c>
      <c r="AE2572" t="str">
        <f t="shared" si="269"/>
        <v/>
      </c>
      <c r="AF2572" t="str">
        <f t="shared" si="267"/>
        <v/>
      </c>
      <c r="AG2572" t="str">
        <f t="shared" si="268"/>
        <v/>
      </c>
      <c r="AN2572" t="str">
        <f t="shared" si="264"/>
        <v>Defensive</v>
      </c>
    </row>
    <row r="2573" spans="2:40" x14ac:dyDescent="0.2">
      <c r="B2573" t="str">
        <f t="shared" si="263"/>
        <v/>
      </c>
      <c r="U2573" s="8">
        <f t="shared" si="266"/>
        <v>2</v>
      </c>
      <c r="AD2573" t="str">
        <f t="shared" si="265"/>
        <v>o</v>
      </c>
      <c r="AE2573" t="str">
        <f t="shared" si="269"/>
        <v/>
      </c>
      <c r="AF2573" t="str">
        <f t="shared" si="267"/>
        <v/>
      </c>
      <c r="AG2573" t="str">
        <f t="shared" si="268"/>
        <v/>
      </c>
      <c r="AN2573" t="str">
        <f t="shared" si="264"/>
        <v>Defensive</v>
      </c>
    </row>
    <row r="2574" spans="2:40" x14ac:dyDescent="0.2">
      <c r="B2574" t="str">
        <f t="shared" si="263"/>
        <v/>
      </c>
      <c r="U2574" s="8">
        <f t="shared" si="266"/>
        <v>2</v>
      </c>
      <c r="AD2574" t="str">
        <f t="shared" si="265"/>
        <v>o</v>
      </c>
      <c r="AE2574" t="str">
        <f t="shared" si="269"/>
        <v/>
      </c>
      <c r="AF2574" t="str">
        <f t="shared" si="267"/>
        <v/>
      </c>
      <c r="AG2574" t="str">
        <f t="shared" si="268"/>
        <v/>
      </c>
      <c r="AN2574" t="str">
        <f t="shared" si="264"/>
        <v>Defensive</v>
      </c>
    </row>
    <row r="2575" spans="2:40" x14ac:dyDescent="0.2">
      <c r="B2575" t="str">
        <f t="shared" si="263"/>
        <v/>
      </c>
      <c r="U2575" s="8">
        <f t="shared" si="266"/>
        <v>2</v>
      </c>
      <c r="AD2575" t="str">
        <f t="shared" si="265"/>
        <v>o</v>
      </c>
      <c r="AE2575" t="str">
        <f t="shared" si="269"/>
        <v/>
      </c>
      <c r="AF2575" t="str">
        <f t="shared" si="267"/>
        <v/>
      </c>
      <c r="AG2575" t="str">
        <f t="shared" si="268"/>
        <v/>
      </c>
      <c r="AN2575" t="str">
        <f t="shared" si="264"/>
        <v>Defensive</v>
      </c>
    </row>
    <row r="2576" spans="2:40" x14ac:dyDescent="0.2">
      <c r="B2576" t="str">
        <f t="shared" si="263"/>
        <v/>
      </c>
      <c r="U2576" s="8">
        <f t="shared" si="266"/>
        <v>2</v>
      </c>
      <c r="AD2576" t="str">
        <f t="shared" si="265"/>
        <v>o</v>
      </c>
      <c r="AE2576" t="str">
        <f t="shared" si="269"/>
        <v/>
      </c>
      <c r="AF2576" t="str">
        <f t="shared" si="267"/>
        <v/>
      </c>
      <c r="AG2576" t="str">
        <f t="shared" si="268"/>
        <v/>
      </c>
      <c r="AN2576" t="str">
        <f t="shared" si="264"/>
        <v>Defensive</v>
      </c>
    </row>
    <row r="2577" spans="2:40" x14ac:dyDescent="0.2">
      <c r="B2577" t="str">
        <f t="shared" si="263"/>
        <v/>
      </c>
      <c r="U2577" s="8">
        <f t="shared" si="266"/>
        <v>2</v>
      </c>
      <c r="AD2577" t="str">
        <f t="shared" si="265"/>
        <v>o</v>
      </c>
      <c r="AE2577" t="str">
        <f t="shared" si="269"/>
        <v/>
      </c>
      <c r="AF2577" t="str">
        <f t="shared" si="267"/>
        <v/>
      </c>
      <c r="AG2577" t="str">
        <f t="shared" si="268"/>
        <v/>
      </c>
      <c r="AN2577" t="str">
        <f t="shared" si="264"/>
        <v>Defensive</v>
      </c>
    </row>
    <row r="2578" spans="2:40" x14ac:dyDescent="0.2">
      <c r="B2578" t="str">
        <f t="shared" si="263"/>
        <v/>
      </c>
      <c r="U2578" s="8">
        <f t="shared" si="266"/>
        <v>2</v>
      </c>
      <c r="AD2578" t="str">
        <f t="shared" si="265"/>
        <v>o</v>
      </c>
      <c r="AE2578" t="str">
        <f t="shared" si="269"/>
        <v/>
      </c>
      <c r="AF2578" t="str">
        <f t="shared" si="267"/>
        <v/>
      </c>
      <c r="AG2578" t="str">
        <f t="shared" si="268"/>
        <v/>
      </c>
      <c r="AN2578" t="str">
        <f t="shared" si="264"/>
        <v>Defensive</v>
      </c>
    </row>
    <row r="2579" spans="2:40" x14ac:dyDescent="0.2">
      <c r="B2579" t="str">
        <f t="shared" si="263"/>
        <v/>
      </c>
      <c r="U2579" s="8">
        <f t="shared" si="266"/>
        <v>2</v>
      </c>
      <c r="AD2579" t="str">
        <f t="shared" si="265"/>
        <v>o</v>
      </c>
      <c r="AE2579" t="str">
        <f t="shared" si="269"/>
        <v/>
      </c>
      <c r="AF2579" t="str">
        <f t="shared" si="267"/>
        <v/>
      </c>
      <c r="AG2579" t="str">
        <f t="shared" si="268"/>
        <v/>
      </c>
      <c r="AN2579" t="str">
        <f t="shared" si="264"/>
        <v>Defensive</v>
      </c>
    </row>
    <row r="2580" spans="2:40" x14ac:dyDescent="0.2">
      <c r="B2580" t="str">
        <f t="shared" si="263"/>
        <v/>
      </c>
      <c r="U2580" s="8">
        <f t="shared" si="266"/>
        <v>2</v>
      </c>
      <c r="AD2580" t="str">
        <f t="shared" si="265"/>
        <v>o</v>
      </c>
      <c r="AE2580" t="str">
        <f t="shared" si="269"/>
        <v/>
      </c>
      <c r="AF2580" t="str">
        <f t="shared" si="267"/>
        <v/>
      </c>
      <c r="AG2580" t="str">
        <f t="shared" si="268"/>
        <v/>
      </c>
      <c r="AN2580" t="str">
        <f t="shared" si="264"/>
        <v>Defensive</v>
      </c>
    </row>
    <row r="2581" spans="2:40" x14ac:dyDescent="0.2">
      <c r="B2581" t="str">
        <f t="shared" si="263"/>
        <v/>
      </c>
      <c r="U2581" s="8">
        <f t="shared" si="266"/>
        <v>2</v>
      </c>
      <c r="AD2581" t="str">
        <f t="shared" si="265"/>
        <v>o</v>
      </c>
      <c r="AE2581" t="str">
        <f t="shared" si="269"/>
        <v/>
      </c>
      <c r="AF2581" t="str">
        <f t="shared" si="267"/>
        <v/>
      </c>
      <c r="AG2581" t="str">
        <f t="shared" si="268"/>
        <v/>
      </c>
      <c r="AN2581" t="str">
        <f t="shared" si="264"/>
        <v>Defensive</v>
      </c>
    </row>
    <row r="2582" spans="2:40" x14ac:dyDescent="0.2">
      <c r="B2582" t="str">
        <f t="shared" si="263"/>
        <v/>
      </c>
      <c r="U2582" s="8">
        <f t="shared" si="266"/>
        <v>2</v>
      </c>
      <c r="AD2582" t="str">
        <f t="shared" si="265"/>
        <v>o</v>
      </c>
      <c r="AE2582" t="str">
        <f t="shared" si="269"/>
        <v/>
      </c>
      <c r="AF2582" t="str">
        <f t="shared" si="267"/>
        <v/>
      </c>
      <c r="AG2582" t="str">
        <f t="shared" si="268"/>
        <v/>
      </c>
      <c r="AN2582" t="str">
        <f t="shared" si="264"/>
        <v>Defensive</v>
      </c>
    </row>
    <row r="2583" spans="2:40" x14ac:dyDescent="0.2">
      <c r="B2583" t="str">
        <f t="shared" si="263"/>
        <v/>
      </c>
      <c r="U2583" s="8">
        <f t="shared" si="266"/>
        <v>2</v>
      </c>
      <c r="AD2583" t="str">
        <f t="shared" si="265"/>
        <v>o</v>
      </c>
      <c r="AE2583" t="str">
        <f t="shared" si="269"/>
        <v/>
      </c>
      <c r="AF2583" t="str">
        <f t="shared" si="267"/>
        <v/>
      </c>
      <c r="AG2583" t="str">
        <f t="shared" si="268"/>
        <v/>
      </c>
      <c r="AN2583" t="str">
        <f t="shared" si="264"/>
        <v>Defensive</v>
      </c>
    </row>
    <row r="2584" spans="2:40" x14ac:dyDescent="0.2">
      <c r="B2584" t="str">
        <f t="shared" si="263"/>
        <v/>
      </c>
      <c r="U2584" s="8">
        <f t="shared" si="266"/>
        <v>2</v>
      </c>
      <c r="AD2584" t="str">
        <f t="shared" si="265"/>
        <v>o</v>
      </c>
      <c r="AE2584" t="str">
        <f t="shared" si="269"/>
        <v/>
      </c>
      <c r="AF2584" t="str">
        <f t="shared" si="267"/>
        <v/>
      </c>
      <c r="AG2584" t="str">
        <f t="shared" si="268"/>
        <v/>
      </c>
      <c r="AN2584" t="str">
        <f t="shared" si="264"/>
        <v>Defensive</v>
      </c>
    </row>
    <row r="2585" spans="2:40" x14ac:dyDescent="0.2">
      <c r="B2585" t="str">
        <f t="shared" si="263"/>
        <v/>
      </c>
      <c r="U2585" s="8">
        <f t="shared" si="266"/>
        <v>2</v>
      </c>
      <c r="AD2585" t="str">
        <f t="shared" si="265"/>
        <v>o</v>
      </c>
      <c r="AE2585" t="str">
        <f t="shared" si="269"/>
        <v/>
      </c>
      <c r="AF2585" t="str">
        <f t="shared" si="267"/>
        <v/>
      </c>
      <c r="AG2585" t="str">
        <f t="shared" si="268"/>
        <v/>
      </c>
      <c r="AN2585" t="str">
        <f t="shared" si="264"/>
        <v>Defensive</v>
      </c>
    </row>
    <row r="2586" spans="2:40" x14ac:dyDescent="0.2">
      <c r="B2586" t="str">
        <f t="shared" si="263"/>
        <v/>
      </c>
      <c r="U2586" s="8">
        <f t="shared" si="266"/>
        <v>2</v>
      </c>
      <c r="AD2586" t="str">
        <f t="shared" si="265"/>
        <v>o</v>
      </c>
      <c r="AE2586" t="str">
        <f t="shared" si="269"/>
        <v/>
      </c>
      <c r="AF2586" t="str">
        <f t="shared" si="267"/>
        <v/>
      </c>
      <c r="AG2586" t="str">
        <f t="shared" si="268"/>
        <v/>
      </c>
      <c r="AN2586" t="str">
        <f t="shared" si="264"/>
        <v>Defensive</v>
      </c>
    </row>
    <row r="2587" spans="2:40" x14ac:dyDescent="0.2">
      <c r="B2587" t="str">
        <f t="shared" si="263"/>
        <v/>
      </c>
      <c r="U2587" s="8">
        <f t="shared" si="266"/>
        <v>2</v>
      </c>
      <c r="AD2587" t="str">
        <f t="shared" si="265"/>
        <v>o</v>
      </c>
      <c r="AE2587" t="str">
        <f t="shared" si="269"/>
        <v/>
      </c>
      <c r="AF2587" t="str">
        <f t="shared" si="267"/>
        <v/>
      </c>
      <c r="AG2587" t="str">
        <f t="shared" si="268"/>
        <v/>
      </c>
      <c r="AN2587" t="str">
        <f t="shared" si="264"/>
        <v>Defensive</v>
      </c>
    </row>
    <row r="2588" spans="2:40" x14ac:dyDescent="0.2">
      <c r="B2588" t="str">
        <f t="shared" si="263"/>
        <v/>
      </c>
      <c r="U2588" s="8">
        <f t="shared" si="266"/>
        <v>2</v>
      </c>
      <c r="AD2588" t="str">
        <f t="shared" si="265"/>
        <v>o</v>
      </c>
      <c r="AE2588" t="str">
        <f t="shared" si="269"/>
        <v/>
      </c>
      <c r="AF2588" t="str">
        <f t="shared" si="267"/>
        <v/>
      </c>
      <c r="AG2588" t="str">
        <f t="shared" si="268"/>
        <v/>
      </c>
      <c r="AN2588" t="str">
        <f t="shared" si="264"/>
        <v>Defensive</v>
      </c>
    </row>
    <row r="2589" spans="2:40" x14ac:dyDescent="0.2">
      <c r="B2589" t="str">
        <f t="shared" si="263"/>
        <v/>
      </c>
      <c r="U2589" s="8">
        <f t="shared" si="266"/>
        <v>2</v>
      </c>
      <c r="AD2589" t="str">
        <f t="shared" si="265"/>
        <v>o</v>
      </c>
      <c r="AE2589" t="str">
        <f t="shared" si="269"/>
        <v/>
      </c>
      <c r="AF2589" t="str">
        <f t="shared" si="267"/>
        <v/>
      </c>
      <c r="AG2589" t="str">
        <f t="shared" si="268"/>
        <v/>
      </c>
      <c r="AN2589" t="str">
        <f t="shared" si="264"/>
        <v>Defensive</v>
      </c>
    </row>
    <row r="2590" spans="2:40" x14ac:dyDescent="0.2">
      <c r="B2590" t="str">
        <f t="shared" si="263"/>
        <v/>
      </c>
      <c r="U2590" s="8">
        <f t="shared" si="266"/>
        <v>2</v>
      </c>
      <c r="AD2590" t="str">
        <f t="shared" si="265"/>
        <v>o</v>
      </c>
      <c r="AE2590" t="str">
        <f t="shared" si="269"/>
        <v/>
      </c>
      <c r="AF2590" t="str">
        <f t="shared" si="267"/>
        <v/>
      </c>
      <c r="AG2590" t="str">
        <f t="shared" si="268"/>
        <v/>
      </c>
      <c r="AN2590" t="str">
        <f t="shared" si="264"/>
        <v>Defensive</v>
      </c>
    </row>
    <row r="2591" spans="2:40" x14ac:dyDescent="0.2">
      <c r="B2591" t="str">
        <f t="shared" si="263"/>
        <v/>
      </c>
      <c r="U2591" s="8">
        <f t="shared" si="266"/>
        <v>2</v>
      </c>
      <c r="AD2591" t="str">
        <f t="shared" si="265"/>
        <v>o</v>
      </c>
      <c r="AE2591" t="str">
        <f t="shared" si="269"/>
        <v/>
      </c>
      <c r="AF2591" t="str">
        <f t="shared" si="267"/>
        <v/>
      </c>
      <c r="AG2591" t="str">
        <f t="shared" si="268"/>
        <v/>
      </c>
      <c r="AN2591" t="str">
        <f t="shared" si="264"/>
        <v>Defensive</v>
      </c>
    </row>
    <row r="2592" spans="2:40" x14ac:dyDescent="0.2">
      <c r="B2592" t="str">
        <f t="shared" si="263"/>
        <v/>
      </c>
      <c r="U2592" s="8">
        <f t="shared" si="266"/>
        <v>2</v>
      </c>
      <c r="AD2592" t="str">
        <f t="shared" si="265"/>
        <v>o</v>
      </c>
      <c r="AE2592" t="str">
        <f t="shared" si="269"/>
        <v/>
      </c>
      <c r="AF2592" t="str">
        <f t="shared" si="267"/>
        <v/>
      </c>
      <c r="AG2592" t="str">
        <f t="shared" si="268"/>
        <v/>
      </c>
      <c r="AN2592" t="str">
        <f t="shared" si="264"/>
        <v>Defensive</v>
      </c>
    </row>
    <row r="2593" spans="2:40" x14ac:dyDescent="0.2">
      <c r="B2593" t="str">
        <f t="shared" si="263"/>
        <v/>
      </c>
      <c r="U2593" s="8">
        <f t="shared" si="266"/>
        <v>2</v>
      </c>
      <c r="AD2593" t="str">
        <f t="shared" si="265"/>
        <v>o</v>
      </c>
      <c r="AE2593" t="str">
        <f t="shared" si="269"/>
        <v/>
      </c>
      <c r="AF2593" t="str">
        <f t="shared" si="267"/>
        <v/>
      </c>
      <c r="AG2593" t="str">
        <f t="shared" si="268"/>
        <v/>
      </c>
      <c r="AN2593" t="str">
        <f t="shared" si="264"/>
        <v>Defensive</v>
      </c>
    </row>
    <row r="2594" spans="2:40" x14ac:dyDescent="0.2">
      <c r="B2594" t="str">
        <f t="shared" si="263"/>
        <v/>
      </c>
      <c r="U2594" s="8">
        <f t="shared" si="266"/>
        <v>2</v>
      </c>
      <c r="AD2594" t="str">
        <f t="shared" si="265"/>
        <v>o</v>
      </c>
      <c r="AE2594" t="str">
        <f t="shared" si="269"/>
        <v/>
      </c>
      <c r="AF2594" t="str">
        <f t="shared" si="267"/>
        <v/>
      </c>
      <c r="AG2594" t="str">
        <f t="shared" si="268"/>
        <v/>
      </c>
      <c r="AN2594" t="str">
        <f t="shared" si="264"/>
        <v>Defensive</v>
      </c>
    </row>
    <row r="2595" spans="2:40" x14ac:dyDescent="0.2">
      <c r="B2595" t="str">
        <f t="shared" si="263"/>
        <v/>
      </c>
      <c r="U2595" s="8">
        <f t="shared" si="266"/>
        <v>2</v>
      </c>
      <c r="AD2595" t="str">
        <f t="shared" si="265"/>
        <v>o</v>
      </c>
      <c r="AE2595" t="str">
        <f t="shared" si="269"/>
        <v/>
      </c>
      <c r="AF2595" t="str">
        <f t="shared" si="267"/>
        <v/>
      </c>
      <c r="AG2595" t="str">
        <f t="shared" si="268"/>
        <v/>
      </c>
      <c r="AN2595" t="str">
        <f t="shared" si="264"/>
        <v>Defensive</v>
      </c>
    </row>
    <row r="2596" spans="2:40" x14ac:dyDescent="0.2">
      <c r="B2596" t="str">
        <f t="shared" si="263"/>
        <v/>
      </c>
      <c r="U2596" s="8">
        <f t="shared" si="266"/>
        <v>2</v>
      </c>
      <c r="AD2596" t="str">
        <f t="shared" si="265"/>
        <v>o</v>
      </c>
      <c r="AE2596" t="str">
        <f t="shared" si="269"/>
        <v/>
      </c>
      <c r="AF2596" t="str">
        <f t="shared" si="267"/>
        <v/>
      </c>
      <c r="AG2596" t="str">
        <f t="shared" si="268"/>
        <v/>
      </c>
      <c r="AN2596" t="str">
        <f t="shared" si="264"/>
        <v>Defensive</v>
      </c>
    </row>
    <row r="2597" spans="2:40" x14ac:dyDescent="0.2">
      <c r="B2597" t="str">
        <f t="shared" si="263"/>
        <v/>
      </c>
      <c r="U2597" s="8">
        <f t="shared" si="266"/>
        <v>2</v>
      </c>
      <c r="AD2597" t="str">
        <f t="shared" si="265"/>
        <v>o</v>
      </c>
      <c r="AE2597" t="str">
        <f t="shared" si="269"/>
        <v/>
      </c>
      <c r="AF2597" t="str">
        <f t="shared" si="267"/>
        <v/>
      </c>
      <c r="AG2597" t="str">
        <f t="shared" si="268"/>
        <v/>
      </c>
      <c r="AN2597" t="str">
        <f t="shared" si="264"/>
        <v>Defensive</v>
      </c>
    </row>
    <row r="2598" spans="2:40" x14ac:dyDescent="0.2">
      <c r="B2598" t="str">
        <f t="shared" si="263"/>
        <v/>
      </c>
      <c r="U2598" s="8">
        <f t="shared" si="266"/>
        <v>2</v>
      </c>
      <c r="AD2598" t="str">
        <f t="shared" si="265"/>
        <v>o</v>
      </c>
      <c r="AE2598" t="str">
        <f t="shared" si="269"/>
        <v/>
      </c>
      <c r="AF2598" t="str">
        <f t="shared" si="267"/>
        <v/>
      </c>
      <c r="AG2598" t="str">
        <f t="shared" si="268"/>
        <v/>
      </c>
      <c r="AN2598" t="str">
        <f t="shared" si="264"/>
        <v>Defensive</v>
      </c>
    </row>
    <row r="2599" spans="2:40" x14ac:dyDescent="0.2">
      <c r="B2599" t="str">
        <f t="shared" si="263"/>
        <v/>
      </c>
      <c r="U2599" s="8">
        <f t="shared" si="266"/>
        <v>2</v>
      </c>
      <c r="AD2599" t="str">
        <f t="shared" si="265"/>
        <v>o</v>
      </c>
      <c r="AE2599" t="str">
        <f t="shared" si="269"/>
        <v/>
      </c>
      <c r="AF2599" t="str">
        <f t="shared" si="267"/>
        <v/>
      </c>
      <c r="AG2599" t="str">
        <f t="shared" si="268"/>
        <v/>
      </c>
      <c r="AN2599" t="str">
        <f t="shared" si="264"/>
        <v>Defensive</v>
      </c>
    </row>
    <row r="2600" spans="2:40" x14ac:dyDescent="0.2">
      <c r="B2600" t="str">
        <f t="shared" si="263"/>
        <v/>
      </c>
      <c r="U2600" s="8">
        <f t="shared" si="266"/>
        <v>2</v>
      </c>
      <c r="AD2600" t="str">
        <f t="shared" si="265"/>
        <v>o</v>
      </c>
      <c r="AE2600" t="str">
        <f t="shared" si="269"/>
        <v/>
      </c>
      <c r="AF2600" t="str">
        <f t="shared" si="267"/>
        <v/>
      </c>
      <c r="AG2600" t="str">
        <f t="shared" si="268"/>
        <v/>
      </c>
      <c r="AN2600" t="str">
        <f t="shared" si="264"/>
        <v>Defensive</v>
      </c>
    </row>
    <row r="2601" spans="2:40" x14ac:dyDescent="0.2">
      <c r="B2601" t="str">
        <f t="shared" si="263"/>
        <v/>
      </c>
      <c r="U2601" s="8">
        <f t="shared" si="266"/>
        <v>2</v>
      </c>
      <c r="AD2601" t="str">
        <f t="shared" si="265"/>
        <v>o</v>
      </c>
      <c r="AE2601" t="str">
        <f t="shared" si="269"/>
        <v/>
      </c>
      <c r="AF2601" t="str">
        <f t="shared" si="267"/>
        <v/>
      </c>
      <c r="AG2601" t="str">
        <f t="shared" si="268"/>
        <v/>
      </c>
      <c r="AN2601" t="str">
        <f t="shared" si="264"/>
        <v>Defensive</v>
      </c>
    </row>
    <row r="2602" spans="2:40" x14ac:dyDescent="0.2">
      <c r="B2602" t="str">
        <f t="shared" si="263"/>
        <v/>
      </c>
      <c r="U2602" s="8">
        <f t="shared" si="266"/>
        <v>2</v>
      </c>
      <c r="AD2602" t="str">
        <f t="shared" si="265"/>
        <v>o</v>
      </c>
      <c r="AE2602" t="str">
        <f t="shared" si="269"/>
        <v/>
      </c>
      <c r="AF2602" t="str">
        <f t="shared" si="267"/>
        <v/>
      </c>
      <c r="AG2602" t="str">
        <f t="shared" si="268"/>
        <v/>
      </c>
      <c r="AN2602" t="str">
        <f t="shared" si="264"/>
        <v>Defensive</v>
      </c>
    </row>
    <row r="2603" spans="2:40" x14ac:dyDescent="0.2">
      <c r="B2603" t="str">
        <f t="shared" si="263"/>
        <v/>
      </c>
      <c r="U2603" s="8">
        <f t="shared" si="266"/>
        <v>2</v>
      </c>
      <c r="AD2603" t="str">
        <f t="shared" si="265"/>
        <v>o</v>
      </c>
      <c r="AE2603" t="str">
        <f t="shared" si="269"/>
        <v/>
      </c>
      <c r="AF2603" t="str">
        <f t="shared" si="267"/>
        <v/>
      </c>
      <c r="AG2603" t="str">
        <f t="shared" si="268"/>
        <v/>
      </c>
      <c r="AN2603" t="str">
        <f t="shared" si="264"/>
        <v>Defensive</v>
      </c>
    </row>
    <row r="2604" spans="2:40" x14ac:dyDescent="0.2">
      <c r="B2604" t="str">
        <f t="shared" si="263"/>
        <v/>
      </c>
      <c r="U2604" s="8">
        <f t="shared" si="266"/>
        <v>2</v>
      </c>
      <c r="AD2604" t="str">
        <f t="shared" si="265"/>
        <v>o</v>
      </c>
      <c r="AE2604" t="str">
        <f t="shared" si="269"/>
        <v/>
      </c>
      <c r="AF2604" t="str">
        <f t="shared" si="267"/>
        <v/>
      </c>
      <c r="AG2604" t="str">
        <f t="shared" si="268"/>
        <v/>
      </c>
      <c r="AN2604" t="str">
        <f t="shared" si="264"/>
        <v>Defensive</v>
      </c>
    </row>
    <row r="2605" spans="2:40" x14ac:dyDescent="0.2">
      <c r="B2605" t="str">
        <f t="shared" si="263"/>
        <v/>
      </c>
      <c r="U2605" s="8">
        <f t="shared" si="266"/>
        <v>2</v>
      </c>
      <c r="AD2605" t="str">
        <f t="shared" si="265"/>
        <v>o</v>
      </c>
      <c r="AE2605" t="str">
        <f t="shared" si="269"/>
        <v/>
      </c>
      <c r="AF2605" t="str">
        <f t="shared" si="267"/>
        <v/>
      </c>
      <c r="AG2605" t="str">
        <f t="shared" si="268"/>
        <v/>
      </c>
      <c r="AN2605" t="str">
        <f t="shared" si="264"/>
        <v>Defensive</v>
      </c>
    </row>
    <row r="2606" spans="2:40" x14ac:dyDescent="0.2">
      <c r="B2606" t="str">
        <f t="shared" si="263"/>
        <v/>
      </c>
      <c r="U2606" s="8">
        <f t="shared" si="266"/>
        <v>2</v>
      </c>
      <c r="AD2606" t="str">
        <f t="shared" si="265"/>
        <v>o</v>
      </c>
      <c r="AE2606" t="str">
        <f t="shared" si="269"/>
        <v/>
      </c>
      <c r="AF2606" t="str">
        <f t="shared" si="267"/>
        <v/>
      </c>
      <c r="AG2606" t="str">
        <f t="shared" si="268"/>
        <v/>
      </c>
      <c r="AN2606" t="str">
        <f t="shared" si="264"/>
        <v>Defensive</v>
      </c>
    </row>
    <row r="2607" spans="2:40" x14ac:dyDescent="0.2">
      <c r="B2607" t="str">
        <f t="shared" si="263"/>
        <v/>
      </c>
      <c r="U2607" s="8">
        <f t="shared" si="266"/>
        <v>2</v>
      </c>
      <c r="AD2607" t="str">
        <f t="shared" si="265"/>
        <v>o</v>
      </c>
      <c r="AE2607" t="str">
        <f t="shared" si="269"/>
        <v/>
      </c>
      <c r="AF2607" t="str">
        <f t="shared" si="267"/>
        <v/>
      </c>
      <c r="AG2607" t="str">
        <f t="shared" si="268"/>
        <v/>
      </c>
      <c r="AN2607" t="str">
        <f t="shared" si="264"/>
        <v>Defensive</v>
      </c>
    </row>
    <row r="2608" spans="2:40" x14ac:dyDescent="0.2">
      <c r="B2608" t="str">
        <f t="shared" ref="B2608:B2671" si="270">IF(A2608=A2607,B2607,"")</f>
        <v/>
      </c>
      <c r="U2608" s="8">
        <f t="shared" si="266"/>
        <v>2</v>
      </c>
      <c r="AD2608" t="str">
        <f t="shared" si="265"/>
        <v>o</v>
      </c>
      <c r="AE2608" t="str">
        <f t="shared" si="269"/>
        <v/>
      </c>
      <c r="AF2608" t="str">
        <f t="shared" si="267"/>
        <v/>
      </c>
      <c r="AG2608" t="str">
        <f t="shared" si="268"/>
        <v/>
      </c>
      <c r="AN2608" t="str">
        <f t="shared" si="264"/>
        <v>Defensive</v>
      </c>
    </row>
    <row r="2609" spans="2:40" x14ac:dyDescent="0.2">
      <c r="B2609" t="str">
        <f t="shared" si="270"/>
        <v/>
      </c>
      <c r="U2609" s="8">
        <f t="shared" si="266"/>
        <v>2</v>
      </c>
      <c r="AD2609" t="str">
        <f t="shared" si="265"/>
        <v>o</v>
      </c>
      <c r="AE2609" t="str">
        <f t="shared" si="269"/>
        <v/>
      </c>
      <c r="AF2609" t="str">
        <f t="shared" si="267"/>
        <v/>
      </c>
      <c r="AG2609" t="str">
        <f t="shared" si="268"/>
        <v/>
      </c>
      <c r="AN2609" t="str">
        <f t="shared" si="264"/>
        <v>Defensive</v>
      </c>
    </row>
    <row r="2610" spans="2:40" x14ac:dyDescent="0.2">
      <c r="B2610" t="str">
        <f t="shared" si="270"/>
        <v/>
      </c>
      <c r="U2610" s="8">
        <f t="shared" si="266"/>
        <v>2</v>
      </c>
      <c r="AD2610" t="str">
        <f t="shared" si="265"/>
        <v>o</v>
      </c>
      <c r="AE2610" t="str">
        <f t="shared" si="269"/>
        <v/>
      </c>
      <c r="AF2610" t="str">
        <f t="shared" si="267"/>
        <v/>
      </c>
      <c r="AG2610" t="str">
        <f t="shared" si="268"/>
        <v/>
      </c>
      <c r="AN2610" t="str">
        <f t="shared" si="264"/>
        <v>Defensive</v>
      </c>
    </row>
    <row r="2611" spans="2:40" x14ac:dyDescent="0.2">
      <c r="B2611" t="str">
        <f t="shared" si="270"/>
        <v/>
      </c>
      <c r="U2611" s="8">
        <f t="shared" si="266"/>
        <v>2</v>
      </c>
      <c r="AD2611" t="str">
        <f t="shared" si="265"/>
        <v>o</v>
      </c>
      <c r="AE2611" t="str">
        <f t="shared" si="269"/>
        <v/>
      </c>
      <c r="AF2611" t="str">
        <f t="shared" si="267"/>
        <v/>
      </c>
      <c r="AG2611" t="str">
        <f t="shared" si="268"/>
        <v/>
      </c>
      <c r="AN2611" t="str">
        <f t="shared" si="264"/>
        <v>Defensive</v>
      </c>
    </row>
    <row r="2612" spans="2:40" x14ac:dyDescent="0.2">
      <c r="B2612" t="str">
        <f t="shared" si="270"/>
        <v/>
      </c>
      <c r="U2612" s="8">
        <f t="shared" si="266"/>
        <v>2</v>
      </c>
      <c r="AD2612" t="str">
        <f t="shared" si="265"/>
        <v>o</v>
      </c>
      <c r="AE2612" t="str">
        <f t="shared" si="269"/>
        <v/>
      </c>
      <c r="AF2612" t="str">
        <f t="shared" si="267"/>
        <v/>
      </c>
      <c r="AG2612" t="str">
        <f t="shared" si="268"/>
        <v/>
      </c>
      <c r="AN2612" t="str">
        <f t="shared" si="264"/>
        <v>Defensive</v>
      </c>
    </row>
    <row r="2613" spans="2:40" x14ac:dyDescent="0.2">
      <c r="B2613" t="str">
        <f t="shared" si="270"/>
        <v/>
      </c>
      <c r="U2613" s="8">
        <f t="shared" si="266"/>
        <v>2</v>
      </c>
      <c r="AD2613" t="str">
        <f t="shared" si="265"/>
        <v>o</v>
      </c>
      <c r="AE2613" t="str">
        <f t="shared" si="269"/>
        <v/>
      </c>
      <c r="AF2613" t="str">
        <f t="shared" si="267"/>
        <v/>
      </c>
      <c r="AG2613" t="str">
        <f t="shared" si="268"/>
        <v/>
      </c>
      <c r="AN2613" t="str">
        <f t="shared" si="264"/>
        <v>Defensive</v>
      </c>
    </row>
    <row r="2614" spans="2:40" x14ac:dyDescent="0.2">
      <c r="B2614" t="str">
        <f t="shared" si="270"/>
        <v/>
      </c>
      <c r="U2614" s="8">
        <f t="shared" si="266"/>
        <v>2</v>
      </c>
      <c r="AD2614" t="str">
        <f t="shared" si="265"/>
        <v>o</v>
      </c>
      <c r="AE2614" t="str">
        <f t="shared" si="269"/>
        <v/>
      </c>
      <c r="AF2614" t="str">
        <f t="shared" si="267"/>
        <v/>
      </c>
      <c r="AG2614" t="str">
        <f t="shared" si="268"/>
        <v/>
      </c>
      <c r="AN2614" t="str">
        <f t="shared" si="264"/>
        <v>Defensive</v>
      </c>
    </row>
    <row r="2615" spans="2:40" x14ac:dyDescent="0.2">
      <c r="B2615" t="str">
        <f t="shared" si="270"/>
        <v/>
      </c>
      <c r="U2615" s="8">
        <f t="shared" si="266"/>
        <v>2</v>
      </c>
      <c r="AD2615" t="str">
        <f t="shared" si="265"/>
        <v>o</v>
      </c>
      <c r="AE2615" t="str">
        <f t="shared" si="269"/>
        <v/>
      </c>
      <c r="AF2615" t="str">
        <f t="shared" si="267"/>
        <v/>
      </c>
      <c r="AG2615" t="str">
        <f t="shared" si="268"/>
        <v/>
      </c>
      <c r="AN2615" t="str">
        <f t="shared" si="264"/>
        <v>Defensive</v>
      </c>
    </row>
    <row r="2616" spans="2:40" x14ac:dyDescent="0.2">
      <c r="B2616" t="str">
        <f t="shared" si="270"/>
        <v/>
      </c>
      <c r="U2616" s="8">
        <f t="shared" si="266"/>
        <v>2</v>
      </c>
      <c r="AD2616" t="str">
        <f t="shared" si="265"/>
        <v>o</v>
      </c>
      <c r="AE2616" t="str">
        <f t="shared" si="269"/>
        <v/>
      </c>
      <c r="AF2616" t="str">
        <f t="shared" si="267"/>
        <v/>
      </c>
      <c r="AG2616" t="str">
        <f t="shared" si="268"/>
        <v/>
      </c>
      <c r="AN2616" t="str">
        <f t="shared" si="264"/>
        <v>Defensive</v>
      </c>
    </row>
    <row r="2617" spans="2:40" x14ac:dyDescent="0.2">
      <c r="B2617" t="str">
        <f t="shared" si="270"/>
        <v/>
      </c>
      <c r="U2617" s="8">
        <f t="shared" si="266"/>
        <v>2</v>
      </c>
      <c r="AD2617" t="str">
        <f t="shared" si="265"/>
        <v>o</v>
      </c>
      <c r="AE2617" t="str">
        <f t="shared" si="269"/>
        <v/>
      </c>
      <c r="AF2617" t="str">
        <f t="shared" si="267"/>
        <v/>
      </c>
      <c r="AG2617" t="str">
        <f t="shared" si="268"/>
        <v/>
      </c>
      <c r="AN2617" t="str">
        <f t="shared" ref="AN2617:AN2680" si="271">IF(AND(AD2617="e",OR(AE2617="Save",AF2617="Turnover_Takeaway",AF2617="Play_Defensive")),"Defensive",IF(AND(AD2617="o",OR(AE2617="Save",AF2617="Turnover_Takeaway",AF2617="Play_Defensive")),"Offensive",IF(OR(AE2617="Deadice",AE2617="Stoppage",AE2617="Intermission"),"",IF(AD2617="e","Offensive",IF(AD2617="o","Defensive","")))))</f>
        <v>Defensive</v>
      </c>
    </row>
    <row r="2618" spans="2:40" x14ac:dyDescent="0.2">
      <c r="B2618" t="str">
        <f t="shared" si="270"/>
        <v/>
      </c>
      <c r="U2618" s="8">
        <f t="shared" si="266"/>
        <v>2</v>
      </c>
      <c r="AD2618" t="str">
        <f t="shared" si="265"/>
        <v>o</v>
      </c>
      <c r="AE2618" t="str">
        <f t="shared" si="269"/>
        <v/>
      </c>
      <c r="AF2618" t="str">
        <f t="shared" si="267"/>
        <v/>
      </c>
      <c r="AG2618" t="str">
        <f t="shared" si="268"/>
        <v/>
      </c>
      <c r="AN2618" t="str">
        <f t="shared" si="271"/>
        <v>Defensive</v>
      </c>
    </row>
    <row r="2619" spans="2:40" x14ac:dyDescent="0.2">
      <c r="B2619" t="str">
        <f t="shared" si="270"/>
        <v/>
      </c>
      <c r="U2619" s="8">
        <f t="shared" si="266"/>
        <v>2</v>
      </c>
      <c r="AD2619" t="str">
        <f t="shared" si="265"/>
        <v>o</v>
      </c>
      <c r="AE2619" t="str">
        <f t="shared" si="269"/>
        <v/>
      </c>
      <c r="AF2619" t="str">
        <f t="shared" si="267"/>
        <v/>
      </c>
      <c r="AG2619" t="str">
        <f t="shared" si="268"/>
        <v/>
      </c>
      <c r="AN2619" t="str">
        <f t="shared" si="271"/>
        <v>Defensive</v>
      </c>
    </row>
    <row r="2620" spans="2:40" x14ac:dyDescent="0.2">
      <c r="B2620" t="str">
        <f t="shared" si="270"/>
        <v/>
      </c>
      <c r="U2620" s="8">
        <f t="shared" si="266"/>
        <v>2</v>
      </c>
      <c r="AD2620" t="str">
        <f t="shared" si="265"/>
        <v>o</v>
      </c>
      <c r="AE2620" t="str">
        <f t="shared" si="269"/>
        <v/>
      </c>
      <c r="AF2620" t="str">
        <f t="shared" si="267"/>
        <v/>
      </c>
      <c r="AG2620" t="str">
        <f t="shared" si="268"/>
        <v/>
      </c>
      <c r="AN2620" t="str">
        <f t="shared" si="271"/>
        <v>Defensive</v>
      </c>
    </row>
    <row r="2621" spans="2:40" x14ac:dyDescent="0.2">
      <c r="B2621" t="str">
        <f t="shared" si="270"/>
        <v/>
      </c>
      <c r="U2621" s="8">
        <f t="shared" si="266"/>
        <v>2</v>
      </c>
      <c r="AD2621" t="str">
        <f t="shared" si="265"/>
        <v>o</v>
      </c>
      <c r="AE2621" t="str">
        <f t="shared" si="269"/>
        <v/>
      </c>
      <c r="AF2621" t="str">
        <f t="shared" si="267"/>
        <v/>
      </c>
      <c r="AG2621" t="str">
        <f t="shared" si="268"/>
        <v/>
      </c>
      <c r="AN2621" t="str">
        <f t="shared" si="271"/>
        <v>Defensive</v>
      </c>
    </row>
    <row r="2622" spans="2:40" x14ac:dyDescent="0.2">
      <c r="B2622" t="str">
        <f t="shared" si="270"/>
        <v/>
      </c>
      <c r="U2622" s="8">
        <f t="shared" si="266"/>
        <v>2</v>
      </c>
      <c r="AD2622" t="str">
        <f t="shared" si="265"/>
        <v>o</v>
      </c>
      <c r="AE2622" t="str">
        <f t="shared" si="269"/>
        <v/>
      </c>
      <c r="AF2622" t="str">
        <f t="shared" si="267"/>
        <v/>
      </c>
      <c r="AG2622" t="str">
        <f t="shared" si="268"/>
        <v/>
      </c>
      <c r="AN2622" t="str">
        <f t="shared" si="271"/>
        <v>Defensive</v>
      </c>
    </row>
    <row r="2623" spans="2:40" x14ac:dyDescent="0.2">
      <c r="B2623" t="str">
        <f t="shared" si="270"/>
        <v/>
      </c>
      <c r="U2623" s="8">
        <f t="shared" si="266"/>
        <v>2</v>
      </c>
      <c r="AD2623" t="str">
        <f t="shared" si="265"/>
        <v>o</v>
      </c>
      <c r="AE2623" t="str">
        <f t="shared" si="269"/>
        <v/>
      </c>
      <c r="AF2623" t="str">
        <f t="shared" si="267"/>
        <v/>
      </c>
      <c r="AG2623" t="str">
        <f t="shared" si="268"/>
        <v/>
      </c>
      <c r="AN2623" t="str">
        <f t="shared" si="271"/>
        <v>Defensive</v>
      </c>
    </row>
    <row r="2624" spans="2:40" x14ac:dyDescent="0.2">
      <c r="B2624" t="str">
        <f t="shared" si="270"/>
        <v/>
      </c>
      <c r="U2624" s="8">
        <f t="shared" si="266"/>
        <v>2</v>
      </c>
      <c r="AD2624" t="str">
        <f t="shared" si="265"/>
        <v>o</v>
      </c>
      <c r="AE2624" t="str">
        <f t="shared" si="269"/>
        <v/>
      </c>
      <c r="AF2624" t="str">
        <f t="shared" si="267"/>
        <v/>
      </c>
      <c r="AG2624" t="str">
        <f t="shared" si="268"/>
        <v/>
      </c>
      <c r="AN2624" t="str">
        <f t="shared" si="271"/>
        <v>Defensive</v>
      </c>
    </row>
    <row r="2625" spans="2:40" x14ac:dyDescent="0.2">
      <c r="B2625" t="str">
        <f t="shared" si="270"/>
        <v/>
      </c>
      <c r="U2625" s="8">
        <f t="shared" si="266"/>
        <v>2</v>
      </c>
      <c r="AD2625" t="str">
        <f t="shared" si="265"/>
        <v>o</v>
      </c>
      <c r="AE2625" t="str">
        <f t="shared" si="269"/>
        <v/>
      </c>
      <c r="AF2625" t="str">
        <f t="shared" si="267"/>
        <v/>
      </c>
      <c r="AG2625" t="str">
        <f t="shared" si="268"/>
        <v/>
      </c>
      <c r="AN2625" t="str">
        <f t="shared" si="271"/>
        <v>Defensive</v>
      </c>
    </row>
    <row r="2626" spans="2:40" x14ac:dyDescent="0.2">
      <c r="B2626" t="str">
        <f t="shared" si="270"/>
        <v/>
      </c>
      <c r="U2626" s="8">
        <f t="shared" si="266"/>
        <v>2</v>
      </c>
      <c r="AD2626" t="str">
        <f t="shared" ref="AD2626:AD2689" si="272">IF(K2626="x","",IF(K2626=1,"e","o"))</f>
        <v>o</v>
      </c>
      <c r="AE2626" t="str">
        <f t="shared" si="269"/>
        <v/>
      </c>
      <c r="AF2626" t="str">
        <f t="shared" si="267"/>
        <v/>
      </c>
      <c r="AG2626" t="str">
        <f t="shared" si="268"/>
        <v/>
      </c>
      <c r="AN2626" t="str">
        <f t="shared" si="271"/>
        <v>Defensive</v>
      </c>
    </row>
    <row r="2627" spans="2:40" x14ac:dyDescent="0.2">
      <c r="B2627" t="str">
        <f t="shared" si="270"/>
        <v/>
      </c>
      <c r="U2627" s="8">
        <f t="shared" ref="U2627:U2690" si="273">IF(M2627="Intermission",U2626+1,U2626)</f>
        <v>2</v>
      </c>
      <c r="AD2627" t="str">
        <f t="shared" si="272"/>
        <v>o</v>
      </c>
      <c r="AE2627" t="str">
        <f t="shared" si="269"/>
        <v/>
      </c>
      <c r="AF2627" t="str">
        <f t="shared" ref="AF2627:AF2690" si="274">IF(N2627&lt;&gt;"",N2627,IF($A2627=$A2626,AF2626,""))</f>
        <v/>
      </c>
      <c r="AG2627" t="str">
        <f t="shared" ref="AG2627:AG2690" si="275">IF(O2627&lt;&gt;"",O2627,IF($A2627=$A2626,AG2626,""))</f>
        <v/>
      </c>
      <c r="AN2627" t="str">
        <f t="shared" si="271"/>
        <v>Defensive</v>
      </c>
    </row>
    <row r="2628" spans="2:40" x14ac:dyDescent="0.2">
      <c r="B2628" t="str">
        <f t="shared" si="270"/>
        <v/>
      </c>
      <c r="U2628" s="8">
        <f t="shared" si="273"/>
        <v>2</v>
      </c>
      <c r="AD2628" t="str">
        <f t="shared" si="272"/>
        <v>o</v>
      </c>
      <c r="AE2628" t="str">
        <f t="shared" ref="AE2628:AE2691" si="276">IF(M2628&lt;&gt;"",M2628,IF($A2628=$A2627,AE2627,""))</f>
        <v/>
      </c>
      <c r="AF2628" t="str">
        <f t="shared" si="274"/>
        <v/>
      </c>
      <c r="AG2628" t="str">
        <f t="shared" si="275"/>
        <v/>
      </c>
      <c r="AN2628" t="str">
        <f t="shared" si="271"/>
        <v>Defensive</v>
      </c>
    </row>
    <row r="2629" spans="2:40" x14ac:dyDescent="0.2">
      <c r="B2629" t="str">
        <f t="shared" si="270"/>
        <v/>
      </c>
      <c r="U2629" s="8">
        <f t="shared" si="273"/>
        <v>2</v>
      </c>
      <c r="AD2629" t="str">
        <f t="shared" si="272"/>
        <v>o</v>
      </c>
      <c r="AE2629" t="str">
        <f t="shared" si="276"/>
        <v/>
      </c>
      <c r="AF2629" t="str">
        <f t="shared" si="274"/>
        <v/>
      </c>
      <c r="AG2629" t="str">
        <f t="shared" si="275"/>
        <v/>
      </c>
      <c r="AN2629" t="str">
        <f t="shared" si="271"/>
        <v>Defensive</v>
      </c>
    </row>
    <row r="2630" spans="2:40" x14ac:dyDescent="0.2">
      <c r="B2630" t="str">
        <f t="shared" si="270"/>
        <v/>
      </c>
      <c r="U2630" s="8">
        <f t="shared" si="273"/>
        <v>2</v>
      </c>
      <c r="AD2630" t="str">
        <f t="shared" si="272"/>
        <v>o</v>
      </c>
      <c r="AE2630" t="str">
        <f t="shared" si="276"/>
        <v/>
      </c>
      <c r="AF2630" t="str">
        <f t="shared" si="274"/>
        <v/>
      </c>
      <c r="AG2630" t="str">
        <f t="shared" si="275"/>
        <v/>
      </c>
      <c r="AN2630" t="str">
        <f t="shared" si="271"/>
        <v>Defensive</v>
      </c>
    </row>
    <row r="2631" spans="2:40" x14ac:dyDescent="0.2">
      <c r="B2631" t="str">
        <f t="shared" si="270"/>
        <v/>
      </c>
      <c r="U2631" s="8">
        <f t="shared" si="273"/>
        <v>2</v>
      </c>
      <c r="AD2631" t="str">
        <f t="shared" si="272"/>
        <v>o</v>
      </c>
      <c r="AE2631" t="str">
        <f t="shared" si="276"/>
        <v/>
      </c>
      <c r="AF2631" t="str">
        <f t="shared" si="274"/>
        <v/>
      </c>
      <c r="AG2631" t="str">
        <f t="shared" si="275"/>
        <v/>
      </c>
      <c r="AN2631" t="str">
        <f t="shared" si="271"/>
        <v>Defensive</v>
      </c>
    </row>
    <row r="2632" spans="2:40" x14ac:dyDescent="0.2">
      <c r="B2632" t="str">
        <f t="shared" si="270"/>
        <v/>
      </c>
      <c r="U2632" s="8">
        <f t="shared" si="273"/>
        <v>2</v>
      </c>
      <c r="AD2632" t="str">
        <f t="shared" si="272"/>
        <v>o</v>
      </c>
      <c r="AE2632" t="str">
        <f t="shared" si="276"/>
        <v/>
      </c>
      <c r="AF2632" t="str">
        <f t="shared" si="274"/>
        <v/>
      </c>
      <c r="AG2632" t="str">
        <f t="shared" si="275"/>
        <v/>
      </c>
      <c r="AN2632" t="str">
        <f t="shared" si="271"/>
        <v>Defensive</v>
      </c>
    </row>
    <row r="2633" spans="2:40" x14ac:dyDescent="0.2">
      <c r="B2633" t="str">
        <f t="shared" si="270"/>
        <v/>
      </c>
      <c r="U2633" s="8">
        <f t="shared" si="273"/>
        <v>2</v>
      </c>
      <c r="AD2633" t="str">
        <f t="shared" si="272"/>
        <v>o</v>
      </c>
      <c r="AE2633" t="str">
        <f t="shared" si="276"/>
        <v/>
      </c>
      <c r="AF2633" t="str">
        <f t="shared" si="274"/>
        <v/>
      </c>
      <c r="AG2633" t="str">
        <f t="shared" si="275"/>
        <v/>
      </c>
      <c r="AN2633" t="str">
        <f t="shared" si="271"/>
        <v>Defensive</v>
      </c>
    </row>
    <row r="2634" spans="2:40" x14ac:dyDescent="0.2">
      <c r="B2634" t="str">
        <f t="shared" si="270"/>
        <v/>
      </c>
      <c r="U2634" s="8">
        <f t="shared" si="273"/>
        <v>2</v>
      </c>
      <c r="AD2634" t="str">
        <f t="shared" si="272"/>
        <v>o</v>
      </c>
      <c r="AE2634" t="str">
        <f t="shared" si="276"/>
        <v/>
      </c>
      <c r="AF2634" t="str">
        <f t="shared" si="274"/>
        <v/>
      </c>
      <c r="AG2634" t="str">
        <f t="shared" si="275"/>
        <v/>
      </c>
      <c r="AN2634" t="str">
        <f t="shared" si="271"/>
        <v>Defensive</v>
      </c>
    </row>
    <row r="2635" spans="2:40" x14ac:dyDescent="0.2">
      <c r="B2635" t="str">
        <f t="shared" si="270"/>
        <v/>
      </c>
      <c r="U2635" s="8">
        <f t="shared" si="273"/>
        <v>2</v>
      </c>
      <c r="AD2635" t="str">
        <f t="shared" si="272"/>
        <v>o</v>
      </c>
      <c r="AE2635" t="str">
        <f t="shared" si="276"/>
        <v/>
      </c>
      <c r="AF2635" t="str">
        <f t="shared" si="274"/>
        <v/>
      </c>
      <c r="AG2635" t="str">
        <f t="shared" si="275"/>
        <v/>
      </c>
      <c r="AN2635" t="str">
        <f t="shared" si="271"/>
        <v>Defensive</v>
      </c>
    </row>
    <row r="2636" spans="2:40" x14ac:dyDescent="0.2">
      <c r="B2636" t="str">
        <f t="shared" si="270"/>
        <v/>
      </c>
      <c r="U2636" s="8">
        <f t="shared" si="273"/>
        <v>2</v>
      </c>
      <c r="AD2636" t="str">
        <f t="shared" si="272"/>
        <v>o</v>
      </c>
      <c r="AE2636" t="str">
        <f t="shared" si="276"/>
        <v/>
      </c>
      <c r="AF2636" t="str">
        <f t="shared" si="274"/>
        <v/>
      </c>
      <c r="AG2636" t="str">
        <f t="shared" si="275"/>
        <v/>
      </c>
      <c r="AN2636" t="str">
        <f t="shared" si="271"/>
        <v>Defensive</v>
      </c>
    </row>
    <row r="2637" spans="2:40" x14ac:dyDescent="0.2">
      <c r="B2637" t="str">
        <f t="shared" si="270"/>
        <v/>
      </c>
      <c r="U2637" s="8">
        <f t="shared" si="273"/>
        <v>2</v>
      </c>
      <c r="AD2637" t="str">
        <f t="shared" si="272"/>
        <v>o</v>
      </c>
      <c r="AE2637" t="str">
        <f t="shared" si="276"/>
        <v/>
      </c>
      <c r="AF2637" t="str">
        <f t="shared" si="274"/>
        <v/>
      </c>
      <c r="AG2637" t="str">
        <f t="shared" si="275"/>
        <v/>
      </c>
      <c r="AN2637" t="str">
        <f t="shared" si="271"/>
        <v>Defensive</v>
      </c>
    </row>
    <row r="2638" spans="2:40" x14ac:dyDescent="0.2">
      <c r="B2638" t="str">
        <f t="shared" si="270"/>
        <v/>
      </c>
      <c r="U2638" s="8">
        <f t="shared" si="273"/>
        <v>2</v>
      </c>
      <c r="AD2638" t="str">
        <f t="shared" si="272"/>
        <v>o</v>
      </c>
      <c r="AE2638" t="str">
        <f t="shared" si="276"/>
        <v/>
      </c>
      <c r="AF2638" t="str">
        <f t="shared" si="274"/>
        <v/>
      </c>
      <c r="AG2638" t="str">
        <f t="shared" si="275"/>
        <v/>
      </c>
      <c r="AN2638" t="str">
        <f t="shared" si="271"/>
        <v>Defensive</v>
      </c>
    </row>
    <row r="2639" spans="2:40" x14ac:dyDescent="0.2">
      <c r="B2639" t="str">
        <f t="shared" si="270"/>
        <v/>
      </c>
      <c r="U2639" s="8">
        <f t="shared" si="273"/>
        <v>2</v>
      </c>
      <c r="AD2639" t="str">
        <f t="shared" si="272"/>
        <v>o</v>
      </c>
      <c r="AE2639" t="str">
        <f t="shared" si="276"/>
        <v/>
      </c>
      <c r="AF2639" t="str">
        <f t="shared" si="274"/>
        <v/>
      </c>
      <c r="AG2639" t="str">
        <f t="shared" si="275"/>
        <v/>
      </c>
      <c r="AN2639" t="str">
        <f t="shared" si="271"/>
        <v>Defensive</v>
      </c>
    </row>
    <row r="2640" spans="2:40" x14ac:dyDescent="0.2">
      <c r="B2640" t="str">
        <f t="shared" si="270"/>
        <v/>
      </c>
      <c r="U2640" s="8">
        <f t="shared" si="273"/>
        <v>2</v>
      </c>
      <c r="AD2640" t="str">
        <f t="shared" si="272"/>
        <v>o</v>
      </c>
      <c r="AE2640" t="str">
        <f t="shared" si="276"/>
        <v/>
      </c>
      <c r="AF2640" t="str">
        <f t="shared" si="274"/>
        <v/>
      </c>
      <c r="AG2640" t="str">
        <f t="shared" si="275"/>
        <v/>
      </c>
      <c r="AN2640" t="str">
        <f t="shared" si="271"/>
        <v>Defensive</v>
      </c>
    </row>
    <row r="2641" spans="2:40" x14ac:dyDescent="0.2">
      <c r="B2641" t="str">
        <f t="shared" si="270"/>
        <v/>
      </c>
      <c r="U2641" s="8">
        <f t="shared" si="273"/>
        <v>2</v>
      </c>
      <c r="AD2641" t="str">
        <f t="shared" si="272"/>
        <v>o</v>
      </c>
      <c r="AE2641" t="str">
        <f t="shared" si="276"/>
        <v/>
      </c>
      <c r="AF2641" t="str">
        <f t="shared" si="274"/>
        <v/>
      </c>
      <c r="AG2641" t="str">
        <f t="shared" si="275"/>
        <v/>
      </c>
      <c r="AN2641" t="str">
        <f t="shared" si="271"/>
        <v>Defensive</v>
      </c>
    </row>
    <row r="2642" spans="2:40" x14ac:dyDescent="0.2">
      <c r="B2642" t="str">
        <f t="shared" si="270"/>
        <v/>
      </c>
      <c r="U2642" s="8">
        <f t="shared" si="273"/>
        <v>2</v>
      </c>
      <c r="AD2642" t="str">
        <f t="shared" si="272"/>
        <v>o</v>
      </c>
      <c r="AE2642" t="str">
        <f t="shared" si="276"/>
        <v/>
      </c>
      <c r="AF2642" t="str">
        <f t="shared" si="274"/>
        <v/>
      </c>
      <c r="AG2642" t="str">
        <f t="shared" si="275"/>
        <v/>
      </c>
      <c r="AN2642" t="str">
        <f t="shared" si="271"/>
        <v>Defensive</v>
      </c>
    </row>
    <row r="2643" spans="2:40" x14ac:dyDescent="0.2">
      <c r="B2643" t="str">
        <f t="shared" si="270"/>
        <v/>
      </c>
      <c r="U2643" s="8">
        <f t="shared" si="273"/>
        <v>2</v>
      </c>
      <c r="AD2643" t="str">
        <f t="shared" si="272"/>
        <v>o</v>
      </c>
      <c r="AE2643" t="str">
        <f t="shared" si="276"/>
        <v/>
      </c>
      <c r="AF2643" t="str">
        <f t="shared" si="274"/>
        <v/>
      </c>
      <c r="AG2643" t="str">
        <f t="shared" si="275"/>
        <v/>
      </c>
      <c r="AN2643" t="str">
        <f t="shared" si="271"/>
        <v>Defensive</v>
      </c>
    </row>
    <row r="2644" spans="2:40" x14ac:dyDescent="0.2">
      <c r="B2644" t="str">
        <f t="shared" si="270"/>
        <v/>
      </c>
      <c r="U2644" s="8">
        <f t="shared" si="273"/>
        <v>2</v>
      </c>
      <c r="AD2644" t="str">
        <f t="shared" si="272"/>
        <v>o</v>
      </c>
      <c r="AE2644" t="str">
        <f t="shared" si="276"/>
        <v/>
      </c>
      <c r="AF2644" t="str">
        <f t="shared" si="274"/>
        <v/>
      </c>
      <c r="AG2644" t="str">
        <f t="shared" si="275"/>
        <v/>
      </c>
      <c r="AN2644" t="str">
        <f t="shared" si="271"/>
        <v>Defensive</v>
      </c>
    </row>
    <row r="2645" spans="2:40" x14ac:dyDescent="0.2">
      <c r="B2645" t="str">
        <f t="shared" si="270"/>
        <v/>
      </c>
      <c r="U2645" s="8">
        <f t="shared" si="273"/>
        <v>2</v>
      </c>
      <c r="AD2645" t="str">
        <f t="shared" si="272"/>
        <v>o</v>
      </c>
      <c r="AE2645" t="str">
        <f t="shared" si="276"/>
        <v/>
      </c>
      <c r="AF2645" t="str">
        <f t="shared" si="274"/>
        <v/>
      </c>
      <c r="AG2645" t="str">
        <f t="shared" si="275"/>
        <v/>
      </c>
      <c r="AN2645" t="str">
        <f t="shared" si="271"/>
        <v>Defensive</v>
      </c>
    </row>
    <row r="2646" spans="2:40" x14ac:dyDescent="0.2">
      <c r="B2646" t="str">
        <f t="shared" si="270"/>
        <v/>
      </c>
      <c r="U2646" s="8">
        <f t="shared" si="273"/>
        <v>2</v>
      </c>
      <c r="AD2646" t="str">
        <f t="shared" si="272"/>
        <v>o</v>
      </c>
      <c r="AE2646" t="str">
        <f t="shared" si="276"/>
        <v/>
      </c>
      <c r="AF2646" t="str">
        <f t="shared" si="274"/>
        <v/>
      </c>
      <c r="AG2646" t="str">
        <f t="shared" si="275"/>
        <v/>
      </c>
      <c r="AN2646" t="str">
        <f t="shared" si="271"/>
        <v>Defensive</v>
      </c>
    </row>
    <row r="2647" spans="2:40" x14ac:dyDescent="0.2">
      <c r="B2647" t="str">
        <f t="shared" si="270"/>
        <v/>
      </c>
      <c r="U2647" s="8">
        <f t="shared" si="273"/>
        <v>2</v>
      </c>
      <c r="AD2647" t="str">
        <f t="shared" si="272"/>
        <v>o</v>
      </c>
      <c r="AE2647" t="str">
        <f t="shared" si="276"/>
        <v/>
      </c>
      <c r="AF2647" t="str">
        <f t="shared" si="274"/>
        <v/>
      </c>
      <c r="AG2647" t="str">
        <f t="shared" si="275"/>
        <v/>
      </c>
      <c r="AN2647" t="str">
        <f t="shared" si="271"/>
        <v>Defensive</v>
      </c>
    </row>
    <row r="2648" spans="2:40" x14ac:dyDescent="0.2">
      <c r="B2648" t="str">
        <f t="shared" si="270"/>
        <v/>
      </c>
      <c r="U2648" s="8">
        <f t="shared" si="273"/>
        <v>2</v>
      </c>
      <c r="AD2648" t="str">
        <f t="shared" si="272"/>
        <v>o</v>
      </c>
      <c r="AE2648" t="str">
        <f t="shared" si="276"/>
        <v/>
      </c>
      <c r="AF2648" t="str">
        <f t="shared" si="274"/>
        <v/>
      </c>
      <c r="AG2648" t="str">
        <f t="shared" si="275"/>
        <v/>
      </c>
      <c r="AN2648" t="str">
        <f t="shared" si="271"/>
        <v>Defensive</v>
      </c>
    </row>
    <row r="2649" spans="2:40" x14ac:dyDescent="0.2">
      <c r="B2649" t="str">
        <f t="shared" si="270"/>
        <v/>
      </c>
      <c r="U2649" s="8">
        <f t="shared" si="273"/>
        <v>2</v>
      </c>
      <c r="AD2649" t="str">
        <f t="shared" si="272"/>
        <v>o</v>
      </c>
      <c r="AE2649" t="str">
        <f t="shared" si="276"/>
        <v/>
      </c>
      <c r="AF2649" t="str">
        <f t="shared" si="274"/>
        <v/>
      </c>
      <c r="AG2649" t="str">
        <f t="shared" si="275"/>
        <v/>
      </c>
      <c r="AN2649" t="str">
        <f t="shared" si="271"/>
        <v>Defensive</v>
      </c>
    </row>
    <row r="2650" spans="2:40" x14ac:dyDescent="0.2">
      <c r="B2650" t="str">
        <f t="shared" si="270"/>
        <v/>
      </c>
      <c r="U2650" s="8">
        <f t="shared" si="273"/>
        <v>2</v>
      </c>
      <c r="AD2650" t="str">
        <f t="shared" si="272"/>
        <v>o</v>
      </c>
      <c r="AE2650" t="str">
        <f t="shared" si="276"/>
        <v/>
      </c>
      <c r="AF2650" t="str">
        <f t="shared" si="274"/>
        <v/>
      </c>
      <c r="AG2650" t="str">
        <f t="shared" si="275"/>
        <v/>
      </c>
      <c r="AN2650" t="str">
        <f t="shared" si="271"/>
        <v>Defensive</v>
      </c>
    </row>
    <row r="2651" spans="2:40" x14ac:dyDescent="0.2">
      <c r="B2651" t="str">
        <f t="shared" si="270"/>
        <v/>
      </c>
      <c r="U2651" s="8">
        <f t="shared" si="273"/>
        <v>2</v>
      </c>
      <c r="AD2651" t="str">
        <f t="shared" si="272"/>
        <v>o</v>
      </c>
      <c r="AE2651" t="str">
        <f t="shared" si="276"/>
        <v/>
      </c>
      <c r="AF2651" t="str">
        <f t="shared" si="274"/>
        <v/>
      </c>
      <c r="AG2651" t="str">
        <f t="shared" si="275"/>
        <v/>
      </c>
      <c r="AN2651" t="str">
        <f t="shared" si="271"/>
        <v>Defensive</v>
      </c>
    </row>
    <row r="2652" spans="2:40" x14ac:dyDescent="0.2">
      <c r="B2652" t="str">
        <f t="shared" si="270"/>
        <v/>
      </c>
      <c r="U2652" s="8">
        <f t="shared" si="273"/>
        <v>2</v>
      </c>
      <c r="AD2652" t="str">
        <f t="shared" si="272"/>
        <v>o</v>
      </c>
      <c r="AE2652" t="str">
        <f t="shared" si="276"/>
        <v/>
      </c>
      <c r="AF2652" t="str">
        <f t="shared" si="274"/>
        <v/>
      </c>
      <c r="AG2652" t="str">
        <f t="shared" si="275"/>
        <v/>
      </c>
      <c r="AN2652" t="str">
        <f t="shared" si="271"/>
        <v>Defensive</v>
      </c>
    </row>
    <row r="2653" spans="2:40" x14ac:dyDescent="0.2">
      <c r="B2653" t="str">
        <f t="shared" si="270"/>
        <v/>
      </c>
      <c r="U2653" s="8">
        <f t="shared" si="273"/>
        <v>2</v>
      </c>
      <c r="AD2653" t="str">
        <f t="shared" si="272"/>
        <v>o</v>
      </c>
      <c r="AE2653" t="str">
        <f t="shared" si="276"/>
        <v/>
      </c>
      <c r="AF2653" t="str">
        <f t="shared" si="274"/>
        <v/>
      </c>
      <c r="AG2653" t="str">
        <f t="shared" si="275"/>
        <v/>
      </c>
      <c r="AN2653" t="str">
        <f t="shared" si="271"/>
        <v>Defensive</v>
      </c>
    </row>
    <row r="2654" spans="2:40" x14ac:dyDescent="0.2">
      <c r="B2654" t="str">
        <f t="shared" si="270"/>
        <v/>
      </c>
      <c r="U2654" s="8">
        <f t="shared" si="273"/>
        <v>2</v>
      </c>
      <c r="AD2654" t="str">
        <f t="shared" si="272"/>
        <v>o</v>
      </c>
      <c r="AE2654" t="str">
        <f t="shared" si="276"/>
        <v/>
      </c>
      <c r="AF2654" t="str">
        <f t="shared" si="274"/>
        <v/>
      </c>
      <c r="AG2654" t="str">
        <f t="shared" si="275"/>
        <v/>
      </c>
      <c r="AN2654" t="str">
        <f t="shared" si="271"/>
        <v>Defensive</v>
      </c>
    </row>
    <row r="2655" spans="2:40" x14ac:dyDescent="0.2">
      <c r="B2655" t="str">
        <f t="shared" si="270"/>
        <v/>
      </c>
      <c r="U2655" s="8">
        <f t="shared" si="273"/>
        <v>2</v>
      </c>
      <c r="AD2655" t="str">
        <f t="shared" si="272"/>
        <v>o</v>
      </c>
      <c r="AE2655" t="str">
        <f t="shared" si="276"/>
        <v/>
      </c>
      <c r="AF2655" t="str">
        <f t="shared" si="274"/>
        <v/>
      </c>
      <c r="AG2655" t="str">
        <f t="shared" si="275"/>
        <v/>
      </c>
      <c r="AN2655" t="str">
        <f t="shared" si="271"/>
        <v>Defensive</v>
      </c>
    </row>
    <row r="2656" spans="2:40" x14ac:dyDescent="0.2">
      <c r="B2656" t="str">
        <f t="shared" si="270"/>
        <v/>
      </c>
      <c r="U2656" s="8">
        <f t="shared" si="273"/>
        <v>2</v>
      </c>
      <c r="AD2656" t="str">
        <f t="shared" si="272"/>
        <v>o</v>
      </c>
      <c r="AE2656" t="str">
        <f t="shared" si="276"/>
        <v/>
      </c>
      <c r="AF2656" t="str">
        <f t="shared" si="274"/>
        <v/>
      </c>
      <c r="AG2656" t="str">
        <f t="shared" si="275"/>
        <v/>
      </c>
      <c r="AN2656" t="str">
        <f t="shared" si="271"/>
        <v>Defensive</v>
      </c>
    </row>
    <row r="2657" spans="2:40" x14ac:dyDescent="0.2">
      <c r="B2657" t="str">
        <f t="shared" si="270"/>
        <v/>
      </c>
      <c r="U2657" s="8">
        <f t="shared" si="273"/>
        <v>2</v>
      </c>
      <c r="AD2657" t="str">
        <f t="shared" si="272"/>
        <v>o</v>
      </c>
      <c r="AE2657" t="str">
        <f t="shared" si="276"/>
        <v/>
      </c>
      <c r="AF2657" t="str">
        <f t="shared" si="274"/>
        <v/>
      </c>
      <c r="AG2657" t="str">
        <f t="shared" si="275"/>
        <v/>
      </c>
      <c r="AN2657" t="str">
        <f t="shared" si="271"/>
        <v>Defensive</v>
      </c>
    </row>
    <row r="2658" spans="2:40" x14ac:dyDescent="0.2">
      <c r="B2658" t="str">
        <f t="shared" si="270"/>
        <v/>
      </c>
      <c r="U2658" s="8">
        <f t="shared" si="273"/>
        <v>2</v>
      </c>
      <c r="AD2658" t="str">
        <f t="shared" si="272"/>
        <v>o</v>
      </c>
      <c r="AE2658" t="str">
        <f t="shared" si="276"/>
        <v/>
      </c>
      <c r="AF2658" t="str">
        <f t="shared" si="274"/>
        <v/>
      </c>
      <c r="AG2658" t="str">
        <f t="shared" si="275"/>
        <v/>
      </c>
      <c r="AN2658" t="str">
        <f t="shared" si="271"/>
        <v>Defensive</v>
      </c>
    </row>
    <row r="2659" spans="2:40" x14ac:dyDescent="0.2">
      <c r="B2659" t="str">
        <f t="shared" si="270"/>
        <v/>
      </c>
      <c r="U2659" s="8">
        <f t="shared" si="273"/>
        <v>2</v>
      </c>
      <c r="AD2659" t="str">
        <f t="shared" si="272"/>
        <v>o</v>
      </c>
      <c r="AE2659" t="str">
        <f t="shared" si="276"/>
        <v/>
      </c>
      <c r="AF2659" t="str">
        <f t="shared" si="274"/>
        <v/>
      </c>
      <c r="AG2659" t="str">
        <f t="shared" si="275"/>
        <v/>
      </c>
      <c r="AN2659" t="str">
        <f t="shared" si="271"/>
        <v>Defensive</v>
      </c>
    </row>
    <row r="2660" spans="2:40" x14ac:dyDescent="0.2">
      <c r="B2660" t="str">
        <f t="shared" si="270"/>
        <v/>
      </c>
      <c r="U2660" s="8">
        <f t="shared" si="273"/>
        <v>2</v>
      </c>
      <c r="AD2660" t="str">
        <f t="shared" si="272"/>
        <v>o</v>
      </c>
      <c r="AE2660" t="str">
        <f t="shared" si="276"/>
        <v/>
      </c>
      <c r="AF2660" t="str">
        <f t="shared" si="274"/>
        <v/>
      </c>
      <c r="AG2660" t="str">
        <f t="shared" si="275"/>
        <v/>
      </c>
      <c r="AN2660" t="str">
        <f t="shared" si="271"/>
        <v>Defensive</v>
      </c>
    </row>
    <row r="2661" spans="2:40" x14ac:dyDescent="0.2">
      <c r="B2661" t="str">
        <f t="shared" si="270"/>
        <v/>
      </c>
      <c r="U2661" s="8">
        <f t="shared" si="273"/>
        <v>2</v>
      </c>
      <c r="AD2661" t="str">
        <f t="shared" si="272"/>
        <v>o</v>
      </c>
      <c r="AE2661" t="str">
        <f t="shared" si="276"/>
        <v/>
      </c>
      <c r="AF2661" t="str">
        <f t="shared" si="274"/>
        <v/>
      </c>
      <c r="AG2661" t="str">
        <f t="shared" si="275"/>
        <v/>
      </c>
      <c r="AN2661" t="str">
        <f t="shared" si="271"/>
        <v>Defensive</v>
      </c>
    </row>
    <row r="2662" spans="2:40" x14ac:dyDescent="0.2">
      <c r="B2662" t="str">
        <f t="shared" si="270"/>
        <v/>
      </c>
      <c r="U2662" s="8">
        <f t="shared" si="273"/>
        <v>2</v>
      </c>
      <c r="AD2662" t="str">
        <f t="shared" si="272"/>
        <v>o</v>
      </c>
      <c r="AE2662" t="str">
        <f t="shared" si="276"/>
        <v/>
      </c>
      <c r="AF2662" t="str">
        <f t="shared" si="274"/>
        <v/>
      </c>
      <c r="AG2662" t="str">
        <f t="shared" si="275"/>
        <v/>
      </c>
      <c r="AN2662" t="str">
        <f t="shared" si="271"/>
        <v>Defensive</v>
      </c>
    </row>
    <row r="2663" spans="2:40" x14ac:dyDescent="0.2">
      <c r="B2663" t="str">
        <f t="shared" si="270"/>
        <v/>
      </c>
      <c r="U2663" s="8">
        <f t="shared" si="273"/>
        <v>2</v>
      </c>
      <c r="AD2663" t="str">
        <f t="shared" si="272"/>
        <v>o</v>
      </c>
      <c r="AE2663" t="str">
        <f t="shared" si="276"/>
        <v/>
      </c>
      <c r="AF2663" t="str">
        <f t="shared" si="274"/>
        <v/>
      </c>
      <c r="AG2663" t="str">
        <f t="shared" si="275"/>
        <v/>
      </c>
      <c r="AN2663" t="str">
        <f t="shared" si="271"/>
        <v>Defensive</v>
      </c>
    </row>
    <row r="2664" spans="2:40" x14ac:dyDescent="0.2">
      <c r="B2664" t="str">
        <f t="shared" si="270"/>
        <v/>
      </c>
      <c r="U2664" s="8">
        <f t="shared" si="273"/>
        <v>2</v>
      </c>
      <c r="AD2664" t="str">
        <f t="shared" si="272"/>
        <v>o</v>
      </c>
      <c r="AE2664" t="str">
        <f t="shared" si="276"/>
        <v/>
      </c>
      <c r="AF2664" t="str">
        <f t="shared" si="274"/>
        <v/>
      </c>
      <c r="AG2664" t="str">
        <f t="shared" si="275"/>
        <v/>
      </c>
      <c r="AN2664" t="str">
        <f t="shared" si="271"/>
        <v>Defensive</v>
      </c>
    </row>
    <row r="2665" spans="2:40" x14ac:dyDescent="0.2">
      <c r="B2665" t="str">
        <f t="shared" si="270"/>
        <v/>
      </c>
      <c r="U2665" s="8">
        <f t="shared" si="273"/>
        <v>2</v>
      </c>
      <c r="AD2665" t="str">
        <f t="shared" si="272"/>
        <v>o</v>
      </c>
      <c r="AE2665" t="str">
        <f t="shared" si="276"/>
        <v/>
      </c>
      <c r="AF2665" t="str">
        <f t="shared" si="274"/>
        <v/>
      </c>
      <c r="AG2665" t="str">
        <f t="shared" si="275"/>
        <v/>
      </c>
      <c r="AN2665" t="str">
        <f t="shared" si="271"/>
        <v>Defensive</v>
      </c>
    </row>
    <row r="2666" spans="2:40" x14ac:dyDescent="0.2">
      <c r="B2666" t="str">
        <f t="shared" si="270"/>
        <v/>
      </c>
      <c r="U2666" s="8">
        <f t="shared" si="273"/>
        <v>2</v>
      </c>
      <c r="AD2666" t="str">
        <f t="shared" si="272"/>
        <v>o</v>
      </c>
      <c r="AE2666" t="str">
        <f t="shared" si="276"/>
        <v/>
      </c>
      <c r="AF2666" t="str">
        <f t="shared" si="274"/>
        <v/>
      </c>
      <c r="AG2666" t="str">
        <f t="shared" si="275"/>
        <v/>
      </c>
      <c r="AN2666" t="str">
        <f t="shared" si="271"/>
        <v>Defensive</v>
      </c>
    </row>
    <row r="2667" spans="2:40" x14ac:dyDescent="0.2">
      <c r="B2667" t="str">
        <f t="shared" si="270"/>
        <v/>
      </c>
      <c r="U2667" s="8">
        <f t="shared" si="273"/>
        <v>2</v>
      </c>
      <c r="AD2667" t="str">
        <f t="shared" si="272"/>
        <v>o</v>
      </c>
      <c r="AE2667" t="str">
        <f t="shared" si="276"/>
        <v/>
      </c>
      <c r="AF2667" t="str">
        <f t="shared" si="274"/>
        <v/>
      </c>
      <c r="AG2667" t="str">
        <f t="shared" si="275"/>
        <v/>
      </c>
      <c r="AN2667" t="str">
        <f t="shared" si="271"/>
        <v>Defensive</v>
      </c>
    </row>
    <row r="2668" spans="2:40" x14ac:dyDescent="0.2">
      <c r="B2668" t="str">
        <f t="shared" si="270"/>
        <v/>
      </c>
      <c r="U2668" s="8">
        <f t="shared" si="273"/>
        <v>2</v>
      </c>
      <c r="AD2668" t="str">
        <f t="shared" si="272"/>
        <v>o</v>
      </c>
      <c r="AE2668" t="str">
        <f t="shared" si="276"/>
        <v/>
      </c>
      <c r="AF2668" t="str">
        <f t="shared" si="274"/>
        <v/>
      </c>
      <c r="AG2668" t="str">
        <f t="shared" si="275"/>
        <v/>
      </c>
      <c r="AN2668" t="str">
        <f t="shared" si="271"/>
        <v>Defensive</v>
      </c>
    </row>
    <row r="2669" spans="2:40" x14ac:dyDescent="0.2">
      <c r="B2669" t="str">
        <f t="shared" si="270"/>
        <v/>
      </c>
      <c r="U2669" s="8">
        <f t="shared" si="273"/>
        <v>2</v>
      </c>
      <c r="AD2669" t="str">
        <f t="shared" si="272"/>
        <v>o</v>
      </c>
      <c r="AE2669" t="str">
        <f t="shared" si="276"/>
        <v/>
      </c>
      <c r="AF2669" t="str">
        <f t="shared" si="274"/>
        <v/>
      </c>
      <c r="AG2669" t="str">
        <f t="shared" si="275"/>
        <v/>
      </c>
      <c r="AN2669" t="str">
        <f t="shared" si="271"/>
        <v>Defensive</v>
      </c>
    </row>
    <row r="2670" spans="2:40" x14ac:dyDescent="0.2">
      <c r="B2670" t="str">
        <f t="shared" si="270"/>
        <v/>
      </c>
      <c r="U2670" s="8">
        <f t="shared" si="273"/>
        <v>2</v>
      </c>
      <c r="AD2670" t="str">
        <f t="shared" si="272"/>
        <v>o</v>
      </c>
      <c r="AE2670" t="str">
        <f t="shared" si="276"/>
        <v/>
      </c>
      <c r="AF2670" t="str">
        <f t="shared" si="274"/>
        <v/>
      </c>
      <c r="AG2670" t="str">
        <f t="shared" si="275"/>
        <v/>
      </c>
      <c r="AN2670" t="str">
        <f t="shared" si="271"/>
        <v>Defensive</v>
      </c>
    </row>
    <row r="2671" spans="2:40" x14ac:dyDescent="0.2">
      <c r="B2671" t="str">
        <f t="shared" si="270"/>
        <v/>
      </c>
      <c r="U2671" s="8">
        <f t="shared" si="273"/>
        <v>2</v>
      </c>
      <c r="AD2671" t="str">
        <f t="shared" si="272"/>
        <v>o</v>
      </c>
      <c r="AE2671" t="str">
        <f t="shared" si="276"/>
        <v/>
      </c>
      <c r="AF2671" t="str">
        <f t="shared" si="274"/>
        <v/>
      </c>
      <c r="AG2671" t="str">
        <f t="shared" si="275"/>
        <v/>
      </c>
      <c r="AN2671" t="str">
        <f t="shared" si="271"/>
        <v>Defensive</v>
      </c>
    </row>
    <row r="2672" spans="2:40" x14ac:dyDescent="0.2">
      <c r="B2672" t="str">
        <f t="shared" ref="B2672:B2735" si="277">IF(A2672=A2671,B2671,"")</f>
        <v/>
      </c>
      <c r="U2672" s="8">
        <f t="shared" si="273"/>
        <v>2</v>
      </c>
      <c r="AD2672" t="str">
        <f t="shared" si="272"/>
        <v>o</v>
      </c>
      <c r="AE2672" t="str">
        <f t="shared" si="276"/>
        <v/>
      </c>
      <c r="AF2672" t="str">
        <f t="shared" si="274"/>
        <v/>
      </c>
      <c r="AG2672" t="str">
        <f t="shared" si="275"/>
        <v/>
      </c>
      <c r="AN2672" t="str">
        <f t="shared" si="271"/>
        <v>Defensive</v>
      </c>
    </row>
    <row r="2673" spans="2:40" x14ac:dyDescent="0.2">
      <c r="B2673" t="str">
        <f t="shared" si="277"/>
        <v/>
      </c>
      <c r="U2673" s="8">
        <f t="shared" si="273"/>
        <v>2</v>
      </c>
      <c r="AD2673" t="str">
        <f t="shared" si="272"/>
        <v>o</v>
      </c>
      <c r="AE2673" t="str">
        <f t="shared" si="276"/>
        <v/>
      </c>
      <c r="AF2673" t="str">
        <f t="shared" si="274"/>
        <v/>
      </c>
      <c r="AG2673" t="str">
        <f t="shared" si="275"/>
        <v/>
      </c>
      <c r="AN2673" t="str">
        <f t="shared" si="271"/>
        <v>Defensive</v>
      </c>
    </row>
    <row r="2674" spans="2:40" x14ac:dyDescent="0.2">
      <c r="B2674" t="str">
        <f t="shared" si="277"/>
        <v/>
      </c>
      <c r="U2674" s="8">
        <f t="shared" si="273"/>
        <v>2</v>
      </c>
      <c r="AD2674" t="str">
        <f t="shared" si="272"/>
        <v>o</v>
      </c>
      <c r="AE2674" t="str">
        <f t="shared" si="276"/>
        <v/>
      </c>
      <c r="AF2674" t="str">
        <f t="shared" si="274"/>
        <v/>
      </c>
      <c r="AG2674" t="str">
        <f t="shared" si="275"/>
        <v/>
      </c>
      <c r="AN2674" t="str">
        <f t="shared" si="271"/>
        <v>Defensive</v>
      </c>
    </row>
    <row r="2675" spans="2:40" x14ac:dyDescent="0.2">
      <c r="B2675" t="str">
        <f t="shared" si="277"/>
        <v/>
      </c>
      <c r="U2675" s="8">
        <f t="shared" si="273"/>
        <v>2</v>
      </c>
      <c r="AD2675" t="str">
        <f t="shared" si="272"/>
        <v>o</v>
      </c>
      <c r="AE2675" t="str">
        <f t="shared" si="276"/>
        <v/>
      </c>
      <c r="AF2675" t="str">
        <f t="shared" si="274"/>
        <v/>
      </c>
      <c r="AG2675" t="str">
        <f t="shared" si="275"/>
        <v/>
      </c>
      <c r="AN2675" t="str">
        <f t="shared" si="271"/>
        <v>Defensive</v>
      </c>
    </row>
    <row r="2676" spans="2:40" x14ac:dyDescent="0.2">
      <c r="B2676" t="str">
        <f t="shared" si="277"/>
        <v/>
      </c>
      <c r="U2676" s="8">
        <f t="shared" si="273"/>
        <v>2</v>
      </c>
      <c r="AD2676" t="str">
        <f t="shared" si="272"/>
        <v>o</v>
      </c>
      <c r="AE2676" t="str">
        <f t="shared" si="276"/>
        <v/>
      </c>
      <c r="AF2676" t="str">
        <f t="shared" si="274"/>
        <v/>
      </c>
      <c r="AG2676" t="str">
        <f t="shared" si="275"/>
        <v/>
      </c>
      <c r="AN2676" t="str">
        <f t="shared" si="271"/>
        <v>Defensive</v>
      </c>
    </row>
    <row r="2677" spans="2:40" x14ac:dyDescent="0.2">
      <c r="B2677" t="str">
        <f t="shared" si="277"/>
        <v/>
      </c>
      <c r="U2677" s="8">
        <f t="shared" si="273"/>
        <v>2</v>
      </c>
      <c r="AD2677" t="str">
        <f t="shared" si="272"/>
        <v>o</v>
      </c>
      <c r="AE2677" t="str">
        <f t="shared" si="276"/>
        <v/>
      </c>
      <c r="AF2677" t="str">
        <f t="shared" si="274"/>
        <v/>
      </c>
      <c r="AG2677" t="str">
        <f t="shared" si="275"/>
        <v/>
      </c>
      <c r="AN2677" t="str">
        <f t="shared" si="271"/>
        <v>Defensive</v>
      </c>
    </row>
    <row r="2678" spans="2:40" x14ac:dyDescent="0.2">
      <c r="B2678" t="str">
        <f t="shared" si="277"/>
        <v/>
      </c>
      <c r="U2678" s="8">
        <f t="shared" si="273"/>
        <v>2</v>
      </c>
      <c r="AD2678" t="str">
        <f t="shared" si="272"/>
        <v>o</v>
      </c>
      <c r="AE2678" t="str">
        <f t="shared" si="276"/>
        <v/>
      </c>
      <c r="AF2678" t="str">
        <f t="shared" si="274"/>
        <v/>
      </c>
      <c r="AG2678" t="str">
        <f t="shared" si="275"/>
        <v/>
      </c>
      <c r="AN2678" t="str">
        <f t="shared" si="271"/>
        <v>Defensive</v>
      </c>
    </row>
    <row r="2679" spans="2:40" x14ac:dyDescent="0.2">
      <c r="B2679" t="str">
        <f t="shared" si="277"/>
        <v/>
      </c>
      <c r="U2679" s="8">
        <f t="shared" si="273"/>
        <v>2</v>
      </c>
      <c r="AD2679" t="str">
        <f t="shared" si="272"/>
        <v>o</v>
      </c>
      <c r="AE2679" t="str">
        <f t="shared" si="276"/>
        <v/>
      </c>
      <c r="AF2679" t="str">
        <f t="shared" si="274"/>
        <v/>
      </c>
      <c r="AG2679" t="str">
        <f t="shared" si="275"/>
        <v/>
      </c>
      <c r="AN2679" t="str">
        <f t="shared" si="271"/>
        <v>Defensive</v>
      </c>
    </row>
    <row r="2680" spans="2:40" x14ac:dyDescent="0.2">
      <c r="B2680" t="str">
        <f t="shared" si="277"/>
        <v/>
      </c>
      <c r="U2680" s="8">
        <f t="shared" si="273"/>
        <v>2</v>
      </c>
      <c r="AD2680" t="str">
        <f t="shared" si="272"/>
        <v>o</v>
      </c>
      <c r="AE2680" t="str">
        <f t="shared" si="276"/>
        <v/>
      </c>
      <c r="AF2680" t="str">
        <f t="shared" si="274"/>
        <v/>
      </c>
      <c r="AG2680" t="str">
        <f t="shared" si="275"/>
        <v/>
      </c>
      <c r="AN2680" t="str">
        <f t="shared" si="271"/>
        <v>Defensive</v>
      </c>
    </row>
    <row r="2681" spans="2:40" x14ac:dyDescent="0.2">
      <c r="B2681" t="str">
        <f t="shared" si="277"/>
        <v/>
      </c>
      <c r="U2681" s="8">
        <f t="shared" si="273"/>
        <v>2</v>
      </c>
      <c r="AD2681" t="str">
        <f t="shared" si="272"/>
        <v>o</v>
      </c>
      <c r="AE2681" t="str">
        <f t="shared" si="276"/>
        <v/>
      </c>
      <c r="AF2681" t="str">
        <f t="shared" si="274"/>
        <v/>
      </c>
      <c r="AG2681" t="str">
        <f t="shared" si="275"/>
        <v/>
      </c>
      <c r="AN2681" t="str">
        <f t="shared" ref="AN2681:AN2744" si="278">IF(AND(AD2681="e",OR(AE2681="Save",AF2681="Turnover_Takeaway",AF2681="Play_Defensive")),"Defensive",IF(AND(AD2681="o",OR(AE2681="Save",AF2681="Turnover_Takeaway",AF2681="Play_Defensive")),"Offensive",IF(OR(AE2681="Deadice",AE2681="Stoppage",AE2681="Intermission"),"",IF(AD2681="e","Offensive",IF(AD2681="o","Defensive","")))))</f>
        <v>Defensive</v>
      </c>
    </row>
    <row r="2682" spans="2:40" x14ac:dyDescent="0.2">
      <c r="B2682" t="str">
        <f t="shared" si="277"/>
        <v/>
      </c>
      <c r="U2682" s="8">
        <f t="shared" si="273"/>
        <v>2</v>
      </c>
      <c r="AD2682" t="str">
        <f t="shared" si="272"/>
        <v>o</v>
      </c>
      <c r="AE2682" t="str">
        <f t="shared" si="276"/>
        <v/>
      </c>
      <c r="AF2682" t="str">
        <f t="shared" si="274"/>
        <v/>
      </c>
      <c r="AG2682" t="str">
        <f t="shared" si="275"/>
        <v/>
      </c>
      <c r="AN2682" t="str">
        <f t="shared" si="278"/>
        <v>Defensive</v>
      </c>
    </row>
    <row r="2683" spans="2:40" x14ac:dyDescent="0.2">
      <c r="B2683" t="str">
        <f t="shared" si="277"/>
        <v/>
      </c>
      <c r="U2683" s="8">
        <f t="shared" si="273"/>
        <v>2</v>
      </c>
      <c r="AD2683" t="str">
        <f t="shared" si="272"/>
        <v>o</v>
      </c>
      <c r="AE2683" t="str">
        <f t="shared" si="276"/>
        <v/>
      </c>
      <c r="AF2683" t="str">
        <f t="shared" si="274"/>
        <v/>
      </c>
      <c r="AG2683" t="str">
        <f t="shared" si="275"/>
        <v/>
      </c>
      <c r="AN2683" t="str">
        <f t="shared" si="278"/>
        <v>Defensive</v>
      </c>
    </row>
    <row r="2684" spans="2:40" x14ac:dyDescent="0.2">
      <c r="B2684" t="str">
        <f t="shared" si="277"/>
        <v/>
      </c>
      <c r="U2684" s="8">
        <f t="shared" si="273"/>
        <v>2</v>
      </c>
      <c r="AD2684" t="str">
        <f t="shared" si="272"/>
        <v>o</v>
      </c>
      <c r="AE2684" t="str">
        <f t="shared" si="276"/>
        <v/>
      </c>
      <c r="AF2684" t="str">
        <f t="shared" si="274"/>
        <v/>
      </c>
      <c r="AG2684" t="str">
        <f t="shared" si="275"/>
        <v/>
      </c>
      <c r="AN2684" t="str">
        <f t="shared" si="278"/>
        <v>Defensive</v>
      </c>
    </row>
    <row r="2685" spans="2:40" x14ac:dyDescent="0.2">
      <c r="B2685" t="str">
        <f t="shared" si="277"/>
        <v/>
      </c>
      <c r="U2685" s="8">
        <f t="shared" si="273"/>
        <v>2</v>
      </c>
      <c r="AD2685" t="str">
        <f t="shared" si="272"/>
        <v>o</v>
      </c>
      <c r="AE2685" t="str">
        <f t="shared" si="276"/>
        <v/>
      </c>
      <c r="AF2685" t="str">
        <f t="shared" si="274"/>
        <v/>
      </c>
      <c r="AG2685" t="str">
        <f t="shared" si="275"/>
        <v/>
      </c>
      <c r="AN2685" t="str">
        <f t="shared" si="278"/>
        <v>Defensive</v>
      </c>
    </row>
    <row r="2686" spans="2:40" x14ac:dyDescent="0.2">
      <c r="B2686" t="str">
        <f t="shared" si="277"/>
        <v/>
      </c>
      <c r="U2686" s="8">
        <f t="shared" si="273"/>
        <v>2</v>
      </c>
      <c r="AD2686" t="str">
        <f t="shared" si="272"/>
        <v>o</v>
      </c>
      <c r="AE2686" t="str">
        <f t="shared" si="276"/>
        <v/>
      </c>
      <c r="AF2686" t="str">
        <f t="shared" si="274"/>
        <v/>
      </c>
      <c r="AG2686" t="str">
        <f t="shared" si="275"/>
        <v/>
      </c>
      <c r="AN2686" t="str">
        <f t="shared" si="278"/>
        <v>Defensive</v>
      </c>
    </row>
    <row r="2687" spans="2:40" x14ac:dyDescent="0.2">
      <c r="B2687" t="str">
        <f t="shared" si="277"/>
        <v/>
      </c>
      <c r="U2687" s="8">
        <f t="shared" si="273"/>
        <v>2</v>
      </c>
      <c r="AD2687" t="str">
        <f t="shared" si="272"/>
        <v>o</v>
      </c>
      <c r="AE2687" t="str">
        <f t="shared" si="276"/>
        <v/>
      </c>
      <c r="AF2687" t="str">
        <f t="shared" si="274"/>
        <v/>
      </c>
      <c r="AG2687" t="str">
        <f t="shared" si="275"/>
        <v/>
      </c>
      <c r="AN2687" t="str">
        <f t="shared" si="278"/>
        <v>Defensive</v>
      </c>
    </row>
    <row r="2688" spans="2:40" x14ac:dyDescent="0.2">
      <c r="B2688" t="str">
        <f t="shared" si="277"/>
        <v/>
      </c>
      <c r="U2688" s="8">
        <f t="shared" si="273"/>
        <v>2</v>
      </c>
      <c r="AD2688" t="str">
        <f t="shared" si="272"/>
        <v>o</v>
      </c>
      <c r="AE2688" t="str">
        <f t="shared" si="276"/>
        <v/>
      </c>
      <c r="AF2688" t="str">
        <f t="shared" si="274"/>
        <v/>
      </c>
      <c r="AG2688" t="str">
        <f t="shared" si="275"/>
        <v/>
      </c>
      <c r="AN2688" t="str">
        <f t="shared" si="278"/>
        <v>Defensive</v>
      </c>
    </row>
    <row r="2689" spans="2:40" x14ac:dyDescent="0.2">
      <c r="B2689" t="str">
        <f t="shared" si="277"/>
        <v/>
      </c>
      <c r="U2689" s="8">
        <f t="shared" si="273"/>
        <v>2</v>
      </c>
      <c r="AD2689" t="str">
        <f t="shared" si="272"/>
        <v>o</v>
      </c>
      <c r="AE2689" t="str">
        <f t="shared" si="276"/>
        <v/>
      </c>
      <c r="AF2689" t="str">
        <f t="shared" si="274"/>
        <v/>
      </c>
      <c r="AG2689" t="str">
        <f t="shared" si="275"/>
        <v/>
      </c>
      <c r="AN2689" t="str">
        <f t="shared" si="278"/>
        <v>Defensive</v>
      </c>
    </row>
    <row r="2690" spans="2:40" x14ac:dyDescent="0.2">
      <c r="B2690" t="str">
        <f t="shared" si="277"/>
        <v/>
      </c>
      <c r="U2690" s="8">
        <f t="shared" si="273"/>
        <v>2</v>
      </c>
      <c r="AD2690" t="str">
        <f t="shared" ref="AD2690:AD2753" si="279">IF(K2690="x","",IF(K2690=1,"e","o"))</f>
        <v>o</v>
      </c>
      <c r="AE2690" t="str">
        <f t="shared" si="276"/>
        <v/>
      </c>
      <c r="AF2690" t="str">
        <f t="shared" si="274"/>
        <v/>
      </c>
      <c r="AG2690" t="str">
        <f t="shared" si="275"/>
        <v/>
      </c>
      <c r="AN2690" t="str">
        <f t="shared" si="278"/>
        <v>Defensive</v>
      </c>
    </row>
    <row r="2691" spans="2:40" x14ac:dyDescent="0.2">
      <c r="B2691" t="str">
        <f t="shared" si="277"/>
        <v/>
      </c>
      <c r="U2691" s="8">
        <f t="shared" ref="U2691:U2754" si="280">IF(M2691="Intermission",U2690+1,U2690)</f>
        <v>2</v>
      </c>
      <c r="AD2691" t="str">
        <f t="shared" si="279"/>
        <v>o</v>
      </c>
      <c r="AE2691" t="str">
        <f t="shared" si="276"/>
        <v/>
      </c>
      <c r="AF2691" t="str">
        <f t="shared" ref="AF2691:AF2754" si="281">IF(N2691&lt;&gt;"",N2691,IF($A2691=$A2690,AF2690,""))</f>
        <v/>
      </c>
      <c r="AG2691" t="str">
        <f t="shared" ref="AG2691:AG2754" si="282">IF(O2691&lt;&gt;"",O2691,IF($A2691=$A2690,AG2690,""))</f>
        <v/>
      </c>
      <c r="AN2691" t="str">
        <f t="shared" si="278"/>
        <v>Defensive</v>
      </c>
    </row>
    <row r="2692" spans="2:40" x14ac:dyDescent="0.2">
      <c r="B2692" t="str">
        <f t="shared" si="277"/>
        <v/>
      </c>
      <c r="U2692" s="8">
        <f t="shared" si="280"/>
        <v>2</v>
      </c>
      <c r="AD2692" t="str">
        <f t="shared" si="279"/>
        <v>o</v>
      </c>
      <c r="AE2692" t="str">
        <f t="shared" ref="AE2692:AE2755" si="283">IF(M2692&lt;&gt;"",M2692,IF($A2692=$A2691,AE2691,""))</f>
        <v/>
      </c>
      <c r="AF2692" t="str">
        <f t="shared" si="281"/>
        <v/>
      </c>
      <c r="AG2692" t="str">
        <f t="shared" si="282"/>
        <v/>
      </c>
      <c r="AN2692" t="str">
        <f t="shared" si="278"/>
        <v>Defensive</v>
      </c>
    </row>
    <row r="2693" spans="2:40" x14ac:dyDescent="0.2">
      <c r="B2693" t="str">
        <f t="shared" si="277"/>
        <v/>
      </c>
      <c r="U2693" s="8">
        <f t="shared" si="280"/>
        <v>2</v>
      </c>
      <c r="AD2693" t="str">
        <f t="shared" si="279"/>
        <v>o</v>
      </c>
      <c r="AE2693" t="str">
        <f t="shared" si="283"/>
        <v/>
      </c>
      <c r="AF2693" t="str">
        <f t="shared" si="281"/>
        <v/>
      </c>
      <c r="AG2693" t="str">
        <f t="shared" si="282"/>
        <v/>
      </c>
      <c r="AN2693" t="str">
        <f t="shared" si="278"/>
        <v>Defensive</v>
      </c>
    </row>
    <row r="2694" spans="2:40" x14ac:dyDescent="0.2">
      <c r="B2694" t="str">
        <f t="shared" si="277"/>
        <v/>
      </c>
      <c r="U2694" s="8">
        <f t="shared" si="280"/>
        <v>2</v>
      </c>
      <c r="AD2694" t="str">
        <f t="shared" si="279"/>
        <v>o</v>
      </c>
      <c r="AE2694" t="str">
        <f t="shared" si="283"/>
        <v/>
      </c>
      <c r="AF2694" t="str">
        <f t="shared" si="281"/>
        <v/>
      </c>
      <c r="AG2694" t="str">
        <f t="shared" si="282"/>
        <v/>
      </c>
      <c r="AN2694" t="str">
        <f t="shared" si="278"/>
        <v>Defensive</v>
      </c>
    </row>
    <row r="2695" spans="2:40" x14ac:dyDescent="0.2">
      <c r="B2695" t="str">
        <f t="shared" si="277"/>
        <v/>
      </c>
      <c r="U2695" s="8">
        <f t="shared" si="280"/>
        <v>2</v>
      </c>
      <c r="AD2695" t="str">
        <f t="shared" si="279"/>
        <v>o</v>
      </c>
      <c r="AE2695" t="str">
        <f t="shared" si="283"/>
        <v/>
      </c>
      <c r="AF2695" t="str">
        <f t="shared" si="281"/>
        <v/>
      </c>
      <c r="AG2695" t="str">
        <f t="shared" si="282"/>
        <v/>
      </c>
      <c r="AN2695" t="str">
        <f t="shared" si="278"/>
        <v>Defensive</v>
      </c>
    </row>
    <row r="2696" spans="2:40" x14ac:dyDescent="0.2">
      <c r="B2696" t="str">
        <f t="shared" si="277"/>
        <v/>
      </c>
      <c r="U2696" s="8">
        <f t="shared" si="280"/>
        <v>2</v>
      </c>
      <c r="AD2696" t="str">
        <f t="shared" si="279"/>
        <v>o</v>
      </c>
      <c r="AE2696" t="str">
        <f t="shared" si="283"/>
        <v/>
      </c>
      <c r="AF2696" t="str">
        <f t="shared" si="281"/>
        <v/>
      </c>
      <c r="AG2696" t="str">
        <f t="shared" si="282"/>
        <v/>
      </c>
      <c r="AN2696" t="str">
        <f t="shared" si="278"/>
        <v>Defensive</v>
      </c>
    </row>
    <row r="2697" spans="2:40" x14ac:dyDescent="0.2">
      <c r="B2697" t="str">
        <f t="shared" si="277"/>
        <v/>
      </c>
      <c r="U2697" s="8">
        <f t="shared" si="280"/>
        <v>2</v>
      </c>
      <c r="AD2697" t="str">
        <f t="shared" si="279"/>
        <v>o</v>
      </c>
      <c r="AE2697" t="str">
        <f t="shared" si="283"/>
        <v/>
      </c>
      <c r="AF2697" t="str">
        <f t="shared" si="281"/>
        <v/>
      </c>
      <c r="AG2697" t="str">
        <f t="shared" si="282"/>
        <v/>
      </c>
      <c r="AN2697" t="str">
        <f t="shared" si="278"/>
        <v>Defensive</v>
      </c>
    </row>
    <row r="2698" spans="2:40" x14ac:dyDescent="0.2">
      <c r="B2698" t="str">
        <f t="shared" si="277"/>
        <v/>
      </c>
      <c r="U2698" s="8">
        <f t="shared" si="280"/>
        <v>2</v>
      </c>
      <c r="AD2698" t="str">
        <f t="shared" si="279"/>
        <v>o</v>
      </c>
      <c r="AE2698" t="str">
        <f t="shared" si="283"/>
        <v/>
      </c>
      <c r="AF2698" t="str">
        <f t="shared" si="281"/>
        <v/>
      </c>
      <c r="AG2698" t="str">
        <f t="shared" si="282"/>
        <v/>
      </c>
      <c r="AN2698" t="str">
        <f t="shared" si="278"/>
        <v>Defensive</v>
      </c>
    </row>
    <row r="2699" spans="2:40" x14ac:dyDescent="0.2">
      <c r="B2699" t="str">
        <f t="shared" si="277"/>
        <v/>
      </c>
      <c r="U2699" s="8">
        <f t="shared" si="280"/>
        <v>2</v>
      </c>
      <c r="AD2699" t="str">
        <f t="shared" si="279"/>
        <v>o</v>
      </c>
      <c r="AE2699" t="str">
        <f t="shared" si="283"/>
        <v/>
      </c>
      <c r="AF2699" t="str">
        <f t="shared" si="281"/>
        <v/>
      </c>
      <c r="AG2699" t="str">
        <f t="shared" si="282"/>
        <v/>
      </c>
      <c r="AN2699" t="str">
        <f t="shared" si="278"/>
        <v>Defensive</v>
      </c>
    </row>
    <row r="2700" spans="2:40" x14ac:dyDescent="0.2">
      <c r="B2700" t="str">
        <f t="shared" si="277"/>
        <v/>
      </c>
      <c r="U2700" s="8">
        <f t="shared" si="280"/>
        <v>2</v>
      </c>
      <c r="AD2700" t="str">
        <f t="shared" si="279"/>
        <v>o</v>
      </c>
      <c r="AE2700" t="str">
        <f t="shared" si="283"/>
        <v/>
      </c>
      <c r="AF2700" t="str">
        <f t="shared" si="281"/>
        <v/>
      </c>
      <c r="AG2700" t="str">
        <f t="shared" si="282"/>
        <v/>
      </c>
      <c r="AN2700" t="str">
        <f t="shared" si="278"/>
        <v>Defensive</v>
      </c>
    </row>
    <row r="2701" spans="2:40" x14ac:dyDescent="0.2">
      <c r="B2701" t="str">
        <f t="shared" si="277"/>
        <v/>
      </c>
      <c r="U2701" s="8">
        <f t="shared" si="280"/>
        <v>2</v>
      </c>
      <c r="AD2701" t="str">
        <f t="shared" si="279"/>
        <v>o</v>
      </c>
      <c r="AE2701" t="str">
        <f t="shared" si="283"/>
        <v/>
      </c>
      <c r="AF2701" t="str">
        <f t="shared" si="281"/>
        <v/>
      </c>
      <c r="AG2701" t="str">
        <f t="shared" si="282"/>
        <v/>
      </c>
      <c r="AN2701" t="str">
        <f t="shared" si="278"/>
        <v>Defensive</v>
      </c>
    </row>
    <row r="2702" spans="2:40" x14ac:dyDescent="0.2">
      <c r="B2702" t="str">
        <f t="shared" si="277"/>
        <v/>
      </c>
      <c r="U2702" s="8">
        <f t="shared" si="280"/>
        <v>2</v>
      </c>
      <c r="AD2702" t="str">
        <f t="shared" si="279"/>
        <v>o</v>
      </c>
      <c r="AE2702" t="str">
        <f t="shared" si="283"/>
        <v/>
      </c>
      <c r="AF2702" t="str">
        <f t="shared" si="281"/>
        <v/>
      </c>
      <c r="AG2702" t="str">
        <f t="shared" si="282"/>
        <v/>
      </c>
      <c r="AN2702" t="str">
        <f t="shared" si="278"/>
        <v>Defensive</v>
      </c>
    </row>
    <row r="2703" spans="2:40" x14ac:dyDescent="0.2">
      <c r="B2703" t="str">
        <f t="shared" si="277"/>
        <v/>
      </c>
      <c r="U2703" s="8">
        <f t="shared" si="280"/>
        <v>2</v>
      </c>
      <c r="AD2703" t="str">
        <f t="shared" si="279"/>
        <v>o</v>
      </c>
      <c r="AE2703" t="str">
        <f t="shared" si="283"/>
        <v/>
      </c>
      <c r="AF2703" t="str">
        <f t="shared" si="281"/>
        <v/>
      </c>
      <c r="AG2703" t="str">
        <f t="shared" si="282"/>
        <v/>
      </c>
      <c r="AN2703" t="str">
        <f t="shared" si="278"/>
        <v>Defensive</v>
      </c>
    </row>
    <row r="2704" spans="2:40" x14ac:dyDescent="0.2">
      <c r="B2704" t="str">
        <f t="shared" si="277"/>
        <v/>
      </c>
      <c r="U2704" s="8">
        <f t="shared" si="280"/>
        <v>2</v>
      </c>
      <c r="AD2704" t="str">
        <f t="shared" si="279"/>
        <v>o</v>
      </c>
      <c r="AE2704" t="str">
        <f t="shared" si="283"/>
        <v/>
      </c>
      <c r="AF2704" t="str">
        <f t="shared" si="281"/>
        <v/>
      </c>
      <c r="AG2704" t="str">
        <f t="shared" si="282"/>
        <v/>
      </c>
      <c r="AN2704" t="str">
        <f t="shared" si="278"/>
        <v>Defensive</v>
      </c>
    </row>
    <row r="2705" spans="2:40" x14ac:dyDescent="0.2">
      <c r="B2705" t="str">
        <f t="shared" si="277"/>
        <v/>
      </c>
      <c r="U2705" s="8">
        <f t="shared" si="280"/>
        <v>2</v>
      </c>
      <c r="AD2705" t="str">
        <f t="shared" si="279"/>
        <v>o</v>
      </c>
      <c r="AE2705" t="str">
        <f t="shared" si="283"/>
        <v/>
      </c>
      <c r="AF2705" t="str">
        <f t="shared" si="281"/>
        <v/>
      </c>
      <c r="AG2705" t="str">
        <f t="shared" si="282"/>
        <v/>
      </c>
      <c r="AN2705" t="str">
        <f t="shared" si="278"/>
        <v>Defensive</v>
      </c>
    </row>
    <row r="2706" spans="2:40" x14ac:dyDescent="0.2">
      <c r="B2706" t="str">
        <f t="shared" si="277"/>
        <v/>
      </c>
      <c r="U2706" s="8">
        <f t="shared" si="280"/>
        <v>2</v>
      </c>
      <c r="AD2706" t="str">
        <f t="shared" si="279"/>
        <v>o</v>
      </c>
      <c r="AE2706" t="str">
        <f t="shared" si="283"/>
        <v/>
      </c>
      <c r="AF2706" t="str">
        <f t="shared" si="281"/>
        <v/>
      </c>
      <c r="AG2706" t="str">
        <f t="shared" si="282"/>
        <v/>
      </c>
      <c r="AN2706" t="str">
        <f t="shared" si="278"/>
        <v>Defensive</v>
      </c>
    </row>
    <row r="2707" spans="2:40" x14ac:dyDescent="0.2">
      <c r="B2707" t="str">
        <f t="shared" si="277"/>
        <v/>
      </c>
      <c r="U2707" s="8">
        <f t="shared" si="280"/>
        <v>2</v>
      </c>
      <c r="AD2707" t="str">
        <f t="shared" si="279"/>
        <v>o</v>
      </c>
      <c r="AE2707" t="str">
        <f t="shared" si="283"/>
        <v/>
      </c>
      <c r="AF2707" t="str">
        <f t="shared" si="281"/>
        <v/>
      </c>
      <c r="AG2707" t="str">
        <f t="shared" si="282"/>
        <v/>
      </c>
      <c r="AN2707" t="str">
        <f t="shared" si="278"/>
        <v>Defensive</v>
      </c>
    </row>
    <row r="2708" spans="2:40" x14ac:dyDescent="0.2">
      <c r="B2708" t="str">
        <f t="shared" si="277"/>
        <v/>
      </c>
      <c r="U2708" s="8">
        <f t="shared" si="280"/>
        <v>2</v>
      </c>
      <c r="AD2708" t="str">
        <f t="shared" si="279"/>
        <v>o</v>
      </c>
      <c r="AE2708" t="str">
        <f t="shared" si="283"/>
        <v/>
      </c>
      <c r="AF2708" t="str">
        <f t="shared" si="281"/>
        <v/>
      </c>
      <c r="AG2708" t="str">
        <f t="shared" si="282"/>
        <v/>
      </c>
      <c r="AN2708" t="str">
        <f t="shared" si="278"/>
        <v>Defensive</v>
      </c>
    </row>
    <row r="2709" spans="2:40" x14ac:dyDescent="0.2">
      <c r="B2709" t="str">
        <f t="shared" si="277"/>
        <v/>
      </c>
      <c r="U2709" s="8">
        <f t="shared" si="280"/>
        <v>2</v>
      </c>
      <c r="AD2709" t="str">
        <f t="shared" si="279"/>
        <v>o</v>
      </c>
      <c r="AE2709" t="str">
        <f t="shared" si="283"/>
        <v/>
      </c>
      <c r="AF2709" t="str">
        <f t="shared" si="281"/>
        <v/>
      </c>
      <c r="AG2709" t="str">
        <f t="shared" si="282"/>
        <v/>
      </c>
      <c r="AN2709" t="str">
        <f t="shared" si="278"/>
        <v>Defensive</v>
      </c>
    </row>
    <row r="2710" spans="2:40" x14ac:dyDescent="0.2">
      <c r="B2710" t="str">
        <f t="shared" si="277"/>
        <v/>
      </c>
      <c r="U2710" s="8">
        <f t="shared" si="280"/>
        <v>2</v>
      </c>
      <c r="AD2710" t="str">
        <f t="shared" si="279"/>
        <v>o</v>
      </c>
      <c r="AE2710" t="str">
        <f t="shared" si="283"/>
        <v/>
      </c>
      <c r="AF2710" t="str">
        <f t="shared" si="281"/>
        <v/>
      </c>
      <c r="AG2710" t="str">
        <f t="shared" si="282"/>
        <v/>
      </c>
      <c r="AN2710" t="str">
        <f t="shared" si="278"/>
        <v>Defensive</v>
      </c>
    </row>
    <row r="2711" spans="2:40" x14ac:dyDescent="0.2">
      <c r="B2711" t="str">
        <f t="shared" si="277"/>
        <v/>
      </c>
      <c r="U2711" s="8">
        <f t="shared" si="280"/>
        <v>2</v>
      </c>
      <c r="AD2711" t="str">
        <f t="shared" si="279"/>
        <v>o</v>
      </c>
      <c r="AE2711" t="str">
        <f t="shared" si="283"/>
        <v/>
      </c>
      <c r="AF2711" t="str">
        <f t="shared" si="281"/>
        <v/>
      </c>
      <c r="AG2711" t="str">
        <f t="shared" si="282"/>
        <v/>
      </c>
      <c r="AN2711" t="str">
        <f t="shared" si="278"/>
        <v>Defensive</v>
      </c>
    </row>
    <row r="2712" spans="2:40" x14ac:dyDescent="0.2">
      <c r="B2712" t="str">
        <f t="shared" si="277"/>
        <v/>
      </c>
      <c r="U2712" s="8">
        <f t="shared" si="280"/>
        <v>2</v>
      </c>
      <c r="AD2712" t="str">
        <f t="shared" si="279"/>
        <v>o</v>
      </c>
      <c r="AE2712" t="str">
        <f t="shared" si="283"/>
        <v/>
      </c>
      <c r="AF2712" t="str">
        <f t="shared" si="281"/>
        <v/>
      </c>
      <c r="AG2712" t="str">
        <f t="shared" si="282"/>
        <v/>
      </c>
      <c r="AN2712" t="str">
        <f t="shared" si="278"/>
        <v>Defensive</v>
      </c>
    </row>
    <row r="2713" spans="2:40" x14ac:dyDescent="0.2">
      <c r="B2713" t="str">
        <f t="shared" si="277"/>
        <v/>
      </c>
      <c r="U2713" s="8">
        <f t="shared" si="280"/>
        <v>2</v>
      </c>
      <c r="AD2713" t="str">
        <f t="shared" si="279"/>
        <v>o</v>
      </c>
      <c r="AE2713" t="str">
        <f t="shared" si="283"/>
        <v/>
      </c>
      <c r="AF2713" t="str">
        <f t="shared" si="281"/>
        <v/>
      </c>
      <c r="AG2713" t="str">
        <f t="shared" si="282"/>
        <v/>
      </c>
      <c r="AN2713" t="str">
        <f t="shared" si="278"/>
        <v>Defensive</v>
      </c>
    </row>
    <row r="2714" spans="2:40" x14ac:dyDescent="0.2">
      <c r="B2714" t="str">
        <f t="shared" si="277"/>
        <v/>
      </c>
      <c r="U2714" s="8">
        <f t="shared" si="280"/>
        <v>2</v>
      </c>
      <c r="AD2714" t="str">
        <f t="shared" si="279"/>
        <v>o</v>
      </c>
      <c r="AE2714" t="str">
        <f t="shared" si="283"/>
        <v/>
      </c>
      <c r="AF2714" t="str">
        <f t="shared" si="281"/>
        <v/>
      </c>
      <c r="AG2714" t="str">
        <f t="shared" si="282"/>
        <v/>
      </c>
      <c r="AN2714" t="str">
        <f t="shared" si="278"/>
        <v>Defensive</v>
      </c>
    </row>
    <row r="2715" spans="2:40" x14ac:dyDescent="0.2">
      <c r="B2715" t="str">
        <f t="shared" si="277"/>
        <v/>
      </c>
      <c r="U2715" s="8">
        <f t="shared" si="280"/>
        <v>2</v>
      </c>
      <c r="AD2715" t="str">
        <f t="shared" si="279"/>
        <v>o</v>
      </c>
      <c r="AE2715" t="str">
        <f t="shared" si="283"/>
        <v/>
      </c>
      <c r="AF2715" t="str">
        <f t="shared" si="281"/>
        <v/>
      </c>
      <c r="AG2715" t="str">
        <f t="shared" si="282"/>
        <v/>
      </c>
      <c r="AN2715" t="str">
        <f t="shared" si="278"/>
        <v>Defensive</v>
      </c>
    </row>
    <row r="2716" spans="2:40" x14ac:dyDescent="0.2">
      <c r="B2716" t="str">
        <f t="shared" si="277"/>
        <v/>
      </c>
      <c r="U2716" s="8">
        <f t="shared" si="280"/>
        <v>2</v>
      </c>
      <c r="AD2716" t="str">
        <f t="shared" si="279"/>
        <v>o</v>
      </c>
      <c r="AE2716" t="str">
        <f t="shared" si="283"/>
        <v/>
      </c>
      <c r="AF2716" t="str">
        <f t="shared" si="281"/>
        <v/>
      </c>
      <c r="AG2716" t="str">
        <f t="shared" si="282"/>
        <v/>
      </c>
      <c r="AN2716" t="str">
        <f t="shared" si="278"/>
        <v>Defensive</v>
      </c>
    </row>
    <row r="2717" spans="2:40" x14ac:dyDescent="0.2">
      <c r="B2717" t="str">
        <f t="shared" si="277"/>
        <v/>
      </c>
      <c r="U2717" s="8">
        <f t="shared" si="280"/>
        <v>2</v>
      </c>
      <c r="AD2717" t="str">
        <f t="shared" si="279"/>
        <v>o</v>
      </c>
      <c r="AE2717" t="str">
        <f t="shared" si="283"/>
        <v/>
      </c>
      <c r="AF2717" t="str">
        <f t="shared" si="281"/>
        <v/>
      </c>
      <c r="AG2717" t="str">
        <f t="shared" si="282"/>
        <v/>
      </c>
      <c r="AN2717" t="str">
        <f t="shared" si="278"/>
        <v>Defensive</v>
      </c>
    </row>
    <row r="2718" spans="2:40" x14ac:dyDescent="0.2">
      <c r="B2718" t="str">
        <f t="shared" si="277"/>
        <v/>
      </c>
      <c r="U2718" s="8">
        <f t="shared" si="280"/>
        <v>2</v>
      </c>
      <c r="AD2718" t="str">
        <f t="shared" si="279"/>
        <v>o</v>
      </c>
      <c r="AE2718" t="str">
        <f t="shared" si="283"/>
        <v/>
      </c>
      <c r="AF2718" t="str">
        <f t="shared" si="281"/>
        <v/>
      </c>
      <c r="AG2718" t="str">
        <f t="shared" si="282"/>
        <v/>
      </c>
      <c r="AN2718" t="str">
        <f t="shared" si="278"/>
        <v>Defensive</v>
      </c>
    </row>
    <row r="2719" spans="2:40" x14ac:dyDescent="0.2">
      <c r="B2719" t="str">
        <f t="shared" si="277"/>
        <v/>
      </c>
      <c r="U2719" s="8">
        <f t="shared" si="280"/>
        <v>2</v>
      </c>
      <c r="AD2719" t="str">
        <f t="shared" si="279"/>
        <v>o</v>
      </c>
      <c r="AE2719" t="str">
        <f t="shared" si="283"/>
        <v/>
      </c>
      <c r="AF2719" t="str">
        <f t="shared" si="281"/>
        <v/>
      </c>
      <c r="AG2719" t="str">
        <f t="shared" si="282"/>
        <v/>
      </c>
      <c r="AN2719" t="str">
        <f t="shared" si="278"/>
        <v>Defensive</v>
      </c>
    </row>
    <row r="2720" spans="2:40" x14ac:dyDescent="0.2">
      <c r="B2720" t="str">
        <f t="shared" si="277"/>
        <v/>
      </c>
      <c r="U2720" s="8">
        <f t="shared" si="280"/>
        <v>2</v>
      </c>
      <c r="AD2720" t="str">
        <f t="shared" si="279"/>
        <v>o</v>
      </c>
      <c r="AE2720" t="str">
        <f t="shared" si="283"/>
        <v/>
      </c>
      <c r="AF2720" t="str">
        <f t="shared" si="281"/>
        <v/>
      </c>
      <c r="AG2720" t="str">
        <f t="shared" si="282"/>
        <v/>
      </c>
      <c r="AN2720" t="str">
        <f t="shared" si="278"/>
        <v>Defensive</v>
      </c>
    </row>
    <row r="2721" spans="2:40" x14ac:dyDescent="0.2">
      <c r="B2721" t="str">
        <f t="shared" si="277"/>
        <v/>
      </c>
      <c r="U2721" s="8">
        <f t="shared" si="280"/>
        <v>2</v>
      </c>
      <c r="AD2721" t="str">
        <f t="shared" si="279"/>
        <v>o</v>
      </c>
      <c r="AE2721" t="str">
        <f t="shared" si="283"/>
        <v/>
      </c>
      <c r="AF2721" t="str">
        <f t="shared" si="281"/>
        <v/>
      </c>
      <c r="AG2721" t="str">
        <f t="shared" si="282"/>
        <v/>
      </c>
      <c r="AN2721" t="str">
        <f t="shared" si="278"/>
        <v>Defensive</v>
      </c>
    </row>
    <row r="2722" spans="2:40" x14ac:dyDescent="0.2">
      <c r="B2722" t="str">
        <f t="shared" si="277"/>
        <v/>
      </c>
      <c r="U2722" s="8">
        <f t="shared" si="280"/>
        <v>2</v>
      </c>
      <c r="AD2722" t="str">
        <f t="shared" si="279"/>
        <v>o</v>
      </c>
      <c r="AE2722" t="str">
        <f t="shared" si="283"/>
        <v/>
      </c>
      <c r="AF2722" t="str">
        <f t="shared" si="281"/>
        <v/>
      </c>
      <c r="AG2722" t="str">
        <f t="shared" si="282"/>
        <v/>
      </c>
      <c r="AN2722" t="str">
        <f t="shared" si="278"/>
        <v>Defensive</v>
      </c>
    </row>
    <row r="2723" spans="2:40" x14ac:dyDescent="0.2">
      <c r="B2723" t="str">
        <f t="shared" si="277"/>
        <v/>
      </c>
      <c r="U2723" s="8">
        <f t="shared" si="280"/>
        <v>2</v>
      </c>
      <c r="AD2723" t="str">
        <f t="shared" si="279"/>
        <v>o</v>
      </c>
      <c r="AE2723" t="str">
        <f t="shared" si="283"/>
        <v/>
      </c>
      <c r="AF2723" t="str">
        <f t="shared" si="281"/>
        <v/>
      </c>
      <c r="AG2723" t="str">
        <f t="shared" si="282"/>
        <v/>
      </c>
      <c r="AN2723" t="str">
        <f t="shared" si="278"/>
        <v>Defensive</v>
      </c>
    </row>
    <row r="2724" spans="2:40" x14ac:dyDescent="0.2">
      <c r="B2724" t="str">
        <f t="shared" si="277"/>
        <v/>
      </c>
      <c r="U2724" s="8">
        <f t="shared" si="280"/>
        <v>2</v>
      </c>
      <c r="AD2724" t="str">
        <f t="shared" si="279"/>
        <v>o</v>
      </c>
      <c r="AE2724" t="str">
        <f t="shared" si="283"/>
        <v/>
      </c>
      <c r="AF2724" t="str">
        <f t="shared" si="281"/>
        <v/>
      </c>
      <c r="AG2724" t="str">
        <f t="shared" si="282"/>
        <v/>
      </c>
      <c r="AN2724" t="str">
        <f t="shared" si="278"/>
        <v>Defensive</v>
      </c>
    </row>
    <row r="2725" spans="2:40" x14ac:dyDescent="0.2">
      <c r="B2725" t="str">
        <f t="shared" si="277"/>
        <v/>
      </c>
      <c r="U2725" s="8">
        <f t="shared" si="280"/>
        <v>2</v>
      </c>
      <c r="AD2725" t="str">
        <f t="shared" si="279"/>
        <v>o</v>
      </c>
      <c r="AE2725" t="str">
        <f t="shared" si="283"/>
        <v/>
      </c>
      <c r="AF2725" t="str">
        <f t="shared" si="281"/>
        <v/>
      </c>
      <c r="AG2725" t="str">
        <f t="shared" si="282"/>
        <v/>
      </c>
      <c r="AN2725" t="str">
        <f t="shared" si="278"/>
        <v>Defensive</v>
      </c>
    </row>
    <row r="2726" spans="2:40" x14ac:dyDescent="0.2">
      <c r="B2726" t="str">
        <f t="shared" si="277"/>
        <v/>
      </c>
      <c r="U2726" s="8">
        <f t="shared" si="280"/>
        <v>2</v>
      </c>
      <c r="AD2726" t="str">
        <f t="shared" si="279"/>
        <v>o</v>
      </c>
      <c r="AE2726" t="str">
        <f t="shared" si="283"/>
        <v/>
      </c>
      <c r="AF2726" t="str">
        <f t="shared" si="281"/>
        <v/>
      </c>
      <c r="AG2726" t="str">
        <f t="shared" si="282"/>
        <v/>
      </c>
      <c r="AN2726" t="str">
        <f t="shared" si="278"/>
        <v>Defensive</v>
      </c>
    </row>
    <row r="2727" spans="2:40" x14ac:dyDescent="0.2">
      <c r="B2727" t="str">
        <f t="shared" si="277"/>
        <v/>
      </c>
      <c r="U2727" s="8">
        <f t="shared" si="280"/>
        <v>2</v>
      </c>
      <c r="AD2727" t="str">
        <f t="shared" si="279"/>
        <v>o</v>
      </c>
      <c r="AE2727" t="str">
        <f t="shared" si="283"/>
        <v/>
      </c>
      <c r="AF2727" t="str">
        <f t="shared" si="281"/>
        <v/>
      </c>
      <c r="AG2727" t="str">
        <f t="shared" si="282"/>
        <v/>
      </c>
      <c r="AN2727" t="str">
        <f t="shared" si="278"/>
        <v>Defensive</v>
      </c>
    </row>
    <row r="2728" spans="2:40" x14ac:dyDescent="0.2">
      <c r="B2728" t="str">
        <f t="shared" si="277"/>
        <v/>
      </c>
      <c r="U2728" s="8">
        <f t="shared" si="280"/>
        <v>2</v>
      </c>
      <c r="AD2728" t="str">
        <f t="shared" si="279"/>
        <v>o</v>
      </c>
      <c r="AE2728" t="str">
        <f t="shared" si="283"/>
        <v/>
      </c>
      <c r="AF2728" t="str">
        <f t="shared" si="281"/>
        <v/>
      </c>
      <c r="AG2728" t="str">
        <f t="shared" si="282"/>
        <v/>
      </c>
      <c r="AN2728" t="str">
        <f t="shared" si="278"/>
        <v>Defensive</v>
      </c>
    </row>
    <row r="2729" spans="2:40" x14ac:dyDescent="0.2">
      <c r="B2729" t="str">
        <f t="shared" si="277"/>
        <v/>
      </c>
      <c r="U2729" s="8">
        <f t="shared" si="280"/>
        <v>2</v>
      </c>
      <c r="AD2729" t="str">
        <f t="shared" si="279"/>
        <v>o</v>
      </c>
      <c r="AE2729" t="str">
        <f t="shared" si="283"/>
        <v/>
      </c>
      <c r="AF2729" t="str">
        <f t="shared" si="281"/>
        <v/>
      </c>
      <c r="AG2729" t="str">
        <f t="shared" si="282"/>
        <v/>
      </c>
      <c r="AN2729" t="str">
        <f t="shared" si="278"/>
        <v>Defensive</v>
      </c>
    </row>
    <row r="2730" spans="2:40" x14ac:dyDescent="0.2">
      <c r="B2730" t="str">
        <f t="shared" si="277"/>
        <v/>
      </c>
      <c r="U2730" s="8">
        <f t="shared" si="280"/>
        <v>2</v>
      </c>
      <c r="AD2730" t="str">
        <f t="shared" si="279"/>
        <v>o</v>
      </c>
      <c r="AE2730" t="str">
        <f t="shared" si="283"/>
        <v/>
      </c>
      <c r="AF2730" t="str">
        <f t="shared" si="281"/>
        <v/>
      </c>
      <c r="AG2730" t="str">
        <f t="shared" si="282"/>
        <v/>
      </c>
      <c r="AN2730" t="str">
        <f t="shared" si="278"/>
        <v>Defensive</v>
      </c>
    </row>
    <row r="2731" spans="2:40" x14ac:dyDescent="0.2">
      <c r="B2731" t="str">
        <f t="shared" si="277"/>
        <v/>
      </c>
      <c r="U2731" s="8">
        <f t="shared" si="280"/>
        <v>2</v>
      </c>
      <c r="AD2731" t="str">
        <f t="shared" si="279"/>
        <v>o</v>
      </c>
      <c r="AE2731" t="str">
        <f t="shared" si="283"/>
        <v/>
      </c>
      <c r="AF2731" t="str">
        <f t="shared" si="281"/>
        <v/>
      </c>
      <c r="AG2731" t="str">
        <f t="shared" si="282"/>
        <v/>
      </c>
      <c r="AN2731" t="str">
        <f t="shared" si="278"/>
        <v>Defensive</v>
      </c>
    </row>
    <row r="2732" spans="2:40" x14ac:dyDescent="0.2">
      <c r="B2732" t="str">
        <f t="shared" si="277"/>
        <v/>
      </c>
      <c r="U2732" s="8">
        <f t="shared" si="280"/>
        <v>2</v>
      </c>
      <c r="AD2732" t="str">
        <f t="shared" si="279"/>
        <v>o</v>
      </c>
      <c r="AE2732" t="str">
        <f t="shared" si="283"/>
        <v/>
      </c>
      <c r="AF2732" t="str">
        <f t="shared" si="281"/>
        <v/>
      </c>
      <c r="AG2732" t="str">
        <f t="shared" si="282"/>
        <v/>
      </c>
      <c r="AN2732" t="str">
        <f t="shared" si="278"/>
        <v>Defensive</v>
      </c>
    </row>
    <row r="2733" spans="2:40" x14ac:dyDescent="0.2">
      <c r="B2733" t="str">
        <f t="shared" si="277"/>
        <v/>
      </c>
      <c r="U2733" s="8">
        <f t="shared" si="280"/>
        <v>2</v>
      </c>
      <c r="AD2733" t="str">
        <f t="shared" si="279"/>
        <v>o</v>
      </c>
      <c r="AE2733" t="str">
        <f t="shared" si="283"/>
        <v/>
      </c>
      <c r="AF2733" t="str">
        <f t="shared" si="281"/>
        <v/>
      </c>
      <c r="AG2733" t="str">
        <f t="shared" si="282"/>
        <v/>
      </c>
      <c r="AN2733" t="str">
        <f t="shared" si="278"/>
        <v>Defensive</v>
      </c>
    </row>
    <row r="2734" spans="2:40" x14ac:dyDescent="0.2">
      <c r="B2734" t="str">
        <f t="shared" si="277"/>
        <v/>
      </c>
      <c r="U2734" s="8">
        <f t="shared" si="280"/>
        <v>2</v>
      </c>
      <c r="AD2734" t="str">
        <f t="shared" si="279"/>
        <v>o</v>
      </c>
      <c r="AE2734" t="str">
        <f t="shared" si="283"/>
        <v/>
      </c>
      <c r="AF2734" t="str">
        <f t="shared" si="281"/>
        <v/>
      </c>
      <c r="AG2734" t="str">
        <f t="shared" si="282"/>
        <v/>
      </c>
      <c r="AN2734" t="str">
        <f t="shared" si="278"/>
        <v>Defensive</v>
      </c>
    </row>
    <row r="2735" spans="2:40" x14ac:dyDescent="0.2">
      <c r="B2735" t="str">
        <f t="shared" si="277"/>
        <v/>
      </c>
      <c r="U2735" s="8">
        <f t="shared" si="280"/>
        <v>2</v>
      </c>
      <c r="AD2735" t="str">
        <f t="shared" si="279"/>
        <v>o</v>
      </c>
      <c r="AE2735" t="str">
        <f t="shared" si="283"/>
        <v/>
      </c>
      <c r="AF2735" t="str">
        <f t="shared" si="281"/>
        <v/>
      </c>
      <c r="AG2735" t="str">
        <f t="shared" si="282"/>
        <v/>
      </c>
      <c r="AN2735" t="str">
        <f t="shared" si="278"/>
        <v>Defensive</v>
      </c>
    </row>
    <row r="2736" spans="2:40" x14ac:dyDescent="0.2">
      <c r="B2736" t="str">
        <f t="shared" ref="B2736:B2799" si="284">IF(A2736=A2735,B2735,"")</f>
        <v/>
      </c>
      <c r="U2736" s="8">
        <f t="shared" si="280"/>
        <v>2</v>
      </c>
      <c r="AD2736" t="str">
        <f t="shared" si="279"/>
        <v>o</v>
      </c>
      <c r="AE2736" t="str">
        <f t="shared" si="283"/>
        <v/>
      </c>
      <c r="AF2736" t="str">
        <f t="shared" si="281"/>
        <v/>
      </c>
      <c r="AG2736" t="str">
        <f t="shared" si="282"/>
        <v/>
      </c>
      <c r="AN2736" t="str">
        <f t="shared" si="278"/>
        <v>Defensive</v>
      </c>
    </row>
    <row r="2737" spans="2:40" x14ac:dyDescent="0.2">
      <c r="B2737" t="str">
        <f t="shared" si="284"/>
        <v/>
      </c>
      <c r="U2737" s="8">
        <f t="shared" si="280"/>
        <v>2</v>
      </c>
      <c r="AD2737" t="str">
        <f t="shared" si="279"/>
        <v>o</v>
      </c>
      <c r="AE2737" t="str">
        <f t="shared" si="283"/>
        <v/>
      </c>
      <c r="AF2737" t="str">
        <f t="shared" si="281"/>
        <v/>
      </c>
      <c r="AG2737" t="str">
        <f t="shared" si="282"/>
        <v/>
      </c>
      <c r="AN2737" t="str">
        <f t="shared" si="278"/>
        <v>Defensive</v>
      </c>
    </row>
    <row r="2738" spans="2:40" x14ac:dyDescent="0.2">
      <c r="B2738" t="str">
        <f t="shared" si="284"/>
        <v/>
      </c>
      <c r="U2738" s="8">
        <f t="shared" si="280"/>
        <v>2</v>
      </c>
      <c r="AD2738" t="str">
        <f t="shared" si="279"/>
        <v>o</v>
      </c>
      <c r="AE2738" t="str">
        <f t="shared" si="283"/>
        <v/>
      </c>
      <c r="AF2738" t="str">
        <f t="shared" si="281"/>
        <v/>
      </c>
      <c r="AG2738" t="str">
        <f t="shared" si="282"/>
        <v/>
      </c>
      <c r="AN2738" t="str">
        <f t="shared" si="278"/>
        <v>Defensive</v>
      </c>
    </row>
    <row r="2739" spans="2:40" x14ac:dyDescent="0.2">
      <c r="B2739" t="str">
        <f t="shared" si="284"/>
        <v/>
      </c>
      <c r="U2739" s="8">
        <f t="shared" si="280"/>
        <v>2</v>
      </c>
      <c r="AD2739" t="str">
        <f t="shared" si="279"/>
        <v>o</v>
      </c>
      <c r="AE2739" t="str">
        <f t="shared" si="283"/>
        <v/>
      </c>
      <c r="AF2739" t="str">
        <f t="shared" si="281"/>
        <v/>
      </c>
      <c r="AG2739" t="str">
        <f t="shared" si="282"/>
        <v/>
      </c>
      <c r="AN2739" t="str">
        <f t="shared" si="278"/>
        <v>Defensive</v>
      </c>
    </row>
    <row r="2740" spans="2:40" x14ac:dyDescent="0.2">
      <c r="B2740" t="str">
        <f t="shared" si="284"/>
        <v/>
      </c>
      <c r="U2740" s="8">
        <f t="shared" si="280"/>
        <v>2</v>
      </c>
      <c r="AD2740" t="str">
        <f t="shared" si="279"/>
        <v>o</v>
      </c>
      <c r="AE2740" t="str">
        <f t="shared" si="283"/>
        <v/>
      </c>
      <c r="AF2740" t="str">
        <f t="shared" si="281"/>
        <v/>
      </c>
      <c r="AG2740" t="str">
        <f t="shared" si="282"/>
        <v/>
      </c>
      <c r="AN2740" t="str">
        <f t="shared" si="278"/>
        <v>Defensive</v>
      </c>
    </row>
    <row r="2741" spans="2:40" x14ac:dyDescent="0.2">
      <c r="B2741" t="str">
        <f t="shared" si="284"/>
        <v/>
      </c>
      <c r="U2741" s="8">
        <f t="shared" si="280"/>
        <v>2</v>
      </c>
      <c r="AD2741" t="str">
        <f t="shared" si="279"/>
        <v>o</v>
      </c>
      <c r="AE2741" t="str">
        <f t="shared" si="283"/>
        <v/>
      </c>
      <c r="AF2741" t="str">
        <f t="shared" si="281"/>
        <v/>
      </c>
      <c r="AG2741" t="str">
        <f t="shared" si="282"/>
        <v/>
      </c>
      <c r="AN2741" t="str">
        <f t="shared" si="278"/>
        <v>Defensive</v>
      </c>
    </row>
    <row r="2742" spans="2:40" x14ac:dyDescent="0.2">
      <c r="B2742" t="str">
        <f t="shared" si="284"/>
        <v/>
      </c>
      <c r="U2742" s="8">
        <f t="shared" si="280"/>
        <v>2</v>
      </c>
      <c r="AD2742" t="str">
        <f t="shared" si="279"/>
        <v>o</v>
      </c>
      <c r="AE2742" t="str">
        <f t="shared" si="283"/>
        <v/>
      </c>
      <c r="AF2742" t="str">
        <f t="shared" si="281"/>
        <v/>
      </c>
      <c r="AG2742" t="str">
        <f t="shared" si="282"/>
        <v/>
      </c>
      <c r="AN2742" t="str">
        <f t="shared" si="278"/>
        <v>Defensive</v>
      </c>
    </row>
    <row r="2743" spans="2:40" x14ac:dyDescent="0.2">
      <c r="B2743" t="str">
        <f t="shared" si="284"/>
        <v/>
      </c>
      <c r="U2743" s="8">
        <f t="shared" si="280"/>
        <v>2</v>
      </c>
      <c r="AD2743" t="str">
        <f t="shared" si="279"/>
        <v>o</v>
      </c>
      <c r="AE2743" t="str">
        <f t="shared" si="283"/>
        <v/>
      </c>
      <c r="AF2743" t="str">
        <f t="shared" si="281"/>
        <v/>
      </c>
      <c r="AG2743" t="str">
        <f t="shared" si="282"/>
        <v/>
      </c>
      <c r="AN2743" t="str">
        <f t="shared" si="278"/>
        <v>Defensive</v>
      </c>
    </row>
    <row r="2744" spans="2:40" x14ac:dyDescent="0.2">
      <c r="B2744" t="str">
        <f t="shared" si="284"/>
        <v/>
      </c>
      <c r="U2744" s="8">
        <f t="shared" si="280"/>
        <v>2</v>
      </c>
      <c r="AD2744" t="str">
        <f t="shared" si="279"/>
        <v>o</v>
      </c>
      <c r="AE2744" t="str">
        <f t="shared" si="283"/>
        <v/>
      </c>
      <c r="AF2744" t="str">
        <f t="shared" si="281"/>
        <v/>
      </c>
      <c r="AG2744" t="str">
        <f t="shared" si="282"/>
        <v/>
      </c>
      <c r="AN2744" t="str">
        <f t="shared" si="278"/>
        <v>Defensive</v>
      </c>
    </row>
    <row r="2745" spans="2:40" x14ac:dyDescent="0.2">
      <c r="B2745" t="str">
        <f t="shared" si="284"/>
        <v/>
      </c>
      <c r="U2745" s="8">
        <f t="shared" si="280"/>
        <v>2</v>
      </c>
      <c r="AD2745" t="str">
        <f t="shared" si="279"/>
        <v>o</v>
      </c>
      <c r="AE2745" t="str">
        <f t="shared" si="283"/>
        <v/>
      </c>
      <c r="AF2745" t="str">
        <f t="shared" si="281"/>
        <v/>
      </c>
      <c r="AG2745" t="str">
        <f t="shared" si="282"/>
        <v/>
      </c>
      <c r="AN2745" t="str">
        <f t="shared" ref="AN2745:AN2808" si="285">IF(AND(AD2745="e",OR(AE2745="Save",AF2745="Turnover_Takeaway",AF2745="Play_Defensive")),"Defensive",IF(AND(AD2745="o",OR(AE2745="Save",AF2745="Turnover_Takeaway",AF2745="Play_Defensive")),"Offensive",IF(OR(AE2745="Deadice",AE2745="Stoppage",AE2745="Intermission"),"",IF(AD2745="e","Offensive",IF(AD2745="o","Defensive","")))))</f>
        <v>Defensive</v>
      </c>
    </row>
    <row r="2746" spans="2:40" x14ac:dyDescent="0.2">
      <c r="B2746" t="str">
        <f t="shared" si="284"/>
        <v/>
      </c>
      <c r="U2746" s="8">
        <f t="shared" si="280"/>
        <v>2</v>
      </c>
      <c r="AD2746" t="str">
        <f t="shared" si="279"/>
        <v>o</v>
      </c>
      <c r="AE2746" t="str">
        <f t="shared" si="283"/>
        <v/>
      </c>
      <c r="AF2746" t="str">
        <f t="shared" si="281"/>
        <v/>
      </c>
      <c r="AG2746" t="str">
        <f t="shared" si="282"/>
        <v/>
      </c>
      <c r="AN2746" t="str">
        <f t="shared" si="285"/>
        <v>Defensive</v>
      </c>
    </row>
    <row r="2747" spans="2:40" x14ac:dyDescent="0.2">
      <c r="B2747" t="str">
        <f t="shared" si="284"/>
        <v/>
      </c>
      <c r="U2747" s="8">
        <f t="shared" si="280"/>
        <v>2</v>
      </c>
      <c r="AD2747" t="str">
        <f t="shared" si="279"/>
        <v>o</v>
      </c>
      <c r="AE2747" t="str">
        <f t="shared" si="283"/>
        <v/>
      </c>
      <c r="AF2747" t="str">
        <f t="shared" si="281"/>
        <v/>
      </c>
      <c r="AG2747" t="str">
        <f t="shared" si="282"/>
        <v/>
      </c>
      <c r="AN2747" t="str">
        <f t="shared" si="285"/>
        <v>Defensive</v>
      </c>
    </row>
    <row r="2748" spans="2:40" x14ac:dyDescent="0.2">
      <c r="B2748" t="str">
        <f t="shared" si="284"/>
        <v/>
      </c>
      <c r="U2748" s="8">
        <f t="shared" si="280"/>
        <v>2</v>
      </c>
      <c r="AD2748" t="str">
        <f t="shared" si="279"/>
        <v>o</v>
      </c>
      <c r="AE2748" t="str">
        <f t="shared" si="283"/>
        <v/>
      </c>
      <c r="AF2748" t="str">
        <f t="shared" si="281"/>
        <v/>
      </c>
      <c r="AG2748" t="str">
        <f t="shared" si="282"/>
        <v/>
      </c>
      <c r="AN2748" t="str">
        <f t="shared" si="285"/>
        <v>Defensive</v>
      </c>
    </row>
    <row r="2749" spans="2:40" x14ac:dyDescent="0.2">
      <c r="B2749" t="str">
        <f t="shared" si="284"/>
        <v/>
      </c>
      <c r="U2749" s="8">
        <f t="shared" si="280"/>
        <v>2</v>
      </c>
      <c r="AD2749" t="str">
        <f t="shared" si="279"/>
        <v>o</v>
      </c>
      <c r="AE2749" t="str">
        <f t="shared" si="283"/>
        <v/>
      </c>
      <c r="AF2749" t="str">
        <f t="shared" si="281"/>
        <v/>
      </c>
      <c r="AG2749" t="str">
        <f t="shared" si="282"/>
        <v/>
      </c>
      <c r="AN2749" t="str">
        <f t="shared" si="285"/>
        <v>Defensive</v>
      </c>
    </row>
    <row r="2750" spans="2:40" x14ac:dyDescent="0.2">
      <c r="B2750" t="str">
        <f t="shared" si="284"/>
        <v/>
      </c>
      <c r="U2750" s="8">
        <f t="shared" si="280"/>
        <v>2</v>
      </c>
      <c r="AD2750" t="str">
        <f t="shared" si="279"/>
        <v>o</v>
      </c>
      <c r="AE2750" t="str">
        <f t="shared" si="283"/>
        <v/>
      </c>
      <c r="AF2750" t="str">
        <f t="shared" si="281"/>
        <v/>
      </c>
      <c r="AG2750" t="str">
        <f t="shared" si="282"/>
        <v/>
      </c>
      <c r="AN2750" t="str">
        <f t="shared" si="285"/>
        <v>Defensive</v>
      </c>
    </row>
    <row r="2751" spans="2:40" x14ac:dyDescent="0.2">
      <c r="B2751" t="str">
        <f t="shared" si="284"/>
        <v/>
      </c>
      <c r="U2751" s="8">
        <f t="shared" si="280"/>
        <v>2</v>
      </c>
      <c r="AD2751" t="str">
        <f t="shared" si="279"/>
        <v>o</v>
      </c>
      <c r="AE2751" t="str">
        <f t="shared" si="283"/>
        <v/>
      </c>
      <c r="AF2751" t="str">
        <f t="shared" si="281"/>
        <v/>
      </c>
      <c r="AG2751" t="str">
        <f t="shared" si="282"/>
        <v/>
      </c>
      <c r="AN2751" t="str">
        <f t="shared" si="285"/>
        <v>Defensive</v>
      </c>
    </row>
    <row r="2752" spans="2:40" x14ac:dyDescent="0.2">
      <c r="B2752" t="str">
        <f t="shared" si="284"/>
        <v/>
      </c>
      <c r="U2752" s="8">
        <f t="shared" si="280"/>
        <v>2</v>
      </c>
      <c r="AD2752" t="str">
        <f t="shared" si="279"/>
        <v>o</v>
      </c>
      <c r="AE2752" t="str">
        <f t="shared" si="283"/>
        <v/>
      </c>
      <c r="AF2752" t="str">
        <f t="shared" si="281"/>
        <v/>
      </c>
      <c r="AG2752" t="str">
        <f t="shared" si="282"/>
        <v/>
      </c>
      <c r="AN2752" t="str">
        <f t="shared" si="285"/>
        <v>Defensive</v>
      </c>
    </row>
    <row r="2753" spans="2:40" x14ac:dyDescent="0.2">
      <c r="B2753" t="str">
        <f t="shared" si="284"/>
        <v/>
      </c>
      <c r="U2753" s="8">
        <f t="shared" si="280"/>
        <v>2</v>
      </c>
      <c r="AD2753" t="str">
        <f t="shared" si="279"/>
        <v>o</v>
      </c>
      <c r="AE2753" t="str">
        <f t="shared" si="283"/>
        <v/>
      </c>
      <c r="AF2753" t="str">
        <f t="shared" si="281"/>
        <v/>
      </c>
      <c r="AG2753" t="str">
        <f t="shared" si="282"/>
        <v/>
      </c>
      <c r="AN2753" t="str">
        <f t="shared" si="285"/>
        <v>Defensive</v>
      </c>
    </row>
    <row r="2754" spans="2:40" x14ac:dyDescent="0.2">
      <c r="B2754" t="str">
        <f t="shared" si="284"/>
        <v/>
      </c>
      <c r="U2754" s="8">
        <f t="shared" si="280"/>
        <v>2</v>
      </c>
      <c r="AD2754" t="str">
        <f t="shared" ref="AD2754:AD2817" si="286">IF(K2754="x","",IF(K2754=1,"e","o"))</f>
        <v>o</v>
      </c>
      <c r="AE2754" t="str">
        <f t="shared" si="283"/>
        <v/>
      </c>
      <c r="AF2754" t="str">
        <f t="shared" si="281"/>
        <v/>
      </c>
      <c r="AG2754" t="str">
        <f t="shared" si="282"/>
        <v/>
      </c>
      <c r="AN2754" t="str">
        <f t="shared" si="285"/>
        <v>Defensive</v>
      </c>
    </row>
    <row r="2755" spans="2:40" x14ac:dyDescent="0.2">
      <c r="B2755" t="str">
        <f t="shared" si="284"/>
        <v/>
      </c>
      <c r="U2755" s="8">
        <f t="shared" ref="U2755:U2818" si="287">IF(M2755="Intermission",U2754+1,U2754)</f>
        <v>2</v>
      </c>
      <c r="AD2755" t="str">
        <f t="shared" si="286"/>
        <v>o</v>
      </c>
      <c r="AE2755" t="str">
        <f t="shared" si="283"/>
        <v/>
      </c>
      <c r="AF2755" t="str">
        <f t="shared" ref="AF2755:AF2818" si="288">IF(N2755&lt;&gt;"",N2755,IF($A2755=$A2754,AF2754,""))</f>
        <v/>
      </c>
      <c r="AG2755" t="str">
        <f t="shared" ref="AG2755:AG2818" si="289">IF(O2755&lt;&gt;"",O2755,IF($A2755=$A2754,AG2754,""))</f>
        <v/>
      </c>
      <c r="AN2755" t="str">
        <f t="shared" si="285"/>
        <v>Defensive</v>
      </c>
    </row>
    <row r="2756" spans="2:40" x14ac:dyDescent="0.2">
      <c r="B2756" t="str">
        <f t="shared" si="284"/>
        <v/>
      </c>
      <c r="U2756" s="8">
        <f t="shared" si="287"/>
        <v>2</v>
      </c>
      <c r="AD2756" t="str">
        <f t="shared" si="286"/>
        <v>o</v>
      </c>
      <c r="AE2756" t="str">
        <f t="shared" ref="AE2756:AE2819" si="290">IF(M2756&lt;&gt;"",M2756,IF($A2756=$A2755,AE2755,""))</f>
        <v/>
      </c>
      <c r="AF2756" t="str">
        <f t="shared" si="288"/>
        <v/>
      </c>
      <c r="AG2756" t="str">
        <f t="shared" si="289"/>
        <v/>
      </c>
      <c r="AN2756" t="str">
        <f t="shared" si="285"/>
        <v>Defensive</v>
      </c>
    </row>
    <row r="2757" spans="2:40" x14ac:dyDescent="0.2">
      <c r="B2757" t="str">
        <f t="shared" si="284"/>
        <v/>
      </c>
      <c r="U2757" s="8">
        <f t="shared" si="287"/>
        <v>2</v>
      </c>
      <c r="AD2757" t="str">
        <f t="shared" si="286"/>
        <v>o</v>
      </c>
      <c r="AE2757" t="str">
        <f t="shared" si="290"/>
        <v/>
      </c>
      <c r="AF2757" t="str">
        <f t="shared" si="288"/>
        <v/>
      </c>
      <c r="AG2757" t="str">
        <f t="shared" si="289"/>
        <v/>
      </c>
      <c r="AN2757" t="str">
        <f t="shared" si="285"/>
        <v>Defensive</v>
      </c>
    </row>
    <row r="2758" spans="2:40" x14ac:dyDescent="0.2">
      <c r="B2758" t="str">
        <f t="shared" si="284"/>
        <v/>
      </c>
      <c r="U2758" s="8">
        <f t="shared" si="287"/>
        <v>2</v>
      </c>
      <c r="AD2758" t="str">
        <f t="shared" si="286"/>
        <v>o</v>
      </c>
      <c r="AE2758" t="str">
        <f t="shared" si="290"/>
        <v/>
      </c>
      <c r="AF2758" t="str">
        <f t="shared" si="288"/>
        <v/>
      </c>
      <c r="AG2758" t="str">
        <f t="shared" si="289"/>
        <v/>
      </c>
      <c r="AN2758" t="str">
        <f t="shared" si="285"/>
        <v>Defensive</v>
      </c>
    </row>
    <row r="2759" spans="2:40" x14ac:dyDescent="0.2">
      <c r="B2759" t="str">
        <f t="shared" si="284"/>
        <v/>
      </c>
      <c r="U2759" s="8">
        <f t="shared" si="287"/>
        <v>2</v>
      </c>
      <c r="AD2759" t="str">
        <f t="shared" si="286"/>
        <v>o</v>
      </c>
      <c r="AE2759" t="str">
        <f t="shared" si="290"/>
        <v/>
      </c>
      <c r="AF2759" t="str">
        <f t="shared" si="288"/>
        <v/>
      </c>
      <c r="AG2759" t="str">
        <f t="shared" si="289"/>
        <v/>
      </c>
      <c r="AN2759" t="str">
        <f t="shared" si="285"/>
        <v>Defensive</v>
      </c>
    </row>
    <row r="2760" spans="2:40" x14ac:dyDescent="0.2">
      <c r="B2760" t="str">
        <f t="shared" si="284"/>
        <v/>
      </c>
      <c r="U2760" s="8">
        <f t="shared" si="287"/>
        <v>2</v>
      </c>
      <c r="AD2760" t="str">
        <f t="shared" si="286"/>
        <v>o</v>
      </c>
      <c r="AE2760" t="str">
        <f t="shared" si="290"/>
        <v/>
      </c>
      <c r="AF2760" t="str">
        <f t="shared" si="288"/>
        <v/>
      </c>
      <c r="AG2760" t="str">
        <f t="shared" si="289"/>
        <v/>
      </c>
      <c r="AN2760" t="str">
        <f t="shared" si="285"/>
        <v>Defensive</v>
      </c>
    </row>
    <row r="2761" spans="2:40" x14ac:dyDescent="0.2">
      <c r="B2761" t="str">
        <f t="shared" si="284"/>
        <v/>
      </c>
      <c r="U2761" s="8">
        <f t="shared" si="287"/>
        <v>2</v>
      </c>
      <c r="AD2761" t="str">
        <f t="shared" si="286"/>
        <v>o</v>
      </c>
      <c r="AE2761" t="str">
        <f t="shared" si="290"/>
        <v/>
      </c>
      <c r="AF2761" t="str">
        <f t="shared" si="288"/>
        <v/>
      </c>
      <c r="AG2761" t="str">
        <f t="shared" si="289"/>
        <v/>
      </c>
      <c r="AN2761" t="str">
        <f t="shared" si="285"/>
        <v>Defensive</v>
      </c>
    </row>
    <row r="2762" spans="2:40" x14ac:dyDescent="0.2">
      <c r="B2762" t="str">
        <f t="shared" si="284"/>
        <v/>
      </c>
      <c r="U2762" s="8">
        <f t="shared" si="287"/>
        <v>2</v>
      </c>
      <c r="AD2762" t="str">
        <f t="shared" si="286"/>
        <v>o</v>
      </c>
      <c r="AE2762" t="str">
        <f t="shared" si="290"/>
        <v/>
      </c>
      <c r="AF2762" t="str">
        <f t="shared" si="288"/>
        <v/>
      </c>
      <c r="AG2762" t="str">
        <f t="shared" si="289"/>
        <v/>
      </c>
      <c r="AN2762" t="str">
        <f t="shared" si="285"/>
        <v>Defensive</v>
      </c>
    </row>
    <row r="2763" spans="2:40" x14ac:dyDescent="0.2">
      <c r="B2763" t="str">
        <f t="shared" si="284"/>
        <v/>
      </c>
      <c r="U2763" s="8">
        <f t="shared" si="287"/>
        <v>2</v>
      </c>
      <c r="AD2763" t="str">
        <f t="shared" si="286"/>
        <v>o</v>
      </c>
      <c r="AE2763" t="str">
        <f t="shared" si="290"/>
        <v/>
      </c>
      <c r="AF2763" t="str">
        <f t="shared" si="288"/>
        <v/>
      </c>
      <c r="AG2763" t="str">
        <f t="shared" si="289"/>
        <v/>
      </c>
      <c r="AN2763" t="str">
        <f t="shared" si="285"/>
        <v>Defensive</v>
      </c>
    </row>
    <row r="2764" spans="2:40" x14ac:dyDescent="0.2">
      <c r="B2764" t="str">
        <f t="shared" si="284"/>
        <v/>
      </c>
      <c r="U2764" s="8">
        <f t="shared" si="287"/>
        <v>2</v>
      </c>
      <c r="AD2764" t="str">
        <f t="shared" si="286"/>
        <v>o</v>
      </c>
      <c r="AE2764" t="str">
        <f t="shared" si="290"/>
        <v/>
      </c>
      <c r="AF2764" t="str">
        <f t="shared" si="288"/>
        <v/>
      </c>
      <c r="AG2764" t="str">
        <f t="shared" si="289"/>
        <v/>
      </c>
      <c r="AN2764" t="str">
        <f t="shared" si="285"/>
        <v>Defensive</v>
      </c>
    </row>
    <row r="2765" spans="2:40" x14ac:dyDescent="0.2">
      <c r="B2765" t="str">
        <f t="shared" si="284"/>
        <v/>
      </c>
      <c r="U2765" s="8">
        <f t="shared" si="287"/>
        <v>2</v>
      </c>
      <c r="AD2765" t="str">
        <f t="shared" si="286"/>
        <v>o</v>
      </c>
      <c r="AE2765" t="str">
        <f t="shared" si="290"/>
        <v/>
      </c>
      <c r="AF2765" t="str">
        <f t="shared" si="288"/>
        <v/>
      </c>
      <c r="AG2765" t="str">
        <f t="shared" si="289"/>
        <v/>
      </c>
      <c r="AN2765" t="str">
        <f t="shared" si="285"/>
        <v>Defensive</v>
      </c>
    </row>
    <row r="2766" spans="2:40" x14ac:dyDescent="0.2">
      <c r="B2766" t="str">
        <f t="shared" si="284"/>
        <v/>
      </c>
      <c r="U2766" s="8">
        <f t="shared" si="287"/>
        <v>2</v>
      </c>
      <c r="AD2766" t="str">
        <f t="shared" si="286"/>
        <v>o</v>
      </c>
      <c r="AE2766" t="str">
        <f t="shared" si="290"/>
        <v/>
      </c>
      <c r="AF2766" t="str">
        <f t="shared" si="288"/>
        <v/>
      </c>
      <c r="AG2766" t="str">
        <f t="shared" si="289"/>
        <v/>
      </c>
      <c r="AN2766" t="str">
        <f t="shared" si="285"/>
        <v>Defensive</v>
      </c>
    </row>
    <row r="2767" spans="2:40" x14ac:dyDescent="0.2">
      <c r="B2767" t="str">
        <f t="shared" si="284"/>
        <v/>
      </c>
      <c r="U2767" s="8">
        <f t="shared" si="287"/>
        <v>2</v>
      </c>
      <c r="AD2767" t="str">
        <f t="shared" si="286"/>
        <v>o</v>
      </c>
      <c r="AE2767" t="str">
        <f t="shared" si="290"/>
        <v/>
      </c>
      <c r="AF2767" t="str">
        <f t="shared" si="288"/>
        <v/>
      </c>
      <c r="AG2767" t="str">
        <f t="shared" si="289"/>
        <v/>
      </c>
      <c r="AN2767" t="str">
        <f t="shared" si="285"/>
        <v>Defensive</v>
      </c>
    </row>
    <row r="2768" spans="2:40" x14ac:dyDescent="0.2">
      <c r="B2768" t="str">
        <f t="shared" si="284"/>
        <v/>
      </c>
      <c r="U2768" s="8">
        <f t="shared" si="287"/>
        <v>2</v>
      </c>
      <c r="AD2768" t="str">
        <f t="shared" si="286"/>
        <v>o</v>
      </c>
      <c r="AE2768" t="str">
        <f t="shared" si="290"/>
        <v/>
      </c>
      <c r="AF2768" t="str">
        <f t="shared" si="288"/>
        <v/>
      </c>
      <c r="AG2768" t="str">
        <f t="shared" si="289"/>
        <v/>
      </c>
      <c r="AN2768" t="str">
        <f t="shared" si="285"/>
        <v>Defensive</v>
      </c>
    </row>
    <row r="2769" spans="2:40" x14ac:dyDescent="0.2">
      <c r="B2769" t="str">
        <f t="shared" si="284"/>
        <v/>
      </c>
      <c r="U2769" s="8">
        <f t="shared" si="287"/>
        <v>2</v>
      </c>
      <c r="AD2769" t="str">
        <f t="shared" si="286"/>
        <v>o</v>
      </c>
      <c r="AE2769" t="str">
        <f t="shared" si="290"/>
        <v/>
      </c>
      <c r="AF2769" t="str">
        <f t="shared" si="288"/>
        <v/>
      </c>
      <c r="AG2769" t="str">
        <f t="shared" si="289"/>
        <v/>
      </c>
      <c r="AN2769" t="str">
        <f t="shared" si="285"/>
        <v>Defensive</v>
      </c>
    </row>
    <row r="2770" spans="2:40" x14ac:dyDescent="0.2">
      <c r="B2770" t="str">
        <f t="shared" si="284"/>
        <v/>
      </c>
      <c r="U2770" s="8">
        <f t="shared" si="287"/>
        <v>2</v>
      </c>
      <c r="AD2770" t="str">
        <f t="shared" si="286"/>
        <v>o</v>
      </c>
      <c r="AE2770" t="str">
        <f t="shared" si="290"/>
        <v/>
      </c>
      <c r="AF2770" t="str">
        <f t="shared" si="288"/>
        <v/>
      </c>
      <c r="AG2770" t="str">
        <f t="shared" si="289"/>
        <v/>
      </c>
      <c r="AN2770" t="str">
        <f t="shared" si="285"/>
        <v>Defensive</v>
      </c>
    </row>
    <row r="2771" spans="2:40" x14ac:dyDescent="0.2">
      <c r="B2771" t="str">
        <f t="shared" si="284"/>
        <v/>
      </c>
      <c r="U2771" s="8">
        <f t="shared" si="287"/>
        <v>2</v>
      </c>
      <c r="AD2771" t="str">
        <f t="shared" si="286"/>
        <v>o</v>
      </c>
      <c r="AE2771" t="str">
        <f t="shared" si="290"/>
        <v/>
      </c>
      <c r="AF2771" t="str">
        <f t="shared" si="288"/>
        <v/>
      </c>
      <c r="AG2771" t="str">
        <f t="shared" si="289"/>
        <v/>
      </c>
      <c r="AN2771" t="str">
        <f t="shared" si="285"/>
        <v>Defensive</v>
      </c>
    </row>
    <row r="2772" spans="2:40" x14ac:dyDescent="0.2">
      <c r="B2772" t="str">
        <f t="shared" si="284"/>
        <v/>
      </c>
      <c r="U2772" s="8">
        <f t="shared" si="287"/>
        <v>2</v>
      </c>
      <c r="AD2772" t="str">
        <f t="shared" si="286"/>
        <v>o</v>
      </c>
      <c r="AE2772" t="str">
        <f t="shared" si="290"/>
        <v/>
      </c>
      <c r="AF2772" t="str">
        <f t="shared" si="288"/>
        <v/>
      </c>
      <c r="AG2772" t="str">
        <f t="shared" si="289"/>
        <v/>
      </c>
      <c r="AN2772" t="str">
        <f t="shared" si="285"/>
        <v>Defensive</v>
      </c>
    </row>
    <row r="2773" spans="2:40" x14ac:dyDescent="0.2">
      <c r="B2773" t="str">
        <f t="shared" si="284"/>
        <v/>
      </c>
      <c r="U2773" s="8">
        <f t="shared" si="287"/>
        <v>2</v>
      </c>
      <c r="AD2773" t="str">
        <f t="shared" si="286"/>
        <v>o</v>
      </c>
      <c r="AE2773" t="str">
        <f t="shared" si="290"/>
        <v/>
      </c>
      <c r="AF2773" t="str">
        <f t="shared" si="288"/>
        <v/>
      </c>
      <c r="AG2773" t="str">
        <f t="shared" si="289"/>
        <v/>
      </c>
      <c r="AN2773" t="str">
        <f t="shared" si="285"/>
        <v>Defensive</v>
      </c>
    </row>
    <row r="2774" spans="2:40" x14ac:dyDescent="0.2">
      <c r="B2774" t="str">
        <f t="shared" si="284"/>
        <v/>
      </c>
      <c r="U2774" s="8">
        <f t="shared" si="287"/>
        <v>2</v>
      </c>
      <c r="AD2774" t="str">
        <f t="shared" si="286"/>
        <v>o</v>
      </c>
      <c r="AE2774" t="str">
        <f t="shared" si="290"/>
        <v/>
      </c>
      <c r="AF2774" t="str">
        <f t="shared" si="288"/>
        <v/>
      </c>
      <c r="AG2774" t="str">
        <f t="shared" si="289"/>
        <v/>
      </c>
      <c r="AN2774" t="str">
        <f t="shared" si="285"/>
        <v>Defensive</v>
      </c>
    </row>
    <row r="2775" spans="2:40" x14ac:dyDescent="0.2">
      <c r="B2775" t="str">
        <f t="shared" si="284"/>
        <v/>
      </c>
      <c r="U2775" s="8">
        <f t="shared" si="287"/>
        <v>2</v>
      </c>
      <c r="AD2775" t="str">
        <f t="shared" si="286"/>
        <v>o</v>
      </c>
      <c r="AE2775" t="str">
        <f t="shared" si="290"/>
        <v/>
      </c>
      <c r="AF2775" t="str">
        <f t="shared" si="288"/>
        <v/>
      </c>
      <c r="AG2775" t="str">
        <f t="shared" si="289"/>
        <v/>
      </c>
      <c r="AN2775" t="str">
        <f t="shared" si="285"/>
        <v>Defensive</v>
      </c>
    </row>
    <row r="2776" spans="2:40" x14ac:dyDescent="0.2">
      <c r="B2776" t="str">
        <f t="shared" si="284"/>
        <v/>
      </c>
      <c r="U2776" s="8">
        <f t="shared" si="287"/>
        <v>2</v>
      </c>
      <c r="AD2776" t="str">
        <f t="shared" si="286"/>
        <v>o</v>
      </c>
      <c r="AE2776" t="str">
        <f t="shared" si="290"/>
        <v/>
      </c>
      <c r="AF2776" t="str">
        <f t="shared" si="288"/>
        <v/>
      </c>
      <c r="AG2776" t="str">
        <f t="shared" si="289"/>
        <v/>
      </c>
      <c r="AN2776" t="str">
        <f t="shared" si="285"/>
        <v>Defensive</v>
      </c>
    </row>
    <row r="2777" spans="2:40" x14ac:dyDescent="0.2">
      <c r="B2777" t="str">
        <f t="shared" si="284"/>
        <v/>
      </c>
      <c r="U2777" s="8">
        <f t="shared" si="287"/>
        <v>2</v>
      </c>
      <c r="AD2777" t="str">
        <f t="shared" si="286"/>
        <v>o</v>
      </c>
      <c r="AE2777" t="str">
        <f t="shared" si="290"/>
        <v/>
      </c>
      <c r="AF2777" t="str">
        <f t="shared" si="288"/>
        <v/>
      </c>
      <c r="AG2777" t="str">
        <f t="shared" si="289"/>
        <v/>
      </c>
      <c r="AN2777" t="str">
        <f t="shared" si="285"/>
        <v>Defensive</v>
      </c>
    </row>
    <row r="2778" spans="2:40" x14ac:dyDescent="0.2">
      <c r="B2778" t="str">
        <f t="shared" si="284"/>
        <v/>
      </c>
      <c r="U2778" s="8">
        <f t="shared" si="287"/>
        <v>2</v>
      </c>
      <c r="AD2778" t="str">
        <f t="shared" si="286"/>
        <v>o</v>
      </c>
      <c r="AE2778" t="str">
        <f t="shared" si="290"/>
        <v/>
      </c>
      <c r="AF2778" t="str">
        <f t="shared" si="288"/>
        <v/>
      </c>
      <c r="AG2778" t="str">
        <f t="shared" si="289"/>
        <v/>
      </c>
      <c r="AN2778" t="str">
        <f t="shared" si="285"/>
        <v>Defensive</v>
      </c>
    </row>
    <row r="2779" spans="2:40" x14ac:dyDescent="0.2">
      <c r="B2779" t="str">
        <f t="shared" si="284"/>
        <v/>
      </c>
      <c r="U2779" s="8">
        <f t="shared" si="287"/>
        <v>2</v>
      </c>
      <c r="AD2779" t="str">
        <f t="shared" si="286"/>
        <v>o</v>
      </c>
      <c r="AE2779" t="str">
        <f t="shared" si="290"/>
        <v/>
      </c>
      <c r="AF2779" t="str">
        <f t="shared" si="288"/>
        <v/>
      </c>
      <c r="AG2779" t="str">
        <f t="shared" si="289"/>
        <v/>
      </c>
      <c r="AN2779" t="str">
        <f t="shared" si="285"/>
        <v>Defensive</v>
      </c>
    </row>
    <row r="2780" spans="2:40" x14ac:dyDescent="0.2">
      <c r="B2780" t="str">
        <f t="shared" si="284"/>
        <v/>
      </c>
      <c r="U2780" s="8">
        <f t="shared" si="287"/>
        <v>2</v>
      </c>
      <c r="AD2780" t="str">
        <f t="shared" si="286"/>
        <v>o</v>
      </c>
      <c r="AE2780" t="str">
        <f t="shared" si="290"/>
        <v/>
      </c>
      <c r="AF2780" t="str">
        <f t="shared" si="288"/>
        <v/>
      </c>
      <c r="AG2780" t="str">
        <f t="shared" si="289"/>
        <v/>
      </c>
      <c r="AN2780" t="str">
        <f t="shared" si="285"/>
        <v>Defensive</v>
      </c>
    </row>
    <row r="2781" spans="2:40" x14ac:dyDescent="0.2">
      <c r="B2781" t="str">
        <f t="shared" si="284"/>
        <v/>
      </c>
      <c r="U2781" s="8">
        <f t="shared" si="287"/>
        <v>2</v>
      </c>
      <c r="AD2781" t="str">
        <f t="shared" si="286"/>
        <v>o</v>
      </c>
      <c r="AE2781" t="str">
        <f t="shared" si="290"/>
        <v/>
      </c>
      <c r="AF2781" t="str">
        <f t="shared" si="288"/>
        <v/>
      </c>
      <c r="AG2781" t="str">
        <f t="shared" si="289"/>
        <v/>
      </c>
      <c r="AN2781" t="str">
        <f t="shared" si="285"/>
        <v>Defensive</v>
      </c>
    </row>
    <row r="2782" spans="2:40" x14ac:dyDescent="0.2">
      <c r="B2782" t="str">
        <f t="shared" si="284"/>
        <v/>
      </c>
      <c r="U2782" s="8">
        <f t="shared" si="287"/>
        <v>2</v>
      </c>
      <c r="AD2782" t="str">
        <f t="shared" si="286"/>
        <v>o</v>
      </c>
      <c r="AE2782" t="str">
        <f t="shared" si="290"/>
        <v/>
      </c>
      <c r="AF2782" t="str">
        <f t="shared" si="288"/>
        <v/>
      </c>
      <c r="AG2782" t="str">
        <f t="shared" si="289"/>
        <v/>
      </c>
      <c r="AN2782" t="str">
        <f t="shared" si="285"/>
        <v>Defensive</v>
      </c>
    </row>
    <row r="2783" spans="2:40" x14ac:dyDescent="0.2">
      <c r="B2783" t="str">
        <f t="shared" si="284"/>
        <v/>
      </c>
      <c r="U2783" s="8">
        <f t="shared" si="287"/>
        <v>2</v>
      </c>
      <c r="AD2783" t="str">
        <f t="shared" si="286"/>
        <v>o</v>
      </c>
      <c r="AE2783" t="str">
        <f t="shared" si="290"/>
        <v/>
      </c>
      <c r="AF2783" t="str">
        <f t="shared" si="288"/>
        <v/>
      </c>
      <c r="AG2783" t="str">
        <f t="shared" si="289"/>
        <v/>
      </c>
      <c r="AN2783" t="str">
        <f t="shared" si="285"/>
        <v>Defensive</v>
      </c>
    </row>
    <row r="2784" spans="2:40" x14ac:dyDescent="0.2">
      <c r="B2784" t="str">
        <f t="shared" si="284"/>
        <v/>
      </c>
      <c r="U2784" s="8">
        <f t="shared" si="287"/>
        <v>2</v>
      </c>
      <c r="AD2784" t="str">
        <f t="shared" si="286"/>
        <v>o</v>
      </c>
      <c r="AE2784" t="str">
        <f t="shared" si="290"/>
        <v/>
      </c>
      <c r="AF2784" t="str">
        <f t="shared" si="288"/>
        <v/>
      </c>
      <c r="AG2784" t="str">
        <f t="shared" si="289"/>
        <v/>
      </c>
      <c r="AN2784" t="str">
        <f t="shared" si="285"/>
        <v>Defensive</v>
      </c>
    </row>
    <row r="2785" spans="2:40" x14ac:dyDescent="0.2">
      <c r="B2785" t="str">
        <f t="shared" si="284"/>
        <v/>
      </c>
      <c r="U2785" s="8">
        <f t="shared" si="287"/>
        <v>2</v>
      </c>
      <c r="AD2785" t="str">
        <f t="shared" si="286"/>
        <v>o</v>
      </c>
      <c r="AE2785" t="str">
        <f t="shared" si="290"/>
        <v/>
      </c>
      <c r="AF2785" t="str">
        <f t="shared" si="288"/>
        <v/>
      </c>
      <c r="AG2785" t="str">
        <f t="shared" si="289"/>
        <v/>
      </c>
      <c r="AN2785" t="str">
        <f t="shared" si="285"/>
        <v>Defensive</v>
      </c>
    </row>
    <row r="2786" spans="2:40" x14ac:dyDescent="0.2">
      <c r="B2786" t="str">
        <f t="shared" si="284"/>
        <v/>
      </c>
      <c r="U2786" s="8">
        <f t="shared" si="287"/>
        <v>2</v>
      </c>
      <c r="AD2786" t="str">
        <f t="shared" si="286"/>
        <v>o</v>
      </c>
      <c r="AE2786" t="str">
        <f t="shared" si="290"/>
        <v/>
      </c>
      <c r="AF2786" t="str">
        <f t="shared" si="288"/>
        <v/>
      </c>
      <c r="AG2786" t="str">
        <f t="shared" si="289"/>
        <v/>
      </c>
      <c r="AN2786" t="str">
        <f t="shared" si="285"/>
        <v>Defensive</v>
      </c>
    </row>
    <row r="2787" spans="2:40" x14ac:dyDescent="0.2">
      <c r="B2787" t="str">
        <f t="shared" si="284"/>
        <v/>
      </c>
      <c r="U2787" s="8">
        <f t="shared" si="287"/>
        <v>2</v>
      </c>
      <c r="AD2787" t="str">
        <f t="shared" si="286"/>
        <v>o</v>
      </c>
      <c r="AE2787" t="str">
        <f t="shared" si="290"/>
        <v/>
      </c>
      <c r="AF2787" t="str">
        <f t="shared" si="288"/>
        <v/>
      </c>
      <c r="AG2787" t="str">
        <f t="shared" si="289"/>
        <v/>
      </c>
      <c r="AN2787" t="str">
        <f t="shared" si="285"/>
        <v>Defensive</v>
      </c>
    </row>
    <row r="2788" spans="2:40" x14ac:dyDescent="0.2">
      <c r="B2788" t="str">
        <f t="shared" si="284"/>
        <v/>
      </c>
      <c r="U2788" s="8">
        <f t="shared" si="287"/>
        <v>2</v>
      </c>
      <c r="AD2788" t="str">
        <f t="shared" si="286"/>
        <v>o</v>
      </c>
      <c r="AE2788" t="str">
        <f t="shared" si="290"/>
        <v/>
      </c>
      <c r="AF2788" t="str">
        <f t="shared" si="288"/>
        <v/>
      </c>
      <c r="AG2788" t="str">
        <f t="shared" si="289"/>
        <v/>
      </c>
      <c r="AN2788" t="str">
        <f t="shared" si="285"/>
        <v>Defensive</v>
      </c>
    </row>
    <row r="2789" spans="2:40" x14ac:dyDescent="0.2">
      <c r="B2789" t="str">
        <f t="shared" si="284"/>
        <v/>
      </c>
      <c r="U2789" s="8">
        <f t="shared" si="287"/>
        <v>2</v>
      </c>
      <c r="AD2789" t="str">
        <f t="shared" si="286"/>
        <v>o</v>
      </c>
      <c r="AE2789" t="str">
        <f t="shared" si="290"/>
        <v/>
      </c>
      <c r="AF2789" t="str">
        <f t="shared" si="288"/>
        <v/>
      </c>
      <c r="AG2789" t="str">
        <f t="shared" si="289"/>
        <v/>
      </c>
      <c r="AN2789" t="str">
        <f t="shared" si="285"/>
        <v>Defensive</v>
      </c>
    </row>
    <row r="2790" spans="2:40" x14ac:dyDescent="0.2">
      <c r="B2790" t="str">
        <f t="shared" si="284"/>
        <v/>
      </c>
      <c r="U2790" s="8">
        <f t="shared" si="287"/>
        <v>2</v>
      </c>
      <c r="AD2790" t="str">
        <f t="shared" si="286"/>
        <v>o</v>
      </c>
      <c r="AE2790" t="str">
        <f t="shared" si="290"/>
        <v/>
      </c>
      <c r="AF2790" t="str">
        <f t="shared" si="288"/>
        <v/>
      </c>
      <c r="AG2790" t="str">
        <f t="shared" si="289"/>
        <v/>
      </c>
      <c r="AN2790" t="str">
        <f t="shared" si="285"/>
        <v>Defensive</v>
      </c>
    </row>
    <row r="2791" spans="2:40" x14ac:dyDescent="0.2">
      <c r="B2791" t="str">
        <f t="shared" si="284"/>
        <v/>
      </c>
      <c r="U2791" s="8">
        <f t="shared" si="287"/>
        <v>2</v>
      </c>
      <c r="AD2791" t="str">
        <f t="shared" si="286"/>
        <v>o</v>
      </c>
      <c r="AE2791" t="str">
        <f t="shared" si="290"/>
        <v/>
      </c>
      <c r="AF2791" t="str">
        <f t="shared" si="288"/>
        <v/>
      </c>
      <c r="AG2791" t="str">
        <f t="shared" si="289"/>
        <v/>
      </c>
      <c r="AN2791" t="str">
        <f t="shared" si="285"/>
        <v>Defensive</v>
      </c>
    </row>
    <row r="2792" spans="2:40" x14ac:dyDescent="0.2">
      <c r="B2792" t="str">
        <f t="shared" si="284"/>
        <v/>
      </c>
      <c r="U2792" s="8">
        <f t="shared" si="287"/>
        <v>2</v>
      </c>
      <c r="AD2792" t="str">
        <f t="shared" si="286"/>
        <v>o</v>
      </c>
      <c r="AE2792" t="str">
        <f t="shared" si="290"/>
        <v/>
      </c>
      <c r="AF2792" t="str">
        <f t="shared" si="288"/>
        <v/>
      </c>
      <c r="AG2792" t="str">
        <f t="shared" si="289"/>
        <v/>
      </c>
      <c r="AN2792" t="str">
        <f t="shared" si="285"/>
        <v>Defensive</v>
      </c>
    </row>
    <row r="2793" spans="2:40" x14ac:dyDescent="0.2">
      <c r="B2793" t="str">
        <f t="shared" si="284"/>
        <v/>
      </c>
      <c r="U2793" s="8">
        <f t="shared" si="287"/>
        <v>2</v>
      </c>
      <c r="AD2793" t="str">
        <f t="shared" si="286"/>
        <v>o</v>
      </c>
      <c r="AE2793" t="str">
        <f t="shared" si="290"/>
        <v/>
      </c>
      <c r="AF2793" t="str">
        <f t="shared" si="288"/>
        <v/>
      </c>
      <c r="AG2793" t="str">
        <f t="shared" si="289"/>
        <v/>
      </c>
      <c r="AN2793" t="str">
        <f t="shared" si="285"/>
        <v>Defensive</v>
      </c>
    </row>
    <row r="2794" spans="2:40" x14ac:dyDescent="0.2">
      <c r="B2794" t="str">
        <f t="shared" si="284"/>
        <v/>
      </c>
      <c r="U2794" s="8">
        <f t="shared" si="287"/>
        <v>2</v>
      </c>
      <c r="AD2794" t="str">
        <f t="shared" si="286"/>
        <v>o</v>
      </c>
      <c r="AE2794" t="str">
        <f t="shared" si="290"/>
        <v/>
      </c>
      <c r="AF2794" t="str">
        <f t="shared" si="288"/>
        <v/>
      </c>
      <c r="AG2794" t="str">
        <f t="shared" si="289"/>
        <v/>
      </c>
      <c r="AN2794" t="str">
        <f t="shared" si="285"/>
        <v>Defensive</v>
      </c>
    </row>
    <row r="2795" spans="2:40" x14ac:dyDescent="0.2">
      <c r="B2795" t="str">
        <f t="shared" si="284"/>
        <v/>
      </c>
      <c r="U2795" s="8">
        <f t="shared" si="287"/>
        <v>2</v>
      </c>
      <c r="AD2795" t="str">
        <f t="shared" si="286"/>
        <v>o</v>
      </c>
      <c r="AE2795" t="str">
        <f t="shared" si="290"/>
        <v/>
      </c>
      <c r="AF2795" t="str">
        <f t="shared" si="288"/>
        <v/>
      </c>
      <c r="AG2795" t="str">
        <f t="shared" si="289"/>
        <v/>
      </c>
      <c r="AN2795" t="str">
        <f t="shared" si="285"/>
        <v>Defensive</v>
      </c>
    </row>
    <row r="2796" spans="2:40" x14ac:dyDescent="0.2">
      <c r="B2796" t="str">
        <f t="shared" si="284"/>
        <v/>
      </c>
      <c r="U2796" s="8">
        <f t="shared" si="287"/>
        <v>2</v>
      </c>
      <c r="AD2796" t="str">
        <f t="shared" si="286"/>
        <v>o</v>
      </c>
      <c r="AE2796" t="str">
        <f t="shared" si="290"/>
        <v/>
      </c>
      <c r="AF2796" t="str">
        <f t="shared" si="288"/>
        <v/>
      </c>
      <c r="AG2796" t="str">
        <f t="shared" si="289"/>
        <v/>
      </c>
      <c r="AN2796" t="str">
        <f t="shared" si="285"/>
        <v>Defensive</v>
      </c>
    </row>
    <row r="2797" spans="2:40" x14ac:dyDescent="0.2">
      <c r="B2797" t="str">
        <f t="shared" si="284"/>
        <v/>
      </c>
      <c r="U2797" s="8">
        <f t="shared" si="287"/>
        <v>2</v>
      </c>
      <c r="AD2797" t="str">
        <f t="shared" si="286"/>
        <v>o</v>
      </c>
      <c r="AE2797" t="str">
        <f t="shared" si="290"/>
        <v/>
      </c>
      <c r="AF2797" t="str">
        <f t="shared" si="288"/>
        <v/>
      </c>
      <c r="AG2797" t="str">
        <f t="shared" si="289"/>
        <v/>
      </c>
      <c r="AN2797" t="str">
        <f t="shared" si="285"/>
        <v>Defensive</v>
      </c>
    </row>
    <row r="2798" spans="2:40" x14ac:dyDescent="0.2">
      <c r="B2798" t="str">
        <f t="shared" si="284"/>
        <v/>
      </c>
      <c r="U2798" s="8">
        <f t="shared" si="287"/>
        <v>2</v>
      </c>
      <c r="AD2798" t="str">
        <f t="shared" si="286"/>
        <v>o</v>
      </c>
      <c r="AE2798" t="str">
        <f t="shared" si="290"/>
        <v/>
      </c>
      <c r="AF2798" t="str">
        <f t="shared" si="288"/>
        <v/>
      </c>
      <c r="AG2798" t="str">
        <f t="shared" si="289"/>
        <v/>
      </c>
      <c r="AN2798" t="str">
        <f t="shared" si="285"/>
        <v>Defensive</v>
      </c>
    </row>
    <row r="2799" spans="2:40" x14ac:dyDescent="0.2">
      <c r="B2799" t="str">
        <f t="shared" si="284"/>
        <v/>
      </c>
      <c r="U2799" s="8">
        <f t="shared" si="287"/>
        <v>2</v>
      </c>
      <c r="AD2799" t="str">
        <f t="shared" si="286"/>
        <v>o</v>
      </c>
      <c r="AE2799" t="str">
        <f t="shared" si="290"/>
        <v/>
      </c>
      <c r="AF2799" t="str">
        <f t="shared" si="288"/>
        <v/>
      </c>
      <c r="AG2799" t="str">
        <f t="shared" si="289"/>
        <v/>
      </c>
      <c r="AN2799" t="str">
        <f t="shared" si="285"/>
        <v>Defensive</v>
      </c>
    </row>
    <row r="2800" spans="2:40" x14ac:dyDescent="0.2">
      <c r="B2800" t="str">
        <f t="shared" ref="B2800:B2863" si="291">IF(A2800=A2799,B2799,"")</f>
        <v/>
      </c>
      <c r="U2800" s="8">
        <f t="shared" si="287"/>
        <v>2</v>
      </c>
      <c r="AD2800" t="str">
        <f t="shared" si="286"/>
        <v>o</v>
      </c>
      <c r="AE2800" t="str">
        <f t="shared" si="290"/>
        <v/>
      </c>
      <c r="AF2800" t="str">
        <f t="shared" si="288"/>
        <v/>
      </c>
      <c r="AG2800" t="str">
        <f t="shared" si="289"/>
        <v/>
      </c>
      <c r="AN2800" t="str">
        <f t="shared" si="285"/>
        <v>Defensive</v>
      </c>
    </row>
    <row r="2801" spans="2:40" x14ac:dyDescent="0.2">
      <c r="B2801" t="str">
        <f t="shared" si="291"/>
        <v/>
      </c>
      <c r="U2801" s="8">
        <f t="shared" si="287"/>
        <v>2</v>
      </c>
      <c r="AD2801" t="str">
        <f t="shared" si="286"/>
        <v>o</v>
      </c>
      <c r="AE2801" t="str">
        <f t="shared" si="290"/>
        <v/>
      </c>
      <c r="AF2801" t="str">
        <f t="shared" si="288"/>
        <v/>
      </c>
      <c r="AG2801" t="str">
        <f t="shared" si="289"/>
        <v/>
      </c>
      <c r="AN2801" t="str">
        <f t="shared" si="285"/>
        <v>Defensive</v>
      </c>
    </row>
    <row r="2802" spans="2:40" x14ac:dyDescent="0.2">
      <c r="B2802" t="str">
        <f t="shared" si="291"/>
        <v/>
      </c>
      <c r="U2802" s="8">
        <f t="shared" si="287"/>
        <v>2</v>
      </c>
      <c r="AD2802" t="str">
        <f t="shared" si="286"/>
        <v>o</v>
      </c>
      <c r="AE2802" t="str">
        <f t="shared" si="290"/>
        <v/>
      </c>
      <c r="AF2802" t="str">
        <f t="shared" si="288"/>
        <v/>
      </c>
      <c r="AG2802" t="str">
        <f t="shared" si="289"/>
        <v/>
      </c>
      <c r="AN2802" t="str">
        <f t="shared" si="285"/>
        <v>Defensive</v>
      </c>
    </row>
    <row r="2803" spans="2:40" x14ac:dyDescent="0.2">
      <c r="B2803" t="str">
        <f t="shared" si="291"/>
        <v/>
      </c>
      <c r="U2803" s="8">
        <f t="shared" si="287"/>
        <v>2</v>
      </c>
      <c r="AD2803" t="str">
        <f t="shared" si="286"/>
        <v>o</v>
      </c>
      <c r="AE2803" t="str">
        <f t="shared" si="290"/>
        <v/>
      </c>
      <c r="AF2803" t="str">
        <f t="shared" si="288"/>
        <v/>
      </c>
      <c r="AG2803" t="str">
        <f t="shared" si="289"/>
        <v/>
      </c>
      <c r="AN2803" t="str">
        <f t="shared" si="285"/>
        <v>Defensive</v>
      </c>
    </row>
    <row r="2804" spans="2:40" x14ac:dyDescent="0.2">
      <c r="B2804" t="str">
        <f t="shared" si="291"/>
        <v/>
      </c>
      <c r="U2804" s="8">
        <f t="shared" si="287"/>
        <v>2</v>
      </c>
      <c r="AD2804" t="str">
        <f t="shared" si="286"/>
        <v>o</v>
      </c>
      <c r="AE2804" t="str">
        <f t="shared" si="290"/>
        <v/>
      </c>
      <c r="AF2804" t="str">
        <f t="shared" si="288"/>
        <v/>
      </c>
      <c r="AG2804" t="str">
        <f t="shared" si="289"/>
        <v/>
      </c>
      <c r="AN2804" t="str">
        <f t="shared" si="285"/>
        <v>Defensive</v>
      </c>
    </row>
    <row r="2805" spans="2:40" x14ac:dyDescent="0.2">
      <c r="B2805" t="str">
        <f t="shared" si="291"/>
        <v/>
      </c>
      <c r="U2805" s="8">
        <f t="shared" si="287"/>
        <v>2</v>
      </c>
      <c r="AD2805" t="str">
        <f t="shared" si="286"/>
        <v>o</v>
      </c>
      <c r="AE2805" t="str">
        <f t="shared" si="290"/>
        <v/>
      </c>
      <c r="AF2805" t="str">
        <f t="shared" si="288"/>
        <v/>
      </c>
      <c r="AG2805" t="str">
        <f t="shared" si="289"/>
        <v/>
      </c>
      <c r="AN2805" t="str">
        <f t="shared" si="285"/>
        <v>Defensive</v>
      </c>
    </row>
    <row r="2806" spans="2:40" x14ac:dyDescent="0.2">
      <c r="B2806" t="str">
        <f t="shared" si="291"/>
        <v/>
      </c>
      <c r="U2806" s="8">
        <f t="shared" si="287"/>
        <v>2</v>
      </c>
      <c r="AD2806" t="str">
        <f t="shared" si="286"/>
        <v>o</v>
      </c>
      <c r="AE2806" t="str">
        <f t="shared" si="290"/>
        <v/>
      </c>
      <c r="AF2806" t="str">
        <f t="shared" si="288"/>
        <v/>
      </c>
      <c r="AG2806" t="str">
        <f t="shared" si="289"/>
        <v/>
      </c>
      <c r="AN2806" t="str">
        <f t="shared" si="285"/>
        <v>Defensive</v>
      </c>
    </row>
    <row r="2807" spans="2:40" x14ac:dyDescent="0.2">
      <c r="B2807" t="str">
        <f t="shared" si="291"/>
        <v/>
      </c>
      <c r="U2807" s="8">
        <f t="shared" si="287"/>
        <v>2</v>
      </c>
      <c r="AD2807" t="str">
        <f t="shared" si="286"/>
        <v>o</v>
      </c>
      <c r="AE2807" t="str">
        <f t="shared" si="290"/>
        <v/>
      </c>
      <c r="AF2807" t="str">
        <f t="shared" si="288"/>
        <v/>
      </c>
      <c r="AG2807" t="str">
        <f t="shared" si="289"/>
        <v/>
      </c>
      <c r="AN2807" t="str">
        <f t="shared" si="285"/>
        <v>Defensive</v>
      </c>
    </row>
    <row r="2808" spans="2:40" x14ac:dyDescent="0.2">
      <c r="B2808" t="str">
        <f t="shared" si="291"/>
        <v/>
      </c>
      <c r="U2808" s="8">
        <f t="shared" si="287"/>
        <v>2</v>
      </c>
      <c r="AD2808" t="str">
        <f t="shared" si="286"/>
        <v>o</v>
      </c>
      <c r="AE2808" t="str">
        <f t="shared" si="290"/>
        <v/>
      </c>
      <c r="AF2808" t="str">
        <f t="shared" si="288"/>
        <v/>
      </c>
      <c r="AG2808" t="str">
        <f t="shared" si="289"/>
        <v/>
      </c>
      <c r="AN2808" t="str">
        <f t="shared" si="285"/>
        <v>Defensive</v>
      </c>
    </row>
    <row r="2809" spans="2:40" x14ac:dyDescent="0.2">
      <c r="B2809" t="str">
        <f t="shared" si="291"/>
        <v/>
      </c>
      <c r="U2809" s="8">
        <f t="shared" si="287"/>
        <v>2</v>
      </c>
      <c r="AD2809" t="str">
        <f t="shared" si="286"/>
        <v>o</v>
      </c>
      <c r="AE2809" t="str">
        <f t="shared" si="290"/>
        <v/>
      </c>
      <c r="AF2809" t="str">
        <f t="shared" si="288"/>
        <v/>
      </c>
      <c r="AG2809" t="str">
        <f t="shared" si="289"/>
        <v/>
      </c>
      <c r="AN2809" t="str">
        <f t="shared" ref="AN2809:AN2872" si="292">IF(AND(AD2809="e",OR(AE2809="Save",AF2809="Turnover_Takeaway",AF2809="Play_Defensive")),"Defensive",IF(AND(AD2809="o",OR(AE2809="Save",AF2809="Turnover_Takeaway",AF2809="Play_Defensive")),"Offensive",IF(OR(AE2809="Deadice",AE2809="Stoppage",AE2809="Intermission"),"",IF(AD2809="e","Offensive",IF(AD2809="o","Defensive","")))))</f>
        <v>Defensive</v>
      </c>
    </row>
    <row r="2810" spans="2:40" x14ac:dyDescent="0.2">
      <c r="B2810" t="str">
        <f t="shared" si="291"/>
        <v/>
      </c>
      <c r="U2810" s="8">
        <f t="shared" si="287"/>
        <v>2</v>
      </c>
      <c r="AD2810" t="str">
        <f t="shared" si="286"/>
        <v>o</v>
      </c>
      <c r="AE2810" t="str">
        <f t="shared" si="290"/>
        <v/>
      </c>
      <c r="AF2810" t="str">
        <f t="shared" si="288"/>
        <v/>
      </c>
      <c r="AG2810" t="str">
        <f t="shared" si="289"/>
        <v/>
      </c>
      <c r="AN2810" t="str">
        <f t="shared" si="292"/>
        <v>Defensive</v>
      </c>
    </row>
    <row r="2811" spans="2:40" x14ac:dyDescent="0.2">
      <c r="B2811" t="str">
        <f t="shared" si="291"/>
        <v/>
      </c>
      <c r="U2811" s="8">
        <f t="shared" si="287"/>
        <v>2</v>
      </c>
      <c r="AD2811" t="str">
        <f t="shared" si="286"/>
        <v>o</v>
      </c>
      <c r="AE2811" t="str">
        <f t="shared" si="290"/>
        <v/>
      </c>
      <c r="AF2811" t="str">
        <f t="shared" si="288"/>
        <v/>
      </c>
      <c r="AG2811" t="str">
        <f t="shared" si="289"/>
        <v/>
      </c>
      <c r="AN2811" t="str">
        <f t="shared" si="292"/>
        <v>Defensive</v>
      </c>
    </row>
    <row r="2812" spans="2:40" x14ac:dyDescent="0.2">
      <c r="B2812" t="str">
        <f t="shared" si="291"/>
        <v/>
      </c>
      <c r="U2812" s="8">
        <f t="shared" si="287"/>
        <v>2</v>
      </c>
      <c r="AD2812" t="str">
        <f t="shared" si="286"/>
        <v>o</v>
      </c>
      <c r="AE2812" t="str">
        <f t="shared" si="290"/>
        <v/>
      </c>
      <c r="AF2812" t="str">
        <f t="shared" si="288"/>
        <v/>
      </c>
      <c r="AG2812" t="str">
        <f t="shared" si="289"/>
        <v/>
      </c>
      <c r="AN2812" t="str">
        <f t="shared" si="292"/>
        <v>Defensive</v>
      </c>
    </row>
    <row r="2813" spans="2:40" x14ac:dyDescent="0.2">
      <c r="B2813" t="str">
        <f t="shared" si="291"/>
        <v/>
      </c>
      <c r="U2813" s="8">
        <f t="shared" si="287"/>
        <v>2</v>
      </c>
      <c r="AD2813" t="str">
        <f t="shared" si="286"/>
        <v>o</v>
      </c>
      <c r="AE2813" t="str">
        <f t="shared" si="290"/>
        <v/>
      </c>
      <c r="AF2813" t="str">
        <f t="shared" si="288"/>
        <v/>
      </c>
      <c r="AG2813" t="str">
        <f t="shared" si="289"/>
        <v/>
      </c>
      <c r="AN2813" t="str">
        <f t="shared" si="292"/>
        <v>Defensive</v>
      </c>
    </row>
    <row r="2814" spans="2:40" x14ac:dyDescent="0.2">
      <c r="B2814" t="str">
        <f t="shared" si="291"/>
        <v/>
      </c>
      <c r="U2814" s="8">
        <f t="shared" si="287"/>
        <v>2</v>
      </c>
      <c r="AD2814" t="str">
        <f t="shared" si="286"/>
        <v>o</v>
      </c>
      <c r="AE2814" t="str">
        <f t="shared" si="290"/>
        <v/>
      </c>
      <c r="AF2814" t="str">
        <f t="shared" si="288"/>
        <v/>
      </c>
      <c r="AG2814" t="str">
        <f t="shared" si="289"/>
        <v/>
      </c>
      <c r="AN2814" t="str">
        <f t="shared" si="292"/>
        <v>Defensive</v>
      </c>
    </row>
    <row r="2815" spans="2:40" x14ac:dyDescent="0.2">
      <c r="B2815" t="str">
        <f t="shared" si="291"/>
        <v/>
      </c>
      <c r="U2815" s="8">
        <f t="shared" si="287"/>
        <v>2</v>
      </c>
      <c r="AD2815" t="str">
        <f t="shared" si="286"/>
        <v>o</v>
      </c>
      <c r="AE2815" t="str">
        <f t="shared" si="290"/>
        <v/>
      </c>
      <c r="AF2815" t="str">
        <f t="shared" si="288"/>
        <v/>
      </c>
      <c r="AG2815" t="str">
        <f t="shared" si="289"/>
        <v/>
      </c>
      <c r="AN2815" t="str">
        <f t="shared" si="292"/>
        <v>Defensive</v>
      </c>
    </row>
    <row r="2816" spans="2:40" x14ac:dyDescent="0.2">
      <c r="B2816" t="str">
        <f t="shared" si="291"/>
        <v/>
      </c>
      <c r="U2816" s="8">
        <f t="shared" si="287"/>
        <v>2</v>
      </c>
      <c r="AD2816" t="str">
        <f t="shared" si="286"/>
        <v>o</v>
      </c>
      <c r="AE2816" t="str">
        <f t="shared" si="290"/>
        <v/>
      </c>
      <c r="AF2816" t="str">
        <f t="shared" si="288"/>
        <v/>
      </c>
      <c r="AG2816" t="str">
        <f t="shared" si="289"/>
        <v/>
      </c>
      <c r="AN2816" t="str">
        <f t="shared" si="292"/>
        <v>Defensive</v>
      </c>
    </row>
    <row r="2817" spans="2:40" x14ac:dyDescent="0.2">
      <c r="B2817" t="str">
        <f t="shared" si="291"/>
        <v/>
      </c>
      <c r="U2817" s="8">
        <f t="shared" si="287"/>
        <v>2</v>
      </c>
      <c r="AD2817" t="str">
        <f t="shared" si="286"/>
        <v>o</v>
      </c>
      <c r="AE2817" t="str">
        <f t="shared" si="290"/>
        <v/>
      </c>
      <c r="AF2817" t="str">
        <f t="shared" si="288"/>
        <v/>
      </c>
      <c r="AG2817" t="str">
        <f t="shared" si="289"/>
        <v/>
      </c>
      <c r="AN2817" t="str">
        <f t="shared" si="292"/>
        <v>Defensive</v>
      </c>
    </row>
    <row r="2818" spans="2:40" x14ac:dyDescent="0.2">
      <c r="B2818" t="str">
        <f t="shared" si="291"/>
        <v/>
      </c>
      <c r="U2818" s="8">
        <f t="shared" si="287"/>
        <v>2</v>
      </c>
      <c r="AD2818" t="str">
        <f t="shared" ref="AD2818:AD2881" si="293">IF(K2818="x","",IF(K2818=1,"e","o"))</f>
        <v>o</v>
      </c>
      <c r="AE2818" t="str">
        <f t="shared" si="290"/>
        <v/>
      </c>
      <c r="AF2818" t="str">
        <f t="shared" si="288"/>
        <v/>
      </c>
      <c r="AG2818" t="str">
        <f t="shared" si="289"/>
        <v/>
      </c>
      <c r="AN2818" t="str">
        <f t="shared" si="292"/>
        <v>Defensive</v>
      </c>
    </row>
    <row r="2819" spans="2:40" x14ac:dyDescent="0.2">
      <c r="B2819" t="str">
        <f t="shared" si="291"/>
        <v/>
      </c>
      <c r="U2819" s="8">
        <f t="shared" ref="U2819:U2882" si="294">IF(M2819="Intermission",U2818+1,U2818)</f>
        <v>2</v>
      </c>
      <c r="AD2819" t="str">
        <f t="shared" si="293"/>
        <v>o</v>
      </c>
      <c r="AE2819" t="str">
        <f t="shared" si="290"/>
        <v/>
      </c>
      <c r="AF2819" t="str">
        <f t="shared" ref="AF2819:AF2882" si="295">IF(N2819&lt;&gt;"",N2819,IF($A2819=$A2818,AF2818,""))</f>
        <v/>
      </c>
      <c r="AG2819" t="str">
        <f t="shared" ref="AG2819:AG2882" si="296">IF(O2819&lt;&gt;"",O2819,IF($A2819=$A2818,AG2818,""))</f>
        <v/>
      </c>
      <c r="AN2819" t="str">
        <f t="shared" si="292"/>
        <v>Defensive</v>
      </c>
    </row>
    <row r="2820" spans="2:40" x14ac:dyDescent="0.2">
      <c r="B2820" t="str">
        <f t="shared" si="291"/>
        <v/>
      </c>
      <c r="U2820" s="8">
        <f t="shared" si="294"/>
        <v>2</v>
      </c>
      <c r="AD2820" t="str">
        <f t="shared" si="293"/>
        <v>o</v>
      </c>
      <c r="AE2820" t="str">
        <f t="shared" ref="AE2820:AE2883" si="297">IF(M2820&lt;&gt;"",M2820,IF($A2820=$A2819,AE2819,""))</f>
        <v/>
      </c>
      <c r="AF2820" t="str">
        <f t="shared" si="295"/>
        <v/>
      </c>
      <c r="AG2820" t="str">
        <f t="shared" si="296"/>
        <v/>
      </c>
      <c r="AN2820" t="str">
        <f t="shared" si="292"/>
        <v>Defensive</v>
      </c>
    </row>
    <row r="2821" spans="2:40" x14ac:dyDescent="0.2">
      <c r="B2821" t="str">
        <f t="shared" si="291"/>
        <v/>
      </c>
      <c r="U2821" s="8">
        <f t="shared" si="294"/>
        <v>2</v>
      </c>
      <c r="AD2821" t="str">
        <f t="shared" si="293"/>
        <v>o</v>
      </c>
      <c r="AE2821" t="str">
        <f t="shared" si="297"/>
        <v/>
      </c>
      <c r="AF2821" t="str">
        <f t="shared" si="295"/>
        <v/>
      </c>
      <c r="AG2821" t="str">
        <f t="shared" si="296"/>
        <v/>
      </c>
      <c r="AN2821" t="str">
        <f t="shared" si="292"/>
        <v>Defensive</v>
      </c>
    </row>
    <row r="2822" spans="2:40" x14ac:dyDescent="0.2">
      <c r="B2822" t="str">
        <f t="shared" si="291"/>
        <v/>
      </c>
      <c r="U2822" s="8">
        <f t="shared" si="294"/>
        <v>2</v>
      </c>
      <c r="AD2822" t="str">
        <f t="shared" si="293"/>
        <v>o</v>
      </c>
      <c r="AE2822" t="str">
        <f t="shared" si="297"/>
        <v/>
      </c>
      <c r="AF2822" t="str">
        <f t="shared" si="295"/>
        <v/>
      </c>
      <c r="AG2822" t="str">
        <f t="shared" si="296"/>
        <v/>
      </c>
      <c r="AN2822" t="str">
        <f t="shared" si="292"/>
        <v>Defensive</v>
      </c>
    </row>
    <row r="2823" spans="2:40" x14ac:dyDescent="0.2">
      <c r="B2823" t="str">
        <f t="shared" si="291"/>
        <v/>
      </c>
      <c r="U2823" s="8">
        <f t="shared" si="294"/>
        <v>2</v>
      </c>
      <c r="AD2823" t="str">
        <f t="shared" si="293"/>
        <v>o</v>
      </c>
      <c r="AE2823" t="str">
        <f t="shared" si="297"/>
        <v/>
      </c>
      <c r="AF2823" t="str">
        <f t="shared" si="295"/>
        <v/>
      </c>
      <c r="AG2823" t="str">
        <f t="shared" si="296"/>
        <v/>
      </c>
      <c r="AN2823" t="str">
        <f t="shared" si="292"/>
        <v>Defensive</v>
      </c>
    </row>
    <row r="2824" spans="2:40" x14ac:dyDescent="0.2">
      <c r="B2824" t="str">
        <f t="shared" si="291"/>
        <v/>
      </c>
      <c r="U2824" s="8">
        <f t="shared" si="294"/>
        <v>2</v>
      </c>
      <c r="AD2824" t="str">
        <f t="shared" si="293"/>
        <v>o</v>
      </c>
      <c r="AE2824" t="str">
        <f t="shared" si="297"/>
        <v/>
      </c>
      <c r="AF2824" t="str">
        <f t="shared" si="295"/>
        <v/>
      </c>
      <c r="AG2824" t="str">
        <f t="shared" si="296"/>
        <v/>
      </c>
      <c r="AN2824" t="str">
        <f t="shared" si="292"/>
        <v>Defensive</v>
      </c>
    </row>
    <row r="2825" spans="2:40" x14ac:dyDescent="0.2">
      <c r="B2825" t="str">
        <f t="shared" si="291"/>
        <v/>
      </c>
      <c r="U2825" s="8">
        <f t="shared" si="294"/>
        <v>2</v>
      </c>
      <c r="AD2825" t="str">
        <f t="shared" si="293"/>
        <v>o</v>
      </c>
      <c r="AE2825" t="str">
        <f t="shared" si="297"/>
        <v/>
      </c>
      <c r="AF2825" t="str">
        <f t="shared" si="295"/>
        <v/>
      </c>
      <c r="AG2825" t="str">
        <f t="shared" si="296"/>
        <v/>
      </c>
      <c r="AN2825" t="str">
        <f t="shared" si="292"/>
        <v>Defensive</v>
      </c>
    </row>
    <row r="2826" spans="2:40" x14ac:dyDescent="0.2">
      <c r="B2826" t="str">
        <f t="shared" si="291"/>
        <v/>
      </c>
      <c r="U2826" s="8">
        <f t="shared" si="294"/>
        <v>2</v>
      </c>
      <c r="AD2826" t="str">
        <f t="shared" si="293"/>
        <v>o</v>
      </c>
      <c r="AE2826" t="str">
        <f t="shared" si="297"/>
        <v/>
      </c>
      <c r="AF2826" t="str">
        <f t="shared" si="295"/>
        <v/>
      </c>
      <c r="AG2826" t="str">
        <f t="shared" si="296"/>
        <v/>
      </c>
      <c r="AN2826" t="str">
        <f t="shared" si="292"/>
        <v>Defensive</v>
      </c>
    </row>
    <row r="2827" spans="2:40" x14ac:dyDescent="0.2">
      <c r="B2827" t="str">
        <f t="shared" si="291"/>
        <v/>
      </c>
      <c r="U2827" s="8">
        <f t="shared" si="294"/>
        <v>2</v>
      </c>
      <c r="AD2827" t="str">
        <f t="shared" si="293"/>
        <v>o</v>
      </c>
      <c r="AE2827" t="str">
        <f t="shared" si="297"/>
        <v/>
      </c>
      <c r="AF2827" t="str">
        <f t="shared" si="295"/>
        <v/>
      </c>
      <c r="AG2827" t="str">
        <f t="shared" si="296"/>
        <v/>
      </c>
      <c r="AN2827" t="str">
        <f t="shared" si="292"/>
        <v>Defensive</v>
      </c>
    </row>
    <row r="2828" spans="2:40" x14ac:dyDescent="0.2">
      <c r="B2828" t="str">
        <f t="shared" si="291"/>
        <v/>
      </c>
      <c r="U2828" s="8">
        <f t="shared" si="294"/>
        <v>2</v>
      </c>
      <c r="AD2828" t="str">
        <f t="shared" si="293"/>
        <v>o</v>
      </c>
      <c r="AE2828" t="str">
        <f t="shared" si="297"/>
        <v/>
      </c>
      <c r="AF2828" t="str">
        <f t="shared" si="295"/>
        <v/>
      </c>
      <c r="AG2828" t="str">
        <f t="shared" si="296"/>
        <v/>
      </c>
      <c r="AN2828" t="str">
        <f t="shared" si="292"/>
        <v>Defensive</v>
      </c>
    </row>
    <row r="2829" spans="2:40" x14ac:dyDescent="0.2">
      <c r="B2829" t="str">
        <f t="shared" si="291"/>
        <v/>
      </c>
      <c r="U2829" s="8">
        <f t="shared" si="294"/>
        <v>2</v>
      </c>
      <c r="AD2829" t="str">
        <f t="shared" si="293"/>
        <v>o</v>
      </c>
      <c r="AE2829" t="str">
        <f t="shared" si="297"/>
        <v/>
      </c>
      <c r="AF2829" t="str">
        <f t="shared" si="295"/>
        <v/>
      </c>
      <c r="AG2829" t="str">
        <f t="shared" si="296"/>
        <v/>
      </c>
      <c r="AN2829" t="str">
        <f t="shared" si="292"/>
        <v>Defensive</v>
      </c>
    </row>
    <row r="2830" spans="2:40" x14ac:dyDescent="0.2">
      <c r="B2830" t="str">
        <f t="shared" si="291"/>
        <v/>
      </c>
      <c r="U2830" s="8">
        <f t="shared" si="294"/>
        <v>2</v>
      </c>
      <c r="AD2830" t="str">
        <f t="shared" si="293"/>
        <v>o</v>
      </c>
      <c r="AE2830" t="str">
        <f t="shared" si="297"/>
        <v/>
      </c>
      <c r="AF2830" t="str">
        <f t="shared" si="295"/>
        <v/>
      </c>
      <c r="AG2830" t="str">
        <f t="shared" si="296"/>
        <v/>
      </c>
      <c r="AN2830" t="str">
        <f t="shared" si="292"/>
        <v>Defensive</v>
      </c>
    </row>
    <row r="2831" spans="2:40" x14ac:dyDescent="0.2">
      <c r="B2831" t="str">
        <f t="shared" si="291"/>
        <v/>
      </c>
      <c r="U2831" s="8">
        <f t="shared" si="294"/>
        <v>2</v>
      </c>
      <c r="AD2831" t="str">
        <f t="shared" si="293"/>
        <v>o</v>
      </c>
      <c r="AE2831" t="str">
        <f t="shared" si="297"/>
        <v/>
      </c>
      <c r="AF2831" t="str">
        <f t="shared" si="295"/>
        <v/>
      </c>
      <c r="AG2831" t="str">
        <f t="shared" si="296"/>
        <v/>
      </c>
      <c r="AN2831" t="str">
        <f t="shared" si="292"/>
        <v>Defensive</v>
      </c>
    </row>
    <row r="2832" spans="2:40" x14ac:dyDescent="0.2">
      <c r="B2832" t="str">
        <f t="shared" si="291"/>
        <v/>
      </c>
      <c r="U2832" s="8">
        <f t="shared" si="294"/>
        <v>2</v>
      </c>
      <c r="AD2832" t="str">
        <f t="shared" si="293"/>
        <v>o</v>
      </c>
      <c r="AE2832" t="str">
        <f t="shared" si="297"/>
        <v/>
      </c>
      <c r="AF2832" t="str">
        <f t="shared" si="295"/>
        <v/>
      </c>
      <c r="AG2832" t="str">
        <f t="shared" si="296"/>
        <v/>
      </c>
      <c r="AN2832" t="str">
        <f t="shared" si="292"/>
        <v>Defensive</v>
      </c>
    </row>
    <row r="2833" spans="2:40" x14ac:dyDescent="0.2">
      <c r="B2833" t="str">
        <f t="shared" si="291"/>
        <v/>
      </c>
      <c r="U2833" s="8">
        <f t="shared" si="294"/>
        <v>2</v>
      </c>
      <c r="AD2833" t="str">
        <f t="shared" si="293"/>
        <v>o</v>
      </c>
      <c r="AE2833" t="str">
        <f t="shared" si="297"/>
        <v/>
      </c>
      <c r="AF2833" t="str">
        <f t="shared" si="295"/>
        <v/>
      </c>
      <c r="AG2833" t="str">
        <f t="shared" si="296"/>
        <v/>
      </c>
      <c r="AN2833" t="str">
        <f t="shared" si="292"/>
        <v>Defensive</v>
      </c>
    </row>
    <row r="2834" spans="2:40" x14ac:dyDescent="0.2">
      <c r="B2834" t="str">
        <f t="shared" si="291"/>
        <v/>
      </c>
      <c r="U2834" s="8">
        <f t="shared" si="294"/>
        <v>2</v>
      </c>
      <c r="AD2834" t="str">
        <f t="shared" si="293"/>
        <v>o</v>
      </c>
      <c r="AE2834" t="str">
        <f t="shared" si="297"/>
        <v/>
      </c>
      <c r="AF2834" t="str">
        <f t="shared" si="295"/>
        <v/>
      </c>
      <c r="AG2834" t="str">
        <f t="shared" si="296"/>
        <v/>
      </c>
      <c r="AN2834" t="str">
        <f t="shared" si="292"/>
        <v>Defensive</v>
      </c>
    </row>
    <row r="2835" spans="2:40" x14ac:dyDescent="0.2">
      <c r="B2835" t="str">
        <f t="shared" si="291"/>
        <v/>
      </c>
      <c r="U2835" s="8">
        <f t="shared" si="294"/>
        <v>2</v>
      </c>
      <c r="AD2835" t="str">
        <f t="shared" si="293"/>
        <v>o</v>
      </c>
      <c r="AE2835" t="str">
        <f t="shared" si="297"/>
        <v/>
      </c>
      <c r="AF2835" t="str">
        <f t="shared" si="295"/>
        <v/>
      </c>
      <c r="AG2835" t="str">
        <f t="shared" si="296"/>
        <v/>
      </c>
      <c r="AN2835" t="str">
        <f t="shared" si="292"/>
        <v>Defensive</v>
      </c>
    </row>
    <row r="2836" spans="2:40" x14ac:dyDescent="0.2">
      <c r="B2836" t="str">
        <f t="shared" si="291"/>
        <v/>
      </c>
      <c r="U2836" s="8">
        <f t="shared" si="294"/>
        <v>2</v>
      </c>
      <c r="AD2836" t="str">
        <f t="shared" si="293"/>
        <v>o</v>
      </c>
      <c r="AE2836" t="str">
        <f t="shared" si="297"/>
        <v/>
      </c>
      <c r="AF2836" t="str">
        <f t="shared" si="295"/>
        <v/>
      </c>
      <c r="AG2836" t="str">
        <f t="shared" si="296"/>
        <v/>
      </c>
      <c r="AN2836" t="str">
        <f t="shared" si="292"/>
        <v>Defensive</v>
      </c>
    </row>
    <row r="2837" spans="2:40" x14ac:dyDescent="0.2">
      <c r="B2837" t="str">
        <f t="shared" si="291"/>
        <v/>
      </c>
      <c r="U2837" s="8">
        <f t="shared" si="294"/>
        <v>2</v>
      </c>
      <c r="AD2837" t="str">
        <f t="shared" si="293"/>
        <v>o</v>
      </c>
      <c r="AE2837" t="str">
        <f t="shared" si="297"/>
        <v/>
      </c>
      <c r="AF2837" t="str">
        <f t="shared" si="295"/>
        <v/>
      </c>
      <c r="AG2837" t="str">
        <f t="shared" si="296"/>
        <v/>
      </c>
      <c r="AN2837" t="str">
        <f t="shared" si="292"/>
        <v>Defensive</v>
      </c>
    </row>
    <row r="2838" spans="2:40" x14ac:dyDescent="0.2">
      <c r="B2838" t="str">
        <f t="shared" si="291"/>
        <v/>
      </c>
      <c r="U2838" s="8">
        <f t="shared" si="294"/>
        <v>2</v>
      </c>
      <c r="AD2838" t="str">
        <f t="shared" si="293"/>
        <v>o</v>
      </c>
      <c r="AE2838" t="str">
        <f t="shared" si="297"/>
        <v/>
      </c>
      <c r="AF2838" t="str">
        <f t="shared" si="295"/>
        <v/>
      </c>
      <c r="AG2838" t="str">
        <f t="shared" si="296"/>
        <v/>
      </c>
      <c r="AN2838" t="str">
        <f t="shared" si="292"/>
        <v>Defensive</v>
      </c>
    </row>
    <row r="2839" spans="2:40" x14ac:dyDescent="0.2">
      <c r="B2839" t="str">
        <f t="shared" si="291"/>
        <v/>
      </c>
      <c r="U2839" s="8">
        <f t="shared" si="294"/>
        <v>2</v>
      </c>
      <c r="AD2839" t="str">
        <f t="shared" si="293"/>
        <v>o</v>
      </c>
      <c r="AE2839" t="str">
        <f t="shared" si="297"/>
        <v/>
      </c>
      <c r="AF2839" t="str">
        <f t="shared" si="295"/>
        <v/>
      </c>
      <c r="AG2839" t="str">
        <f t="shared" si="296"/>
        <v/>
      </c>
      <c r="AN2839" t="str">
        <f t="shared" si="292"/>
        <v>Defensive</v>
      </c>
    </row>
    <row r="2840" spans="2:40" x14ac:dyDescent="0.2">
      <c r="B2840" t="str">
        <f t="shared" si="291"/>
        <v/>
      </c>
      <c r="U2840" s="8">
        <f t="shared" si="294"/>
        <v>2</v>
      </c>
      <c r="AD2840" t="str">
        <f t="shared" si="293"/>
        <v>o</v>
      </c>
      <c r="AE2840" t="str">
        <f t="shared" si="297"/>
        <v/>
      </c>
      <c r="AF2840" t="str">
        <f t="shared" si="295"/>
        <v/>
      </c>
      <c r="AG2840" t="str">
        <f t="shared" si="296"/>
        <v/>
      </c>
      <c r="AN2840" t="str">
        <f t="shared" si="292"/>
        <v>Defensive</v>
      </c>
    </row>
    <row r="2841" spans="2:40" x14ac:dyDescent="0.2">
      <c r="B2841" t="str">
        <f t="shared" si="291"/>
        <v/>
      </c>
      <c r="U2841" s="8">
        <f t="shared" si="294"/>
        <v>2</v>
      </c>
      <c r="AD2841" t="str">
        <f t="shared" si="293"/>
        <v>o</v>
      </c>
      <c r="AE2841" t="str">
        <f t="shared" si="297"/>
        <v/>
      </c>
      <c r="AF2841" t="str">
        <f t="shared" si="295"/>
        <v/>
      </c>
      <c r="AG2841" t="str">
        <f t="shared" si="296"/>
        <v/>
      </c>
      <c r="AN2841" t="str">
        <f t="shared" si="292"/>
        <v>Defensive</v>
      </c>
    </row>
    <row r="2842" spans="2:40" x14ac:dyDescent="0.2">
      <c r="B2842" t="str">
        <f t="shared" si="291"/>
        <v/>
      </c>
      <c r="U2842" s="8">
        <f t="shared" si="294"/>
        <v>2</v>
      </c>
      <c r="AD2842" t="str">
        <f t="shared" si="293"/>
        <v>o</v>
      </c>
      <c r="AE2842" t="str">
        <f t="shared" si="297"/>
        <v/>
      </c>
      <c r="AF2842" t="str">
        <f t="shared" si="295"/>
        <v/>
      </c>
      <c r="AG2842" t="str">
        <f t="shared" si="296"/>
        <v/>
      </c>
      <c r="AN2842" t="str">
        <f t="shared" si="292"/>
        <v>Defensive</v>
      </c>
    </row>
    <row r="2843" spans="2:40" x14ac:dyDescent="0.2">
      <c r="B2843" t="str">
        <f t="shared" si="291"/>
        <v/>
      </c>
      <c r="U2843" s="8">
        <f t="shared" si="294"/>
        <v>2</v>
      </c>
      <c r="AD2843" t="str">
        <f t="shared" si="293"/>
        <v>o</v>
      </c>
      <c r="AE2843" t="str">
        <f t="shared" si="297"/>
        <v/>
      </c>
      <c r="AF2843" t="str">
        <f t="shared" si="295"/>
        <v/>
      </c>
      <c r="AG2843" t="str">
        <f t="shared" si="296"/>
        <v/>
      </c>
      <c r="AN2843" t="str">
        <f t="shared" si="292"/>
        <v>Defensive</v>
      </c>
    </row>
    <row r="2844" spans="2:40" x14ac:dyDescent="0.2">
      <c r="B2844" t="str">
        <f t="shared" si="291"/>
        <v/>
      </c>
      <c r="U2844" s="8">
        <f t="shared" si="294"/>
        <v>2</v>
      </c>
      <c r="AD2844" t="str">
        <f t="shared" si="293"/>
        <v>o</v>
      </c>
      <c r="AE2844" t="str">
        <f t="shared" si="297"/>
        <v/>
      </c>
      <c r="AF2844" t="str">
        <f t="shared" si="295"/>
        <v/>
      </c>
      <c r="AG2844" t="str">
        <f t="shared" si="296"/>
        <v/>
      </c>
      <c r="AN2844" t="str">
        <f t="shared" si="292"/>
        <v>Defensive</v>
      </c>
    </row>
    <row r="2845" spans="2:40" x14ac:dyDescent="0.2">
      <c r="B2845" t="str">
        <f t="shared" si="291"/>
        <v/>
      </c>
      <c r="U2845" s="8">
        <f t="shared" si="294"/>
        <v>2</v>
      </c>
      <c r="AD2845" t="str">
        <f t="shared" si="293"/>
        <v>o</v>
      </c>
      <c r="AE2845" t="str">
        <f t="shared" si="297"/>
        <v/>
      </c>
      <c r="AF2845" t="str">
        <f t="shared" si="295"/>
        <v/>
      </c>
      <c r="AG2845" t="str">
        <f t="shared" si="296"/>
        <v/>
      </c>
      <c r="AN2845" t="str">
        <f t="shared" si="292"/>
        <v>Defensive</v>
      </c>
    </row>
    <row r="2846" spans="2:40" x14ac:dyDescent="0.2">
      <c r="B2846" t="str">
        <f t="shared" si="291"/>
        <v/>
      </c>
      <c r="U2846" s="8">
        <f t="shared" si="294"/>
        <v>2</v>
      </c>
      <c r="AD2846" t="str">
        <f t="shared" si="293"/>
        <v>o</v>
      </c>
      <c r="AE2846" t="str">
        <f t="shared" si="297"/>
        <v/>
      </c>
      <c r="AF2846" t="str">
        <f t="shared" si="295"/>
        <v/>
      </c>
      <c r="AG2846" t="str">
        <f t="shared" si="296"/>
        <v/>
      </c>
      <c r="AN2846" t="str">
        <f t="shared" si="292"/>
        <v>Defensive</v>
      </c>
    </row>
    <row r="2847" spans="2:40" x14ac:dyDescent="0.2">
      <c r="B2847" t="str">
        <f t="shared" si="291"/>
        <v/>
      </c>
      <c r="U2847" s="8">
        <f t="shared" si="294"/>
        <v>2</v>
      </c>
      <c r="AD2847" t="str">
        <f t="shared" si="293"/>
        <v>o</v>
      </c>
      <c r="AE2847" t="str">
        <f t="shared" si="297"/>
        <v/>
      </c>
      <c r="AF2847" t="str">
        <f t="shared" si="295"/>
        <v/>
      </c>
      <c r="AG2847" t="str">
        <f t="shared" si="296"/>
        <v/>
      </c>
      <c r="AN2847" t="str">
        <f t="shared" si="292"/>
        <v>Defensive</v>
      </c>
    </row>
    <row r="2848" spans="2:40" x14ac:dyDescent="0.2">
      <c r="B2848" t="str">
        <f t="shared" si="291"/>
        <v/>
      </c>
      <c r="U2848" s="8">
        <f t="shared" si="294"/>
        <v>2</v>
      </c>
      <c r="AD2848" t="str">
        <f t="shared" si="293"/>
        <v>o</v>
      </c>
      <c r="AE2848" t="str">
        <f t="shared" si="297"/>
        <v/>
      </c>
      <c r="AF2848" t="str">
        <f t="shared" si="295"/>
        <v/>
      </c>
      <c r="AG2848" t="str">
        <f t="shared" si="296"/>
        <v/>
      </c>
      <c r="AN2848" t="str">
        <f t="shared" si="292"/>
        <v>Defensive</v>
      </c>
    </row>
    <row r="2849" spans="2:40" x14ac:dyDescent="0.2">
      <c r="B2849" t="str">
        <f t="shared" si="291"/>
        <v/>
      </c>
      <c r="U2849" s="8">
        <f t="shared" si="294"/>
        <v>2</v>
      </c>
      <c r="AD2849" t="str">
        <f t="shared" si="293"/>
        <v>o</v>
      </c>
      <c r="AE2849" t="str">
        <f t="shared" si="297"/>
        <v/>
      </c>
      <c r="AF2849" t="str">
        <f t="shared" si="295"/>
        <v/>
      </c>
      <c r="AG2849" t="str">
        <f t="shared" si="296"/>
        <v/>
      </c>
      <c r="AN2849" t="str">
        <f t="shared" si="292"/>
        <v>Defensive</v>
      </c>
    </row>
    <row r="2850" spans="2:40" x14ac:dyDescent="0.2">
      <c r="B2850" t="str">
        <f t="shared" si="291"/>
        <v/>
      </c>
      <c r="U2850" s="8">
        <f t="shared" si="294"/>
        <v>2</v>
      </c>
      <c r="AD2850" t="str">
        <f t="shared" si="293"/>
        <v>o</v>
      </c>
      <c r="AE2850" t="str">
        <f t="shared" si="297"/>
        <v/>
      </c>
      <c r="AF2850" t="str">
        <f t="shared" si="295"/>
        <v/>
      </c>
      <c r="AG2850" t="str">
        <f t="shared" si="296"/>
        <v/>
      </c>
      <c r="AN2850" t="str">
        <f t="shared" si="292"/>
        <v>Defensive</v>
      </c>
    </row>
    <row r="2851" spans="2:40" x14ac:dyDescent="0.2">
      <c r="B2851" t="str">
        <f t="shared" si="291"/>
        <v/>
      </c>
      <c r="U2851" s="8">
        <f t="shared" si="294"/>
        <v>2</v>
      </c>
      <c r="AD2851" t="str">
        <f t="shared" si="293"/>
        <v>o</v>
      </c>
      <c r="AE2851" t="str">
        <f t="shared" si="297"/>
        <v/>
      </c>
      <c r="AF2851" t="str">
        <f t="shared" si="295"/>
        <v/>
      </c>
      <c r="AG2851" t="str">
        <f t="shared" si="296"/>
        <v/>
      </c>
      <c r="AN2851" t="str">
        <f t="shared" si="292"/>
        <v>Defensive</v>
      </c>
    </row>
    <row r="2852" spans="2:40" x14ac:dyDescent="0.2">
      <c r="B2852" t="str">
        <f t="shared" si="291"/>
        <v/>
      </c>
      <c r="U2852" s="8">
        <f t="shared" si="294"/>
        <v>2</v>
      </c>
      <c r="AD2852" t="str">
        <f t="shared" si="293"/>
        <v>o</v>
      </c>
      <c r="AE2852" t="str">
        <f t="shared" si="297"/>
        <v/>
      </c>
      <c r="AF2852" t="str">
        <f t="shared" si="295"/>
        <v/>
      </c>
      <c r="AG2852" t="str">
        <f t="shared" si="296"/>
        <v/>
      </c>
      <c r="AN2852" t="str">
        <f t="shared" si="292"/>
        <v>Defensive</v>
      </c>
    </row>
    <row r="2853" spans="2:40" x14ac:dyDescent="0.2">
      <c r="B2853" t="str">
        <f t="shared" si="291"/>
        <v/>
      </c>
      <c r="U2853" s="8">
        <f t="shared" si="294"/>
        <v>2</v>
      </c>
      <c r="AD2853" t="str">
        <f t="shared" si="293"/>
        <v>o</v>
      </c>
      <c r="AE2853" t="str">
        <f t="shared" si="297"/>
        <v/>
      </c>
      <c r="AF2853" t="str">
        <f t="shared" si="295"/>
        <v/>
      </c>
      <c r="AG2853" t="str">
        <f t="shared" si="296"/>
        <v/>
      </c>
      <c r="AN2853" t="str">
        <f t="shared" si="292"/>
        <v>Defensive</v>
      </c>
    </row>
    <row r="2854" spans="2:40" x14ac:dyDescent="0.2">
      <c r="B2854" t="str">
        <f t="shared" si="291"/>
        <v/>
      </c>
      <c r="U2854" s="8">
        <f t="shared" si="294"/>
        <v>2</v>
      </c>
      <c r="AD2854" t="str">
        <f t="shared" si="293"/>
        <v>o</v>
      </c>
      <c r="AE2854" t="str">
        <f t="shared" si="297"/>
        <v/>
      </c>
      <c r="AF2854" t="str">
        <f t="shared" si="295"/>
        <v/>
      </c>
      <c r="AG2854" t="str">
        <f t="shared" si="296"/>
        <v/>
      </c>
      <c r="AN2854" t="str">
        <f t="shared" si="292"/>
        <v>Defensive</v>
      </c>
    </row>
    <row r="2855" spans="2:40" x14ac:dyDescent="0.2">
      <c r="B2855" t="str">
        <f t="shared" si="291"/>
        <v/>
      </c>
      <c r="U2855" s="8">
        <f t="shared" si="294"/>
        <v>2</v>
      </c>
      <c r="AD2855" t="str">
        <f t="shared" si="293"/>
        <v>o</v>
      </c>
      <c r="AE2855" t="str">
        <f t="shared" si="297"/>
        <v/>
      </c>
      <c r="AF2855" t="str">
        <f t="shared" si="295"/>
        <v/>
      </c>
      <c r="AG2855" t="str">
        <f t="shared" si="296"/>
        <v/>
      </c>
      <c r="AN2855" t="str">
        <f t="shared" si="292"/>
        <v>Defensive</v>
      </c>
    </row>
    <row r="2856" spans="2:40" x14ac:dyDescent="0.2">
      <c r="B2856" t="str">
        <f t="shared" si="291"/>
        <v/>
      </c>
      <c r="U2856" s="8">
        <f t="shared" si="294"/>
        <v>2</v>
      </c>
      <c r="AD2856" t="str">
        <f t="shared" si="293"/>
        <v>o</v>
      </c>
      <c r="AE2856" t="str">
        <f t="shared" si="297"/>
        <v/>
      </c>
      <c r="AF2856" t="str">
        <f t="shared" si="295"/>
        <v/>
      </c>
      <c r="AG2856" t="str">
        <f t="shared" si="296"/>
        <v/>
      </c>
      <c r="AN2856" t="str">
        <f t="shared" si="292"/>
        <v>Defensive</v>
      </c>
    </row>
    <row r="2857" spans="2:40" x14ac:dyDescent="0.2">
      <c r="B2857" t="str">
        <f t="shared" si="291"/>
        <v/>
      </c>
      <c r="U2857" s="8">
        <f t="shared" si="294"/>
        <v>2</v>
      </c>
      <c r="AD2857" t="str">
        <f t="shared" si="293"/>
        <v>o</v>
      </c>
      <c r="AE2857" t="str">
        <f t="shared" si="297"/>
        <v/>
      </c>
      <c r="AF2857" t="str">
        <f t="shared" si="295"/>
        <v/>
      </c>
      <c r="AG2857" t="str">
        <f t="shared" si="296"/>
        <v/>
      </c>
      <c r="AN2857" t="str">
        <f t="shared" si="292"/>
        <v>Defensive</v>
      </c>
    </row>
    <row r="2858" spans="2:40" x14ac:dyDescent="0.2">
      <c r="B2858" t="str">
        <f t="shared" si="291"/>
        <v/>
      </c>
      <c r="U2858" s="8">
        <f t="shared" si="294"/>
        <v>2</v>
      </c>
      <c r="AD2858" t="str">
        <f t="shared" si="293"/>
        <v>o</v>
      </c>
      <c r="AE2858" t="str">
        <f t="shared" si="297"/>
        <v/>
      </c>
      <c r="AF2858" t="str">
        <f t="shared" si="295"/>
        <v/>
      </c>
      <c r="AG2858" t="str">
        <f t="shared" si="296"/>
        <v/>
      </c>
      <c r="AN2858" t="str">
        <f t="shared" si="292"/>
        <v>Defensive</v>
      </c>
    </row>
    <row r="2859" spans="2:40" x14ac:dyDescent="0.2">
      <c r="B2859" t="str">
        <f t="shared" si="291"/>
        <v/>
      </c>
      <c r="U2859" s="8">
        <f t="shared" si="294"/>
        <v>2</v>
      </c>
      <c r="AD2859" t="str">
        <f t="shared" si="293"/>
        <v>o</v>
      </c>
      <c r="AE2859" t="str">
        <f t="shared" si="297"/>
        <v/>
      </c>
      <c r="AF2859" t="str">
        <f t="shared" si="295"/>
        <v/>
      </c>
      <c r="AG2859" t="str">
        <f t="shared" si="296"/>
        <v/>
      </c>
      <c r="AN2859" t="str">
        <f t="shared" si="292"/>
        <v>Defensive</v>
      </c>
    </row>
    <row r="2860" spans="2:40" x14ac:dyDescent="0.2">
      <c r="B2860" t="str">
        <f t="shared" si="291"/>
        <v/>
      </c>
      <c r="U2860" s="8">
        <f t="shared" si="294"/>
        <v>2</v>
      </c>
      <c r="AD2860" t="str">
        <f t="shared" si="293"/>
        <v>o</v>
      </c>
      <c r="AE2860" t="str">
        <f t="shared" si="297"/>
        <v/>
      </c>
      <c r="AF2860" t="str">
        <f t="shared" si="295"/>
        <v/>
      </c>
      <c r="AG2860" t="str">
        <f t="shared" si="296"/>
        <v/>
      </c>
      <c r="AN2860" t="str">
        <f t="shared" si="292"/>
        <v>Defensive</v>
      </c>
    </row>
    <row r="2861" spans="2:40" x14ac:dyDescent="0.2">
      <c r="B2861" t="str">
        <f t="shared" si="291"/>
        <v/>
      </c>
      <c r="U2861" s="8">
        <f t="shared" si="294"/>
        <v>2</v>
      </c>
      <c r="AD2861" t="str">
        <f t="shared" si="293"/>
        <v>o</v>
      </c>
      <c r="AE2861" t="str">
        <f t="shared" si="297"/>
        <v/>
      </c>
      <c r="AF2861" t="str">
        <f t="shared" si="295"/>
        <v/>
      </c>
      <c r="AG2861" t="str">
        <f t="shared" si="296"/>
        <v/>
      </c>
      <c r="AN2861" t="str">
        <f t="shared" si="292"/>
        <v>Defensive</v>
      </c>
    </row>
    <row r="2862" spans="2:40" x14ac:dyDescent="0.2">
      <c r="B2862" t="str">
        <f t="shared" si="291"/>
        <v/>
      </c>
      <c r="U2862" s="8">
        <f t="shared" si="294"/>
        <v>2</v>
      </c>
      <c r="AD2862" t="str">
        <f t="shared" si="293"/>
        <v>o</v>
      </c>
      <c r="AE2862" t="str">
        <f t="shared" si="297"/>
        <v/>
      </c>
      <c r="AF2862" t="str">
        <f t="shared" si="295"/>
        <v/>
      </c>
      <c r="AG2862" t="str">
        <f t="shared" si="296"/>
        <v/>
      </c>
      <c r="AN2862" t="str">
        <f t="shared" si="292"/>
        <v>Defensive</v>
      </c>
    </row>
    <row r="2863" spans="2:40" x14ac:dyDescent="0.2">
      <c r="B2863" t="str">
        <f t="shared" si="291"/>
        <v/>
      </c>
      <c r="U2863" s="8">
        <f t="shared" si="294"/>
        <v>2</v>
      </c>
      <c r="AD2863" t="str">
        <f t="shared" si="293"/>
        <v>o</v>
      </c>
      <c r="AE2863" t="str">
        <f t="shared" si="297"/>
        <v/>
      </c>
      <c r="AF2863" t="str">
        <f t="shared" si="295"/>
        <v/>
      </c>
      <c r="AG2863" t="str">
        <f t="shared" si="296"/>
        <v/>
      </c>
      <c r="AN2863" t="str">
        <f t="shared" si="292"/>
        <v>Defensive</v>
      </c>
    </row>
    <row r="2864" spans="2:40" x14ac:dyDescent="0.2">
      <c r="B2864" t="str">
        <f t="shared" ref="B2864:B2927" si="298">IF(A2864=A2863,B2863,"")</f>
        <v/>
      </c>
      <c r="U2864" s="8">
        <f t="shared" si="294"/>
        <v>2</v>
      </c>
      <c r="AD2864" t="str">
        <f t="shared" si="293"/>
        <v>o</v>
      </c>
      <c r="AE2864" t="str">
        <f t="shared" si="297"/>
        <v/>
      </c>
      <c r="AF2864" t="str">
        <f t="shared" si="295"/>
        <v/>
      </c>
      <c r="AG2864" t="str">
        <f t="shared" si="296"/>
        <v/>
      </c>
      <c r="AN2864" t="str">
        <f t="shared" si="292"/>
        <v>Defensive</v>
      </c>
    </row>
    <row r="2865" spans="2:40" x14ac:dyDescent="0.2">
      <c r="B2865" t="str">
        <f t="shared" si="298"/>
        <v/>
      </c>
      <c r="U2865" s="8">
        <f t="shared" si="294"/>
        <v>2</v>
      </c>
      <c r="AD2865" t="str">
        <f t="shared" si="293"/>
        <v>o</v>
      </c>
      <c r="AE2865" t="str">
        <f t="shared" si="297"/>
        <v/>
      </c>
      <c r="AF2865" t="str">
        <f t="shared" si="295"/>
        <v/>
      </c>
      <c r="AG2865" t="str">
        <f t="shared" si="296"/>
        <v/>
      </c>
      <c r="AN2865" t="str">
        <f t="shared" si="292"/>
        <v>Defensive</v>
      </c>
    </row>
    <row r="2866" spans="2:40" x14ac:dyDescent="0.2">
      <c r="B2866" t="str">
        <f t="shared" si="298"/>
        <v/>
      </c>
      <c r="U2866" s="8">
        <f t="shared" si="294"/>
        <v>2</v>
      </c>
      <c r="AD2866" t="str">
        <f t="shared" si="293"/>
        <v>o</v>
      </c>
      <c r="AE2866" t="str">
        <f t="shared" si="297"/>
        <v/>
      </c>
      <c r="AF2866" t="str">
        <f t="shared" si="295"/>
        <v/>
      </c>
      <c r="AG2866" t="str">
        <f t="shared" si="296"/>
        <v/>
      </c>
      <c r="AN2866" t="str">
        <f t="shared" si="292"/>
        <v>Defensive</v>
      </c>
    </row>
    <row r="2867" spans="2:40" x14ac:dyDescent="0.2">
      <c r="B2867" t="str">
        <f t="shared" si="298"/>
        <v/>
      </c>
      <c r="U2867" s="8">
        <f t="shared" si="294"/>
        <v>2</v>
      </c>
      <c r="AD2867" t="str">
        <f t="shared" si="293"/>
        <v>o</v>
      </c>
      <c r="AE2867" t="str">
        <f t="shared" si="297"/>
        <v/>
      </c>
      <c r="AF2867" t="str">
        <f t="shared" si="295"/>
        <v/>
      </c>
      <c r="AG2867" t="str">
        <f t="shared" si="296"/>
        <v/>
      </c>
      <c r="AN2867" t="str">
        <f t="shared" si="292"/>
        <v>Defensive</v>
      </c>
    </row>
    <row r="2868" spans="2:40" x14ac:dyDescent="0.2">
      <c r="B2868" t="str">
        <f t="shared" si="298"/>
        <v/>
      </c>
      <c r="U2868" s="8">
        <f t="shared" si="294"/>
        <v>2</v>
      </c>
      <c r="AD2868" t="str">
        <f t="shared" si="293"/>
        <v>o</v>
      </c>
      <c r="AE2868" t="str">
        <f t="shared" si="297"/>
        <v/>
      </c>
      <c r="AF2868" t="str">
        <f t="shared" si="295"/>
        <v/>
      </c>
      <c r="AG2868" t="str">
        <f t="shared" si="296"/>
        <v/>
      </c>
      <c r="AN2868" t="str">
        <f t="shared" si="292"/>
        <v>Defensive</v>
      </c>
    </row>
    <row r="2869" spans="2:40" x14ac:dyDescent="0.2">
      <c r="B2869" t="str">
        <f t="shared" si="298"/>
        <v/>
      </c>
      <c r="U2869" s="8">
        <f t="shared" si="294"/>
        <v>2</v>
      </c>
      <c r="AD2869" t="str">
        <f t="shared" si="293"/>
        <v>o</v>
      </c>
      <c r="AE2869" t="str">
        <f t="shared" si="297"/>
        <v/>
      </c>
      <c r="AF2869" t="str">
        <f t="shared" si="295"/>
        <v/>
      </c>
      <c r="AG2869" t="str">
        <f t="shared" si="296"/>
        <v/>
      </c>
      <c r="AN2869" t="str">
        <f t="shared" si="292"/>
        <v>Defensive</v>
      </c>
    </row>
    <row r="2870" spans="2:40" x14ac:dyDescent="0.2">
      <c r="B2870" t="str">
        <f t="shared" si="298"/>
        <v/>
      </c>
      <c r="U2870" s="8">
        <f t="shared" si="294"/>
        <v>2</v>
      </c>
      <c r="AD2870" t="str">
        <f t="shared" si="293"/>
        <v>o</v>
      </c>
      <c r="AE2870" t="str">
        <f t="shared" si="297"/>
        <v/>
      </c>
      <c r="AF2870" t="str">
        <f t="shared" si="295"/>
        <v/>
      </c>
      <c r="AG2870" t="str">
        <f t="shared" si="296"/>
        <v/>
      </c>
      <c r="AN2870" t="str">
        <f t="shared" si="292"/>
        <v>Defensive</v>
      </c>
    </row>
    <row r="2871" spans="2:40" x14ac:dyDescent="0.2">
      <c r="B2871" t="str">
        <f t="shared" si="298"/>
        <v/>
      </c>
      <c r="U2871" s="8">
        <f t="shared" si="294"/>
        <v>2</v>
      </c>
      <c r="AD2871" t="str">
        <f t="shared" si="293"/>
        <v>o</v>
      </c>
      <c r="AE2871" t="str">
        <f t="shared" si="297"/>
        <v/>
      </c>
      <c r="AF2871" t="str">
        <f t="shared" si="295"/>
        <v/>
      </c>
      <c r="AG2871" t="str">
        <f t="shared" si="296"/>
        <v/>
      </c>
      <c r="AN2871" t="str">
        <f t="shared" si="292"/>
        <v>Defensive</v>
      </c>
    </row>
    <row r="2872" spans="2:40" x14ac:dyDescent="0.2">
      <c r="B2872" t="str">
        <f t="shared" si="298"/>
        <v/>
      </c>
      <c r="U2872" s="8">
        <f t="shared" si="294"/>
        <v>2</v>
      </c>
      <c r="AD2872" t="str">
        <f t="shared" si="293"/>
        <v>o</v>
      </c>
      <c r="AE2872" t="str">
        <f t="shared" si="297"/>
        <v/>
      </c>
      <c r="AF2872" t="str">
        <f t="shared" si="295"/>
        <v/>
      </c>
      <c r="AG2872" t="str">
        <f t="shared" si="296"/>
        <v/>
      </c>
      <c r="AN2872" t="str">
        <f t="shared" si="292"/>
        <v>Defensive</v>
      </c>
    </row>
    <row r="2873" spans="2:40" x14ac:dyDescent="0.2">
      <c r="B2873" t="str">
        <f t="shared" si="298"/>
        <v/>
      </c>
      <c r="U2873" s="8">
        <f t="shared" si="294"/>
        <v>2</v>
      </c>
      <c r="AD2873" t="str">
        <f t="shared" si="293"/>
        <v>o</v>
      </c>
      <c r="AE2873" t="str">
        <f t="shared" si="297"/>
        <v/>
      </c>
      <c r="AF2873" t="str">
        <f t="shared" si="295"/>
        <v/>
      </c>
      <c r="AG2873" t="str">
        <f t="shared" si="296"/>
        <v/>
      </c>
      <c r="AN2873" t="str">
        <f t="shared" ref="AN2873:AN2936" si="299">IF(AND(AD2873="e",OR(AE2873="Save",AF2873="Turnover_Takeaway",AF2873="Play_Defensive")),"Defensive",IF(AND(AD2873="o",OR(AE2873="Save",AF2873="Turnover_Takeaway",AF2873="Play_Defensive")),"Offensive",IF(OR(AE2873="Deadice",AE2873="Stoppage",AE2873="Intermission"),"",IF(AD2873="e","Offensive",IF(AD2873="o","Defensive","")))))</f>
        <v>Defensive</v>
      </c>
    </row>
    <row r="2874" spans="2:40" x14ac:dyDescent="0.2">
      <c r="B2874" t="str">
        <f t="shared" si="298"/>
        <v/>
      </c>
      <c r="U2874" s="8">
        <f t="shared" si="294"/>
        <v>2</v>
      </c>
      <c r="AD2874" t="str">
        <f t="shared" si="293"/>
        <v>o</v>
      </c>
      <c r="AE2874" t="str">
        <f t="shared" si="297"/>
        <v/>
      </c>
      <c r="AF2874" t="str">
        <f t="shared" si="295"/>
        <v/>
      </c>
      <c r="AG2874" t="str">
        <f t="shared" si="296"/>
        <v/>
      </c>
      <c r="AN2874" t="str">
        <f t="shared" si="299"/>
        <v>Defensive</v>
      </c>
    </row>
    <row r="2875" spans="2:40" x14ac:dyDescent="0.2">
      <c r="B2875" t="str">
        <f t="shared" si="298"/>
        <v/>
      </c>
      <c r="U2875" s="8">
        <f t="shared" si="294"/>
        <v>2</v>
      </c>
      <c r="AD2875" t="str">
        <f t="shared" si="293"/>
        <v>o</v>
      </c>
      <c r="AE2875" t="str">
        <f t="shared" si="297"/>
        <v/>
      </c>
      <c r="AF2875" t="str">
        <f t="shared" si="295"/>
        <v/>
      </c>
      <c r="AG2875" t="str">
        <f t="shared" si="296"/>
        <v/>
      </c>
      <c r="AN2875" t="str">
        <f t="shared" si="299"/>
        <v>Defensive</v>
      </c>
    </row>
    <row r="2876" spans="2:40" x14ac:dyDescent="0.2">
      <c r="B2876" t="str">
        <f t="shared" si="298"/>
        <v/>
      </c>
      <c r="U2876" s="8">
        <f t="shared" si="294"/>
        <v>2</v>
      </c>
      <c r="AD2876" t="str">
        <f t="shared" si="293"/>
        <v>o</v>
      </c>
      <c r="AE2876" t="str">
        <f t="shared" si="297"/>
        <v/>
      </c>
      <c r="AF2876" t="str">
        <f t="shared" si="295"/>
        <v/>
      </c>
      <c r="AG2876" t="str">
        <f t="shared" si="296"/>
        <v/>
      </c>
      <c r="AN2876" t="str">
        <f t="shared" si="299"/>
        <v>Defensive</v>
      </c>
    </row>
    <row r="2877" spans="2:40" x14ac:dyDescent="0.2">
      <c r="B2877" t="str">
        <f t="shared" si="298"/>
        <v/>
      </c>
      <c r="U2877" s="8">
        <f t="shared" si="294"/>
        <v>2</v>
      </c>
      <c r="AD2877" t="str">
        <f t="shared" si="293"/>
        <v>o</v>
      </c>
      <c r="AE2877" t="str">
        <f t="shared" si="297"/>
        <v/>
      </c>
      <c r="AF2877" t="str">
        <f t="shared" si="295"/>
        <v/>
      </c>
      <c r="AG2877" t="str">
        <f t="shared" si="296"/>
        <v/>
      </c>
      <c r="AN2877" t="str">
        <f t="shared" si="299"/>
        <v>Defensive</v>
      </c>
    </row>
    <row r="2878" spans="2:40" x14ac:dyDescent="0.2">
      <c r="B2878" t="str">
        <f t="shared" si="298"/>
        <v/>
      </c>
      <c r="U2878" s="8">
        <f t="shared" si="294"/>
        <v>2</v>
      </c>
      <c r="AD2878" t="str">
        <f t="shared" si="293"/>
        <v>o</v>
      </c>
      <c r="AE2878" t="str">
        <f t="shared" si="297"/>
        <v/>
      </c>
      <c r="AF2878" t="str">
        <f t="shared" si="295"/>
        <v/>
      </c>
      <c r="AG2878" t="str">
        <f t="shared" si="296"/>
        <v/>
      </c>
      <c r="AN2878" t="str">
        <f t="shared" si="299"/>
        <v>Defensive</v>
      </c>
    </row>
    <row r="2879" spans="2:40" x14ac:dyDescent="0.2">
      <c r="B2879" t="str">
        <f t="shared" si="298"/>
        <v/>
      </c>
      <c r="U2879" s="8">
        <f t="shared" si="294"/>
        <v>2</v>
      </c>
      <c r="AD2879" t="str">
        <f t="shared" si="293"/>
        <v>o</v>
      </c>
      <c r="AE2879" t="str">
        <f t="shared" si="297"/>
        <v/>
      </c>
      <c r="AF2879" t="str">
        <f t="shared" si="295"/>
        <v/>
      </c>
      <c r="AG2879" t="str">
        <f t="shared" si="296"/>
        <v/>
      </c>
      <c r="AN2879" t="str">
        <f t="shared" si="299"/>
        <v>Defensive</v>
      </c>
    </row>
    <row r="2880" spans="2:40" x14ac:dyDescent="0.2">
      <c r="B2880" t="str">
        <f t="shared" si="298"/>
        <v/>
      </c>
      <c r="U2880" s="8">
        <f t="shared" si="294"/>
        <v>2</v>
      </c>
      <c r="AD2880" t="str">
        <f t="shared" si="293"/>
        <v>o</v>
      </c>
      <c r="AE2880" t="str">
        <f t="shared" si="297"/>
        <v/>
      </c>
      <c r="AF2880" t="str">
        <f t="shared" si="295"/>
        <v/>
      </c>
      <c r="AG2880" t="str">
        <f t="shared" si="296"/>
        <v/>
      </c>
      <c r="AN2880" t="str">
        <f t="shared" si="299"/>
        <v>Defensive</v>
      </c>
    </row>
    <row r="2881" spans="2:40" x14ac:dyDescent="0.2">
      <c r="B2881" t="str">
        <f t="shared" si="298"/>
        <v/>
      </c>
      <c r="U2881" s="8">
        <f t="shared" si="294"/>
        <v>2</v>
      </c>
      <c r="AD2881" t="str">
        <f t="shared" si="293"/>
        <v>o</v>
      </c>
      <c r="AE2881" t="str">
        <f t="shared" si="297"/>
        <v/>
      </c>
      <c r="AF2881" t="str">
        <f t="shared" si="295"/>
        <v/>
      </c>
      <c r="AG2881" t="str">
        <f t="shared" si="296"/>
        <v/>
      </c>
      <c r="AN2881" t="str">
        <f t="shared" si="299"/>
        <v>Defensive</v>
      </c>
    </row>
    <row r="2882" spans="2:40" x14ac:dyDescent="0.2">
      <c r="B2882" t="str">
        <f t="shared" si="298"/>
        <v/>
      </c>
      <c r="U2882" s="8">
        <f t="shared" si="294"/>
        <v>2</v>
      </c>
      <c r="AD2882" t="str">
        <f t="shared" ref="AD2882:AD2945" si="300">IF(K2882="x","",IF(K2882=1,"e","o"))</f>
        <v>o</v>
      </c>
      <c r="AE2882" t="str">
        <f t="shared" si="297"/>
        <v/>
      </c>
      <c r="AF2882" t="str">
        <f t="shared" si="295"/>
        <v/>
      </c>
      <c r="AG2882" t="str">
        <f t="shared" si="296"/>
        <v/>
      </c>
      <c r="AN2882" t="str">
        <f t="shared" si="299"/>
        <v>Defensive</v>
      </c>
    </row>
    <row r="2883" spans="2:40" x14ac:dyDescent="0.2">
      <c r="B2883" t="str">
        <f t="shared" si="298"/>
        <v/>
      </c>
      <c r="U2883" s="8">
        <f t="shared" ref="U2883:U2946" si="301">IF(M2883="Intermission",U2882+1,U2882)</f>
        <v>2</v>
      </c>
      <c r="AD2883" t="str">
        <f t="shared" si="300"/>
        <v>o</v>
      </c>
      <c r="AE2883" t="str">
        <f t="shared" si="297"/>
        <v/>
      </c>
      <c r="AF2883" t="str">
        <f t="shared" ref="AF2883:AF2946" si="302">IF(N2883&lt;&gt;"",N2883,IF($A2883=$A2882,AF2882,""))</f>
        <v/>
      </c>
      <c r="AG2883" t="str">
        <f t="shared" ref="AG2883:AG2946" si="303">IF(O2883&lt;&gt;"",O2883,IF($A2883=$A2882,AG2882,""))</f>
        <v/>
      </c>
      <c r="AN2883" t="str">
        <f t="shared" si="299"/>
        <v>Defensive</v>
      </c>
    </row>
    <row r="2884" spans="2:40" x14ac:dyDescent="0.2">
      <c r="B2884" t="str">
        <f t="shared" si="298"/>
        <v/>
      </c>
      <c r="U2884" s="8">
        <f t="shared" si="301"/>
        <v>2</v>
      </c>
      <c r="AD2884" t="str">
        <f t="shared" si="300"/>
        <v>o</v>
      </c>
      <c r="AE2884" t="str">
        <f t="shared" ref="AE2884:AE2947" si="304">IF(M2884&lt;&gt;"",M2884,IF($A2884=$A2883,AE2883,""))</f>
        <v/>
      </c>
      <c r="AF2884" t="str">
        <f t="shared" si="302"/>
        <v/>
      </c>
      <c r="AG2884" t="str">
        <f t="shared" si="303"/>
        <v/>
      </c>
      <c r="AN2884" t="str">
        <f t="shared" si="299"/>
        <v>Defensive</v>
      </c>
    </row>
    <row r="2885" spans="2:40" x14ac:dyDescent="0.2">
      <c r="B2885" t="str">
        <f t="shared" si="298"/>
        <v/>
      </c>
      <c r="U2885" s="8">
        <f t="shared" si="301"/>
        <v>2</v>
      </c>
      <c r="AD2885" t="str">
        <f t="shared" si="300"/>
        <v>o</v>
      </c>
      <c r="AE2885" t="str">
        <f t="shared" si="304"/>
        <v/>
      </c>
      <c r="AF2885" t="str">
        <f t="shared" si="302"/>
        <v/>
      </c>
      <c r="AG2885" t="str">
        <f t="shared" si="303"/>
        <v/>
      </c>
      <c r="AN2885" t="str">
        <f t="shared" si="299"/>
        <v>Defensive</v>
      </c>
    </row>
    <row r="2886" spans="2:40" x14ac:dyDescent="0.2">
      <c r="B2886" t="str">
        <f t="shared" si="298"/>
        <v/>
      </c>
      <c r="U2886" s="8">
        <f t="shared" si="301"/>
        <v>2</v>
      </c>
      <c r="AD2886" t="str">
        <f t="shared" si="300"/>
        <v>o</v>
      </c>
      <c r="AE2886" t="str">
        <f t="shared" si="304"/>
        <v/>
      </c>
      <c r="AF2886" t="str">
        <f t="shared" si="302"/>
        <v/>
      </c>
      <c r="AG2886" t="str">
        <f t="shared" si="303"/>
        <v/>
      </c>
      <c r="AN2886" t="str">
        <f t="shared" si="299"/>
        <v>Defensive</v>
      </c>
    </row>
    <row r="2887" spans="2:40" x14ac:dyDescent="0.2">
      <c r="B2887" t="str">
        <f t="shared" si="298"/>
        <v/>
      </c>
      <c r="U2887" s="8">
        <f t="shared" si="301"/>
        <v>2</v>
      </c>
      <c r="AD2887" t="str">
        <f t="shared" si="300"/>
        <v>o</v>
      </c>
      <c r="AE2887" t="str">
        <f t="shared" si="304"/>
        <v/>
      </c>
      <c r="AF2887" t="str">
        <f t="shared" si="302"/>
        <v/>
      </c>
      <c r="AG2887" t="str">
        <f t="shared" si="303"/>
        <v/>
      </c>
      <c r="AN2887" t="str">
        <f t="shared" si="299"/>
        <v>Defensive</v>
      </c>
    </row>
    <row r="2888" spans="2:40" x14ac:dyDescent="0.2">
      <c r="B2888" t="str">
        <f t="shared" si="298"/>
        <v/>
      </c>
      <c r="U2888" s="8">
        <f t="shared" si="301"/>
        <v>2</v>
      </c>
      <c r="AD2888" t="str">
        <f t="shared" si="300"/>
        <v>o</v>
      </c>
      <c r="AE2888" t="str">
        <f t="shared" si="304"/>
        <v/>
      </c>
      <c r="AF2888" t="str">
        <f t="shared" si="302"/>
        <v/>
      </c>
      <c r="AG2888" t="str">
        <f t="shared" si="303"/>
        <v/>
      </c>
      <c r="AN2888" t="str">
        <f t="shared" si="299"/>
        <v>Defensive</v>
      </c>
    </row>
    <row r="2889" spans="2:40" x14ac:dyDescent="0.2">
      <c r="B2889" t="str">
        <f t="shared" si="298"/>
        <v/>
      </c>
      <c r="U2889" s="8">
        <f t="shared" si="301"/>
        <v>2</v>
      </c>
      <c r="AD2889" t="str">
        <f t="shared" si="300"/>
        <v>o</v>
      </c>
      <c r="AE2889" t="str">
        <f t="shared" si="304"/>
        <v/>
      </c>
      <c r="AF2889" t="str">
        <f t="shared" si="302"/>
        <v/>
      </c>
      <c r="AG2889" t="str">
        <f t="shared" si="303"/>
        <v/>
      </c>
      <c r="AN2889" t="str">
        <f t="shared" si="299"/>
        <v>Defensive</v>
      </c>
    </row>
    <row r="2890" spans="2:40" x14ac:dyDescent="0.2">
      <c r="B2890" t="str">
        <f t="shared" si="298"/>
        <v/>
      </c>
      <c r="U2890" s="8">
        <f t="shared" si="301"/>
        <v>2</v>
      </c>
      <c r="AD2890" t="str">
        <f t="shared" si="300"/>
        <v>o</v>
      </c>
      <c r="AE2890" t="str">
        <f t="shared" si="304"/>
        <v/>
      </c>
      <c r="AF2890" t="str">
        <f t="shared" si="302"/>
        <v/>
      </c>
      <c r="AG2890" t="str">
        <f t="shared" si="303"/>
        <v/>
      </c>
      <c r="AN2890" t="str">
        <f t="shared" si="299"/>
        <v>Defensive</v>
      </c>
    </row>
    <row r="2891" spans="2:40" x14ac:dyDescent="0.2">
      <c r="B2891" t="str">
        <f t="shared" si="298"/>
        <v/>
      </c>
      <c r="U2891" s="8">
        <f t="shared" si="301"/>
        <v>2</v>
      </c>
      <c r="AD2891" t="str">
        <f t="shared" si="300"/>
        <v>o</v>
      </c>
      <c r="AE2891" t="str">
        <f t="shared" si="304"/>
        <v/>
      </c>
      <c r="AF2891" t="str">
        <f t="shared" si="302"/>
        <v/>
      </c>
      <c r="AG2891" t="str">
        <f t="shared" si="303"/>
        <v/>
      </c>
      <c r="AN2891" t="str">
        <f t="shared" si="299"/>
        <v>Defensive</v>
      </c>
    </row>
    <row r="2892" spans="2:40" x14ac:dyDescent="0.2">
      <c r="B2892" t="str">
        <f t="shared" si="298"/>
        <v/>
      </c>
      <c r="U2892" s="8">
        <f t="shared" si="301"/>
        <v>2</v>
      </c>
      <c r="AD2892" t="str">
        <f t="shared" si="300"/>
        <v>o</v>
      </c>
      <c r="AE2892" t="str">
        <f t="shared" si="304"/>
        <v/>
      </c>
      <c r="AF2892" t="str">
        <f t="shared" si="302"/>
        <v/>
      </c>
      <c r="AG2892" t="str">
        <f t="shared" si="303"/>
        <v/>
      </c>
      <c r="AN2892" t="str">
        <f t="shared" si="299"/>
        <v>Defensive</v>
      </c>
    </row>
    <row r="2893" spans="2:40" x14ac:dyDescent="0.2">
      <c r="B2893" t="str">
        <f t="shared" si="298"/>
        <v/>
      </c>
      <c r="U2893" s="8">
        <f t="shared" si="301"/>
        <v>2</v>
      </c>
      <c r="AD2893" t="str">
        <f t="shared" si="300"/>
        <v>o</v>
      </c>
      <c r="AE2893" t="str">
        <f t="shared" si="304"/>
        <v/>
      </c>
      <c r="AF2893" t="str">
        <f t="shared" si="302"/>
        <v/>
      </c>
      <c r="AG2893" t="str">
        <f t="shared" si="303"/>
        <v/>
      </c>
      <c r="AN2893" t="str">
        <f t="shared" si="299"/>
        <v>Defensive</v>
      </c>
    </row>
    <row r="2894" spans="2:40" x14ac:dyDescent="0.2">
      <c r="B2894" t="str">
        <f t="shared" si="298"/>
        <v/>
      </c>
      <c r="U2894" s="8">
        <f t="shared" si="301"/>
        <v>2</v>
      </c>
      <c r="AD2894" t="str">
        <f t="shared" si="300"/>
        <v>o</v>
      </c>
      <c r="AE2894" t="str">
        <f t="shared" si="304"/>
        <v/>
      </c>
      <c r="AF2894" t="str">
        <f t="shared" si="302"/>
        <v/>
      </c>
      <c r="AG2894" t="str">
        <f t="shared" si="303"/>
        <v/>
      </c>
      <c r="AN2894" t="str">
        <f t="shared" si="299"/>
        <v>Defensive</v>
      </c>
    </row>
    <row r="2895" spans="2:40" x14ac:dyDescent="0.2">
      <c r="B2895" t="str">
        <f t="shared" si="298"/>
        <v/>
      </c>
      <c r="U2895" s="8">
        <f t="shared" si="301"/>
        <v>2</v>
      </c>
      <c r="AD2895" t="str">
        <f t="shared" si="300"/>
        <v>o</v>
      </c>
      <c r="AE2895" t="str">
        <f t="shared" si="304"/>
        <v/>
      </c>
      <c r="AF2895" t="str">
        <f t="shared" si="302"/>
        <v/>
      </c>
      <c r="AG2895" t="str">
        <f t="shared" si="303"/>
        <v/>
      </c>
      <c r="AN2895" t="str">
        <f t="shared" si="299"/>
        <v>Defensive</v>
      </c>
    </row>
    <row r="2896" spans="2:40" x14ac:dyDescent="0.2">
      <c r="B2896" t="str">
        <f t="shared" si="298"/>
        <v/>
      </c>
      <c r="U2896" s="8">
        <f t="shared" si="301"/>
        <v>2</v>
      </c>
      <c r="AD2896" t="str">
        <f t="shared" si="300"/>
        <v>o</v>
      </c>
      <c r="AE2896" t="str">
        <f t="shared" si="304"/>
        <v/>
      </c>
      <c r="AF2896" t="str">
        <f t="shared" si="302"/>
        <v/>
      </c>
      <c r="AG2896" t="str">
        <f t="shared" si="303"/>
        <v/>
      </c>
      <c r="AN2896" t="str">
        <f t="shared" si="299"/>
        <v>Defensive</v>
      </c>
    </row>
    <row r="2897" spans="2:40" x14ac:dyDescent="0.2">
      <c r="B2897" t="str">
        <f t="shared" si="298"/>
        <v/>
      </c>
      <c r="U2897" s="8">
        <f t="shared" si="301"/>
        <v>2</v>
      </c>
      <c r="AD2897" t="str">
        <f t="shared" si="300"/>
        <v>o</v>
      </c>
      <c r="AE2897" t="str">
        <f t="shared" si="304"/>
        <v/>
      </c>
      <c r="AF2897" t="str">
        <f t="shared" si="302"/>
        <v/>
      </c>
      <c r="AG2897" t="str">
        <f t="shared" si="303"/>
        <v/>
      </c>
      <c r="AN2897" t="str">
        <f t="shared" si="299"/>
        <v>Defensive</v>
      </c>
    </row>
    <row r="2898" spans="2:40" x14ac:dyDescent="0.2">
      <c r="B2898" t="str">
        <f t="shared" si="298"/>
        <v/>
      </c>
      <c r="U2898" s="8">
        <f t="shared" si="301"/>
        <v>2</v>
      </c>
      <c r="AD2898" t="str">
        <f t="shared" si="300"/>
        <v>o</v>
      </c>
      <c r="AE2898" t="str">
        <f t="shared" si="304"/>
        <v/>
      </c>
      <c r="AF2898" t="str">
        <f t="shared" si="302"/>
        <v/>
      </c>
      <c r="AG2898" t="str">
        <f t="shared" si="303"/>
        <v/>
      </c>
      <c r="AN2898" t="str">
        <f t="shared" si="299"/>
        <v>Defensive</v>
      </c>
    </row>
    <row r="2899" spans="2:40" x14ac:dyDescent="0.2">
      <c r="B2899" t="str">
        <f t="shared" si="298"/>
        <v/>
      </c>
      <c r="U2899" s="8">
        <f t="shared" si="301"/>
        <v>2</v>
      </c>
      <c r="AD2899" t="str">
        <f t="shared" si="300"/>
        <v>o</v>
      </c>
      <c r="AE2899" t="str">
        <f t="shared" si="304"/>
        <v/>
      </c>
      <c r="AF2899" t="str">
        <f t="shared" si="302"/>
        <v/>
      </c>
      <c r="AG2899" t="str">
        <f t="shared" si="303"/>
        <v/>
      </c>
      <c r="AN2899" t="str">
        <f t="shared" si="299"/>
        <v>Defensive</v>
      </c>
    </row>
    <row r="2900" spans="2:40" x14ac:dyDescent="0.2">
      <c r="B2900" t="str">
        <f t="shared" si="298"/>
        <v/>
      </c>
      <c r="U2900" s="8">
        <f t="shared" si="301"/>
        <v>2</v>
      </c>
      <c r="AD2900" t="str">
        <f t="shared" si="300"/>
        <v>o</v>
      </c>
      <c r="AE2900" t="str">
        <f t="shared" si="304"/>
        <v/>
      </c>
      <c r="AF2900" t="str">
        <f t="shared" si="302"/>
        <v/>
      </c>
      <c r="AG2900" t="str">
        <f t="shared" si="303"/>
        <v/>
      </c>
      <c r="AN2900" t="str">
        <f t="shared" si="299"/>
        <v>Defensive</v>
      </c>
    </row>
    <row r="2901" spans="2:40" x14ac:dyDescent="0.2">
      <c r="B2901" t="str">
        <f t="shared" si="298"/>
        <v/>
      </c>
      <c r="U2901" s="8">
        <f t="shared" si="301"/>
        <v>2</v>
      </c>
      <c r="AD2901" t="str">
        <f t="shared" si="300"/>
        <v>o</v>
      </c>
      <c r="AE2901" t="str">
        <f t="shared" si="304"/>
        <v/>
      </c>
      <c r="AF2901" t="str">
        <f t="shared" si="302"/>
        <v/>
      </c>
      <c r="AG2901" t="str">
        <f t="shared" si="303"/>
        <v/>
      </c>
      <c r="AN2901" t="str">
        <f t="shared" si="299"/>
        <v>Defensive</v>
      </c>
    </row>
    <row r="2902" spans="2:40" x14ac:dyDescent="0.2">
      <c r="B2902" t="str">
        <f t="shared" si="298"/>
        <v/>
      </c>
      <c r="U2902" s="8">
        <f t="shared" si="301"/>
        <v>2</v>
      </c>
      <c r="AD2902" t="str">
        <f t="shared" si="300"/>
        <v>o</v>
      </c>
      <c r="AE2902" t="str">
        <f t="shared" si="304"/>
        <v/>
      </c>
      <c r="AF2902" t="str">
        <f t="shared" si="302"/>
        <v/>
      </c>
      <c r="AG2902" t="str">
        <f t="shared" si="303"/>
        <v/>
      </c>
      <c r="AN2902" t="str">
        <f t="shared" si="299"/>
        <v>Defensive</v>
      </c>
    </row>
    <row r="2903" spans="2:40" x14ac:dyDescent="0.2">
      <c r="B2903" t="str">
        <f t="shared" si="298"/>
        <v/>
      </c>
      <c r="U2903" s="8">
        <f t="shared" si="301"/>
        <v>2</v>
      </c>
      <c r="AD2903" t="str">
        <f t="shared" si="300"/>
        <v>o</v>
      </c>
      <c r="AE2903" t="str">
        <f t="shared" si="304"/>
        <v/>
      </c>
      <c r="AF2903" t="str">
        <f t="shared" si="302"/>
        <v/>
      </c>
      <c r="AG2903" t="str">
        <f t="shared" si="303"/>
        <v/>
      </c>
      <c r="AN2903" t="str">
        <f t="shared" si="299"/>
        <v>Defensive</v>
      </c>
    </row>
    <row r="2904" spans="2:40" x14ac:dyDescent="0.2">
      <c r="B2904" t="str">
        <f t="shared" si="298"/>
        <v/>
      </c>
      <c r="U2904" s="8">
        <f t="shared" si="301"/>
        <v>2</v>
      </c>
      <c r="AD2904" t="str">
        <f t="shared" si="300"/>
        <v>o</v>
      </c>
      <c r="AE2904" t="str">
        <f t="shared" si="304"/>
        <v/>
      </c>
      <c r="AF2904" t="str">
        <f t="shared" si="302"/>
        <v/>
      </c>
      <c r="AG2904" t="str">
        <f t="shared" si="303"/>
        <v/>
      </c>
      <c r="AN2904" t="str">
        <f t="shared" si="299"/>
        <v>Defensive</v>
      </c>
    </row>
    <row r="2905" spans="2:40" x14ac:dyDescent="0.2">
      <c r="B2905" t="str">
        <f t="shared" si="298"/>
        <v/>
      </c>
      <c r="U2905" s="8">
        <f t="shared" si="301"/>
        <v>2</v>
      </c>
      <c r="AD2905" t="str">
        <f t="shared" si="300"/>
        <v>o</v>
      </c>
      <c r="AE2905" t="str">
        <f t="shared" si="304"/>
        <v/>
      </c>
      <c r="AF2905" t="str">
        <f t="shared" si="302"/>
        <v/>
      </c>
      <c r="AG2905" t="str">
        <f t="shared" si="303"/>
        <v/>
      </c>
      <c r="AN2905" t="str">
        <f t="shared" si="299"/>
        <v>Defensive</v>
      </c>
    </row>
    <row r="2906" spans="2:40" x14ac:dyDescent="0.2">
      <c r="B2906" t="str">
        <f t="shared" si="298"/>
        <v/>
      </c>
      <c r="U2906" s="8">
        <f t="shared" si="301"/>
        <v>2</v>
      </c>
      <c r="AD2906" t="str">
        <f t="shared" si="300"/>
        <v>o</v>
      </c>
      <c r="AE2906" t="str">
        <f t="shared" si="304"/>
        <v/>
      </c>
      <c r="AF2906" t="str">
        <f t="shared" si="302"/>
        <v/>
      </c>
      <c r="AG2906" t="str">
        <f t="shared" si="303"/>
        <v/>
      </c>
      <c r="AN2906" t="str">
        <f t="shared" si="299"/>
        <v>Defensive</v>
      </c>
    </row>
    <row r="2907" spans="2:40" x14ac:dyDescent="0.2">
      <c r="B2907" t="str">
        <f t="shared" si="298"/>
        <v/>
      </c>
      <c r="U2907" s="8">
        <f t="shared" si="301"/>
        <v>2</v>
      </c>
      <c r="AD2907" t="str">
        <f t="shared" si="300"/>
        <v>o</v>
      </c>
      <c r="AE2907" t="str">
        <f t="shared" si="304"/>
        <v/>
      </c>
      <c r="AF2907" t="str">
        <f t="shared" si="302"/>
        <v/>
      </c>
      <c r="AG2907" t="str">
        <f t="shared" si="303"/>
        <v/>
      </c>
      <c r="AN2907" t="str">
        <f t="shared" si="299"/>
        <v>Defensive</v>
      </c>
    </row>
    <row r="2908" spans="2:40" x14ac:dyDescent="0.2">
      <c r="B2908" t="str">
        <f t="shared" si="298"/>
        <v/>
      </c>
      <c r="U2908" s="8">
        <f t="shared" si="301"/>
        <v>2</v>
      </c>
      <c r="AD2908" t="str">
        <f t="shared" si="300"/>
        <v>o</v>
      </c>
      <c r="AE2908" t="str">
        <f t="shared" si="304"/>
        <v/>
      </c>
      <c r="AF2908" t="str">
        <f t="shared" si="302"/>
        <v/>
      </c>
      <c r="AG2908" t="str">
        <f t="shared" si="303"/>
        <v/>
      </c>
      <c r="AN2908" t="str">
        <f t="shared" si="299"/>
        <v>Defensive</v>
      </c>
    </row>
    <row r="2909" spans="2:40" x14ac:dyDescent="0.2">
      <c r="B2909" t="str">
        <f t="shared" si="298"/>
        <v/>
      </c>
      <c r="U2909" s="8">
        <f t="shared" si="301"/>
        <v>2</v>
      </c>
      <c r="AD2909" t="str">
        <f t="shared" si="300"/>
        <v>o</v>
      </c>
      <c r="AE2909" t="str">
        <f t="shared" si="304"/>
        <v/>
      </c>
      <c r="AF2909" t="str">
        <f t="shared" si="302"/>
        <v/>
      </c>
      <c r="AG2909" t="str">
        <f t="shared" si="303"/>
        <v/>
      </c>
      <c r="AN2909" t="str">
        <f t="shared" si="299"/>
        <v>Defensive</v>
      </c>
    </row>
    <row r="2910" spans="2:40" x14ac:dyDescent="0.2">
      <c r="B2910" t="str">
        <f t="shared" si="298"/>
        <v/>
      </c>
      <c r="U2910" s="8">
        <f t="shared" si="301"/>
        <v>2</v>
      </c>
      <c r="AD2910" t="str">
        <f t="shared" si="300"/>
        <v>o</v>
      </c>
      <c r="AE2910" t="str">
        <f t="shared" si="304"/>
        <v/>
      </c>
      <c r="AF2910" t="str">
        <f t="shared" si="302"/>
        <v/>
      </c>
      <c r="AG2910" t="str">
        <f t="shared" si="303"/>
        <v/>
      </c>
      <c r="AN2910" t="str">
        <f t="shared" si="299"/>
        <v>Defensive</v>
      </c>
    </row>
    <row r="2911" spans="2:40" x14ac:dyDescent="0.2">
      <c r="B2911" t="str">
        <f t="shared" si="298"/>
        <v/>
      </c>
      <c r="U2911" s="8">
        <f t="shared" si="301"/>
        <v>2</v>
      </c>
      <c r="AD2911" t="str">
        <f t="shared" si="300"/>
        <v>o</v>
      </c>
      <c r="AE2911" t="str">
        <f t="shared" si="304"/>
        <v/>
      </c>
      <c r="AF2911" t="str">
        <f t="shared" si="302"/>
        <v/>
      </c>
      <c r="AG2911" t="str">
        <f t="shared" si="303"/>
        <v/>
      </c>
      <c r="AN2911" t="str">
        <f t="shared" si="299"/>
        <v>Defensive</v>
      </c>
    </row>
    <row r="2912" spans="2:40" x14ac:dyDescent="0.2">
      <c r="B2912" t="str">
        <f t="shared" si="298"/>
        <v/>
      </c>
      <c r="U2912" s="8">
        <f t="shared" si="301"/>
        <v>2</v>
      </c>
      <c r="AD2912" t="str">
        <f t="shared" si="300"/>
        <v>o</v>
      </c>
      <c r="AE2912" t="str">
        <f t="shared" si="304"/>
        <v/>
      </c>
      <c r="AF2912" t="str">
        <f t="shared" si="302"/>
        <v/>
      </c>
      <c r="AG2912" t="str">
        <f t="shared" si="303"/>
        <v/>
      </c>
      <c r="AN2912" t="str">
        <f t="shared" si="299"/>
        <v>Defensive</v>
      </c>
    </row>
    <row r="2913" spans="2:40" x14ac:dyDescent="0.2">
      <c r="B2913" t="str">
        <f t="shared" si="298"/>
        <v/>
      </c>
      <c r="U2913" s="8">
        <f t="shared" si="301"/>
        <v>2</v>
      </c>
      <c r="AD2913" t="str">
        <f t="shared" si="300"/>
        <v>o</v>
      </c>
      <c r="AE2913" t="str">
        <f t="shared" si="304"/>
        <v/>
      </c>
      <c r="AF2913" t="str">
        <f t="shared" si="302"/>
        <v/>
      </c>
      <c r="AG2913" t="str">
        <f t="shared" si="303"/>
        <v/>
      </c>
      <c r="AN2913" t="str">
        <f t="shared" si="299"/>
        <v>Defensive</v>
      </c>
    </row>
    <row r="2914" spans="2:40" x14ac:dyDescent="0.2">
      <c r="B2914" t="str">
        <f t="shared" si="298"/>
        <v/>
      </c>
      <c r="U2914" s="8">
        <f t="shared" si="301"/>
        <v>2</v>
      </c>
      <c r="AD2914" t="str">
        <f t="shared" si="300"/>
        <v>o</v>
      </c>
      <c r="AE2914" t="str">
        <f t="shared" si="304"/>
        <v/>
      </c>
      <c r="AF2914" t="str">
        <f t="shared" si="302"/>
        <v/>
      </c>
      <c r="AG2914" t="str">
        <f t="shared" si="303"/>
        <v/>
      </c>
      <c r="AN2914" t="str">
        <f t="shared" si="299"/>
        <v>Defensive</v>
      </c>
    </row>
    <row r="2915" spans="2:40" x14ac:dyDescent="0.2">
      <c r="B2915" t="str">
        <f t="shared" si="298"/>
        <v/>
      </c>
      <c r="U2915" s="8">
        <f t="shared" si="301"/>
        <v>2</v>
      </c>
      <c r="AD2915" t="str">
        <f t="shared" si="300"/>
        <v>o</v>
      </c>
      <c r="AE2915" t="str">
        <f t="shared" si="304"/>
        <v/>
      </c>
      <c r="AF2915" t="str">
        <f t="shared" si="302"/>
        <v/>
      </c>
      <c r="AG2915" t="str">
        <f t="shared" si="303"/>
        <v/>
      </c>
      <c r="AN2915" t="str">
        <f t="shared" si="299"/>
        <v>Defensive</v>
      </c>
    </row>
    <row r="2916" spans="2:40" x14ac:dyDescent="0.2">
      <c r="B2916" t="str">
        <f t="shared" si="298"/>
        <v/>
      </c>
      <c r="U2916" s="8">
        <f t="shared" si="301"/>
        <v>2</v>
      </c>
      <c r="AD2916" t="str">
        <f t="shared" si="300"/>
        <v>o</v>
      </c>
      <c r="AE2916" t="str">
        <f t="shared" si="304"/>
        <v/>
      </c>
      <c r="AF2916" t="str">
        <f t="shared" si="302"/>
        <v/>
      </c>
      <c r="AG2916" t="str">
        <f t="shared" si="303"/>
        <v/>
      </c>
      <c r="AN2916" t="str">
        <f t="shared" si="299"/>
        <v>Defensive</v>
      </c>
    </row>
    <row r="2917" spans="2:40" x14ac:dyDescent="0.2">
      <c r="B2917" t="str">
        <f t="shared" si="298"/>
        <v/>
      </c>
      <c r="U2917" s="8">
        <f t="shared" si="301"/>
        <v>2</v>
      </c>
      <c r="AD2917" t="str">
        <f t="shared" si="300"/>
        <v>o</v>
      </c>
      <c r="AE2917" t="str">
        <f t="shared" si="304"/>
        <v/>
      </c>
      <c r="AF2917" t="str">
        <f t="shared" si="302"/>
        <v/>
      </c>
      <c r="AG2917" t="str">
        <f t="shared" si="303"/>
        <v/>
      </c>
      <c r="AN2917" t="str">
        <f t="shared" si="299"/>
        <v>Defensive</v>
      </c>
    </row>
    <row r="2918" spans="2:40" x14ac:dyDescent="0.2">
      <c r="B2918" t="str">
        <f t="shared" si="298"/>
        <v/>
      </c>
      <c r="U2918" s="8">
        <f t="shared" si="301"/>
        <v>2</v>
      </c>
      <c r="AD2918" t="str">
        <f t="shared" si="300"/>
        <v>o</v>
      </c>
      <c r="AE2918" t="str">
        <f t="shared" si="304"/>
        <v/>
      </c>
      <c r="AF2918" t="str">
        <f t="shared" si="302"/>
        <v/>
      </c>
      <c r="AG2918" t="str">
        <f t="shared" si="303"/>
        <v/>
      </c>
      <c r="AN2918" t="str">
        <f t="shared" si="299"/>
        <v>Defensive</v>
      </c>
    </row>
    <row r="2919" spans="2:40" x14ac:dyDescent="0.2">
      <c r="B2919" t="str">
        <f t="shared" si="298"/>
        <v/>
      </c>
      <c r="U2919" s="8">
        <f t="shared" si="301"/>
        <v>2</v>
      </c>
      <c r="AD2919" t="str">
        <f t="shared" si="300"/>
        <v>o</v>
      </c>
      <c r="AE2919" t="str">
        <f t="shared" si="304"/>
        <v/>
      </c>
      <c r="AF2919" t="str">
        <f t="shared" si="302"/>
        <v/>
      </c>
      <c r="AG2919" t="str">
        <f t="shared" si="303"/>
        <v/>
      </c>
      <c r="AN2919" t="str">
        <f t="shared" si="299"/>
        <v>Defensive</v>
      </c>
    </row>
    <row r="2920" spans="2:40" x14ac:dyDescent="0.2">
      <c r="B2920" t="str">
        <f t="shared" si="298"/>
        <v/>
      </c>
      <c r="U2920" s="8">
        <f t="shared" si="301"/>
        <v>2</v>
      </c>
      <c r="AD2920" t="str">
        <f t="shared" si="300"/>
        <v>o</v>
      </c>
      <c r="AE2920" t="str">
        <f t="shared" si="304"/>
        <v/>
      </c>
      <c r="AF2920" t="str">
        <f t="shared" si="302"/>
        <v/>
      </c>
      <c r="AG2920" t="str">
        <f t="shared" si="303"/>
        <v/>
      </c>
      <c r="AN2920" t="str">
        <f t="shared" si="299"/>
        <v>Defensive</v>
      </c>
    </row>
    <row r="2921" spans="2:40" x14ac:dyDescent="0.2">
      <c r="B2921" t="str">
        <f t="shared" si="298"/>
        <v/>
      </c>
      <c r="U2921" s="8">
        <f t="shared" si="301"/>
        <v>2</v>
      </c>
      <c r="AD2921" t="str">
        <f t="shared" si="300"/>
        <v>o</v>
      </c>
      <c r="AE2921" t="str">
        <f t="shared" si="304"/>
        <v/>
      </c>
      <c r="AF2921" t="str">
        <f t="shared" si="302"/>
        <v/>
      </c>
      <c r="AG2921" t="str">
        <f t="shared" si="303"/>
        <v/>
      </c>
      <c r="AN2921" t="str">
        <f t="shared" si="299"/>
        <v>Defensive</v>
      </c>
    </row>
    <row r="2922" spans="2:40" x14ac:dyDescent="0.2">
      <c r="B2922" t="str">
        <f t="shared" si="298"/>
        <v/>
      </c>
      <c r="U2922" s="8">
        <f t="shared" si="301"/>
        <v>2</v>
      </c>
      <c r="AD2922" t="str">
        <f t="shared" si="300"/>
        <v>o</v>
      </c>
      <c r="AE2922" t="str">
        <f t="shared" si="304"/>
        <v/>
      </c>
      <c r="AF2922" t="str">
        <f t="shared" si="302"/>
        <v/>
      </c>
      <c r="AG2922" t="str">
        <f t="shared" si="303"/>
        <v/>
      </c>
      <c r="AN2922" t="str">
        <f t="shared" si="299"/>
        <v>Defensive</v>
      </c>
    </row>
    <row r="2923" spans="2:40" x14ac:dyDescent="0.2">
      <c r="B2923" t="str">
        <f t="shared" si="298"/>
        <v/>
      </c>
      <c r="U2923" s="8">
        <f t="shared" si="301"/>
        <v>2</v>
      </c>
      <c r="AD2923" t="str">
        <f t="shared" si="300"/>
        <v>o</v>
      </c>
      <c r="AE2923" t="str">
        <f t="shared" si="304"/>
        <v/>
      </c>
      <c r="AF2923" t="str">
        <f t="shared" si="302"/>
        <v/>
      </c>
      <c r="AG2923" t="str">
        <f t="shared" si="303"/>
        <v/>
      </c>
      <c r="AN2923" t="str">
        <f t="shared" si="299"/>
        <v>Defensive</v>
      </c>
    </row>
    <row r="2924" spans="2:40" x14ac:dyDescent="0.2">
      <c r="B2924" t="str">
        <f t="shared" si="298"/>
        <v/>
      </c>
      <c r="U2924" s="8">
        <f t="shared" si="301"/>
        <v>2</v>
      </c>
      <c r="AD2924" t="str">
        <f t="shared" si="300"/>
        <v>o</v>
      </c>
      <c r="AE2924" t="str">
        <f t="shared" si="304"/>
        <v/>
      </c>
      <c r="AF2924" t="str">
        <f t="shared" si="302"/>
        <v/>
      </c>
      <c r="AG2924" t="str">
        <f t="shared" si="303"/>
        <v/>
      </c>
      <c r="AN2924" t="str">
        <f t="shared" si="299"/>
        <v>Defensive</v>
      </c>
    </row>
    <row r="2925" spans="2:40" x14ac:dyDescent="0.2">
      <c r="B2925" t="str">
        <f t="shared" si="298"/>
        <v/>
      </c>
      <c r="U2925" s="8">
        <f t="shared" si="301"/>
        <v>2</v>
      </c>
      <c r="AD2925" t="str">
        <f t="shared" si="300"/>
        <v>o</v>
      </c>
      <c r="AE2925" t="str">
        <f t="shared" si="304"/>
        <v/>
      </c>
      <c r="AF2925" t="str">
        <f t="shared" si="302"/>
        <v/>
      </c>
      <c r="AG2925" t="str">
        <f t="shared" si="303"/>
        <v/>
      </c>
      <c r="AN2925" t="str">
        <f t="shared" si="299"/>
        <v>Defensive</v>
      </c>
    </row>
    <row r="2926" spans="2:40" x14ac:dyDescent="0.2">
      <c r="B2926" t="str">
        <f t="shared" si="298"/>
        <v/>
      </c>
      <c r="U2926" s="8">
        <f t="shared" si="301"/>
        <v>2</v>
      </c>
      <c r="AD2926" t="str">
        <f t="shared" si="300"/>
        <v>o</v>
      </c>
      <c r="AE2926" t="str">
        <f t="shared" si="304"/>
        <v/>
      </c>
      <c r="AF2926" t="str">
        <f t="shared" si="302"/>
        <v/>
      </c>
      <c r="AG2926" t="str">
        <f t="shared" si="303"/>
        <v/>
      </c>
      <c r="AN2926" t="str">
        <f t="shared" si="299"/>
        <v>Defensive</v>
      </c>
    </row>
    <row r="2927" spans="2:40" x14ac:dyDescent="0.2">
      <c r="B2927" t="str">
        <f t="shared" si="298"/>
        <v/>
      </c>
      <c r="U2927" s="8">
        <f t="shared" si="301"/>
        <v>2</v>
      </c>
      <c r="AD2927" t="str">
        <f t="shared" si="300"/>
        <v>o</v>
      </c>
      <c r="AE2927" t="str">
        <f t="shared" si="304"/>
        <v/>
      </c>
      <c r="AF2927" t="str">
        <f t="shared" si="302"/>
        <v/>
      </c>
      <c r="AG2927" t="str">
        <f t="shared" si="303"/>
        <v/>
      </c>
      <c r="AN2927" t="str">
        <f t="shared" si="299"/>
        <v>Defensive</v>
      </c>
    </row>
    <row r="2928" spans="2:40" x14ac:dyDescent="0.2">
      <c r="B2928" t="str">
        <f t="shared" ref="B2928:B2991" si="305">IF(A2928=A2927,B2927,"")</f>
        <v/>
      </c>
      <c r="U2928" s="8">
        <f t="shared" si="301"/>
        <v>2</v>
      </c>
      <c r="AD2928" t="str">
        <f t="shared" si="300"/>
        <v>o</v>
      </c>
      <c r="AE2928" t="str">
        <f t="shared" si="304"/>
        <v/>
      </c>
      <c r="AF2928" t="str">
        <f t="shared" si="302"/>
        <v/>
      </c>
      <c r="AG2928" t="str">
        <f t="shared" si="303"/>
        <v/>
      </c>
      <c r="AN2928" t="str">
        <f t="shared" si="299"/>
        <v>Defensive</v>
      </c>
    </row>
    <row r="2929" spans="2:40" x14ac:dyDescent="0.2">
      <c r="B2929" t="str">
        <f t="shared" si="305"/>
        <v/>
      </c>
      <c r="U2929" s="8">
        <f t="shared" si="301"/>
        <v>2</v>
      </c>
      <c r="AD2929" t="str">
        <f t="shared" si="300"/>
        <v>o</v>
      </c>
      <c r="AE2929" t="str">
        <f t="shared" si="304"/>
        <v/>
      </c>
      <c r="AF2929" t="str">
        <f t="shared" si="302"/>
        <v/>
      </c>
      <c r="AG2929" t="str">
        <f t="shared" si="303"/>
        <v/>
      </c>
      <c r="AN2929" t="str">
        <f t="shared" si="299"/>
        <v>Defensive</v>
      </c>
    </row>
    <row r="2930" spans="2:40" x14ac:dyDescent="0.2">
      <c r="B2930" t="str">
        <f t="shared" si="305"/>
        <v/>
      </c>
      <c r="U2930" s="8">
        <f t="shared" si="301"/>
        <v>2</v>
      </c>
      <c r="AD2930" t="str">
        <f t="shared" si="300"/>
        <v>o</v>
      </c>
      <c r="AE2930" t="str">
        <f t="shared" si="304"/>
        <v/>
      </c>
      <c r="AF2930" t="str">
        <f t="shared" si="302"/>
        <v/>
      </c>
      <c r="AG2930" t="str">
        <f t="shared" si="303"/>
        <v/>
      </c>
      <c r="AN2930" t="str">
        <f t="shared" si="299"/>
        <v>Defensive</v>
      </c>
    </row>
    <row r="2931" spans="2:40" x14ac:dyDescent="0.2">
      <c r="B2931" t="str">
        <f t="shared" si="305"/>
        <v/>
      </c>
      <c r="U2931" s="8">
        <f t="shared" si="301"/>
        <v>2</v>
      </c>
      <c r="AD2931" t="str">
        <f t="shared" si="300"/>
        <v>o</v>
      </c>
      <c r="AE2931" t="str">
        <f t="shared" si="304"/>
        <v/>
      </c>
      <c r="AF2931" t="str">
        <f t="shared" si="302"/>
        <v/>
      </c>
      <c r="AG2931" t="str">
        <f t="shared" si="303"/>
        <v/>
      </c>
      <c r="AN2931" t="str">
        <f t="shared" si="299"/>
        <v>Defensive</v>
      </c>
    </row>
    <row r="2932" spans="2:40" x14ac:dyDescent="0.2">
      <c r="B2932" t="str">
        <f t="shared" si="305"/>
        <v/>
      </c>
      <c r="U2932" s="8">
        <f t="shared" si="301"/>
        <v>2</v>
      </c>
      <c r="AD2932" t="str">
        <f t="shared" si="300"/>
        <v>o</v>
      </c>
      <c r="AE2932" t="str">
        <f t="shared" si="304"/>
        <v/>
      </c>
      <c r="AF2932" t="str">
        <f t="shared" si="302"/>
        <v/>
      </c>
      <c r="AG2932" t="str">
        <f t="shared" si="303"/>
        <v/>
      </c>
      <c r="AN2932" t="str">
        <f t="shared" si="299"/>
        <v>Defensive</v>
      </c>
    </row>
    <row r="2933" spans="2:40" x14ac:dyDescent="0.2">
      <c r="B2933" t="str">
        <f t="shared" si="305"/>
        <v/>
      </c>
      <c r="U2933" s="8">
        <f t="shared" si="301"/>
        <v>2</v>
      </c>
      <c r="AD2933" t="str">
        <f t="shared" si="300"/>
        <v>o</v>
      </c>
      <c r="AE2933" t="str">
        <f t="shared" si="304"/>
        <v/>
      </c>
      <c r="AF2933" t="str">
        <f t="shared" si="302"/>
        <v/>
      </c>
      <c r="AG2933" t="str">
        <f t="shared" si="303"/>
        <v/>
      </c>
      <c r="AN2933" t="str">
        <f t="shared" si="299"/>
        <v>Defensive</v>
      </c>
    </row>
    <row r="2934" spans="2:40" x14ac:dyDescent="0.2">
      <c r="B2934" t="str">
        <f t="shared" si="305"/>
        <v/>
      </c>
      <c r="U2934" s="8">
        <f t="shared" si="301"/>
        <v>2</v>
      </c>
      <c r="AD2934" t="str">
        <f t="shared" si="300"/>
        <v>o</v>
      </c>
      <c r="AE2934" t="str">
        <f t="shared" si="304"/>
        <v/>
      </c>
      <c r="AF2934" t="str">
        <f t="shared" si="302"/>
        <v/>
      </c>
      <c r="AG2934" t="str">
        <f t="shared" si="303"/>
        <v/>
      </c>
      <c r="AN2934" t="str">
        <f t="shared" si="299"/>
        <v>Defensive</v>
      </c>
    </row>
    <row r="2935" spans="2:40" x14ac:dyDescent="0.2">
      <c r="B2935" t="str">
        <f t="shared" si="305"/>
        <v/>
      </c>
      <c r="U2935" s="8">
        <f t="shared" si="301"/>
        <v>2</v>
      </c>
      <c r="AD2935" t="str">
        <f t="shared" si="300"/>
        <v>o</v>
      </c>
      <c r="AE2935" t="str">
        <f t="shared" si="304"/>
        <v/>
      </c>
      <c r="AF2935" t="str">
        <f t="shared" si="302"/>
        <v/>
      </c>
      <c r="AG2935" t="str">
        <f t="shared" si="303"/>
        <v/>
      </c>
      <c r="AN2935" t="str">
        <f t="shared" si="299"/>
        <v>Defensive</v>
      </c>
    </row>
    <row r="2936" spans="2:40" x14ac:dyDescent="0.2">
      <c r="B2936" t="str">
        <f t="shared" si="305"/>
        <v/>
      </c>
      <c r="U2936" s="8">
        <f t="shared" si="301"/>
        <v>2</v>
      </c>
      <c r="AD2936" t="str">
        <f t="shared" si="300"/>
        <v>o</v>
      </c>
      <c r="AE2936" t="str">
        <f t="shared" si="304"/>
        <v/>
      </c>
      <c r="AF2936" t="str">
        <f t="shared" si="302"/>
        <v/>
      </c>
      <c r="AG2936" t="str">
        <f t="shared" si="303"/>
        <v/>
      </c>
      <c r="AN2936" t="str">
        <f t="shared" si="299"/>
        <v>Defensive</v>
      </c>
    </row>
    <row r="2937" spans="2:40" x14ac:dyDescent="0.2">
      <c r="B2937" t="str">
        <f t="shared" si="305"/>
        <v/>
      </c>
      <c r="U2937" s="8">
        <f t="shared" si="301"/>
        <v>2</v>
      </c>
      <c r="AD2937" t="str">
        <f t="shared" si="300"/>
        <v>o</v>
      </c>
      <c r="AE2937" t="str">
        <f t="shared" si="304"/>
        <v/>
      </c>
      <c r="AF2937" t="str">
        <f t="shared" si="302"/>
        <v/>
      </c>
      <c r="AG2937" t="str">
        <f t="shared" si="303"/>
        <v/>
      </c>
      <c r="AN2937" t="str">
        <f t="shared" ref="AN2937:AN3000" si="306">IF(AND(AD2937="e",OR(AE2937="Save",AF2937="Turnover_Takeaway",AF2937="Play_Defensive")),"Defensive",IF(AND(AD2937="o",OR(AE2937="Save",AF2937="Turnover_Takeaway",AF2937="Play_Defensive")),"Offensive",IF(OR(AE2937="Deadice",AE2937="Stoppage",AE2937="Intermission"),"",IF(AD2937="e","Offensive",IF(AD2937="o","Defensive","")))))</f>
        <v>Defensive</v>
      </c>
    </row>
    <row r="2938" spans="2:40" x14ac:dyDescent="0.2">
      <c r="B2938" t="str">
        <f t="shared" si="305"/>
        <v/>
      </c>
      <c r="U2938" s="8">
        <f t="shared" si="301"/>
        <v>2</v>
      </c>
      <c r="AD2938" t="str">
        <f t="shared" si="300"/>
        <v>o</v>
      </c>
      <c r="AE2938" t="str">
        <f t="shared" si="304"/>
        <v/>
      </c>
      <c r="AF2938" t="str">
        <f t="shared" si="302"/>
        <v/>
      </c>
      <c r="AG2938" t="str">
        <f t="shared" si="303"/>
        <v/>
      </c>
      <c r="AN2938" t="str">
        <f t="shared" si="306"/>
        <v>Defensive</v>
      </c>
    </row>
    <row r="2939" spans="2:40" x14ac:dyDescent="0.2">
      <c r="B2939" t="str">
        <f t="shared" si="305"/>
        <v/>
      </c>
      <c r="U2939" s="8">
        <f t="shared" si="301"/>
        <v>2</v>
      </c>
      <c r="AD2939" t="str">
        <f t="shared" si="300"/>
        <v>o</v>
      </c>
      <c r="AE2939" t="str">
        <f t="shared" si="304"/>
        <v/>
      </c>
      <c r="AF2939" t="str">
        <f t="shared" si="302"/>
        <v/>
      </c>
      <c r="AG2939" t="str">
        <f t="shared" si="303"/>
        <v/>
      </c>
      <c r="AN2939" t="str">
        <f t="shared" si="306"/>
        <v>Defensive</v>
      </c>
    </row>
    <row r="2940" spans="2:40" x14ac:dyDescent="0.2">
      <c r="B2940" t="str">
        <f t="shared" si="305"/>
        <v/>
      </c>
      <c r="U2940" s="8">
        <f t="shared" si="301"/>
        <v>2</v>
      </c>
      <c r="AD2940" t="str">
        <f t="shared" si="300"/>
        <v>o</v>
      </c>
      <c r="AE2940" t="str">
        <f t="shared" si="304"/>
        <v/>
      </c>
      <c r="AF2940" t="str">
        <f t="shared" si="302"/>
        <v/>
      </c>
      <c r="AG2940" t="str">
        <f t="shared" si="303"/>
        <v/>
      </c>
      <c r="AN2940" t="str">
        <f t="shared" si="306"/>
        <v>Defensive</v>
      </c>
    </row>
    <row r="2941" spans="2:40" x14ac:dyDescent="0.2">
      <c r="B2941" t="str">
        <f t="shared" si="305"/>
        <v/>
      </c>
      <c r="U2941" s="8">
        <f t="shared" si="301"/>
        <v>2</v>
      </c>
      <c r="AD2941" t="str">
        <f t="shared" si="300"/>
        <v>o</v>
      </c>
      <c r="AE2941" t="str">
        <f t="shared" si="304"/>
        <v/>
      </c>
      <c r="AF2941" t="str">
        <f t="shared" si="302"/>
        <v/>
      </c>
      <c r="AG2941" t="str">
        <f t="shared" si="303"/>
        <v/>
      </c>
      <c r="AN2941" t="str">
        <f t="shared" si="306"/>
        <v>Defensive</v>
      </c>
    </row>
    <row r="2942" spans="2:40" x14ac:dyDescent="0.2">
      <c r="B2942" t="str">
        <f t="shared" si="305"/>
        <v/>
      </c>
      <c r="U2942" s="8">
        <f t="shared" si="301"/>
        <v>2</v>
      </c>
      <c r="AD2942" t="str">
        <f t="shared" si="300"/>
        <v>o</v>
      </c>
      <c r="AE2942" t="str">
        <f t="shared" si="304"/>
        <v/>
      </c>
      <c r="AF2942" t="str">
        <f t="shared" si="302"/>
        <v/>
      </c>
      <c r="AG2942" t="str">
        <f t="shared" si="303"/>
        <v/>
      </c>
      <c r="AN2942" t="str">
        <f t="shared" si="306"/>
        <v>Defensive</v>
      </c>
    </row>
    <row r="2943" spans="2:40" x14ac:dyDescent="0.2">
      <c r="B2943" t="str">
        <f t="shared" si="305"/>
        <v/>
      </c>
      <c r="U2943" s="8">
        <f t="shared" si="301"/>
        <v>2</v>
      </c>
      <c r="AD2943" t="str">
        <f t="shared" si="300"/>
        <v>o</v>
      </c>
      <c r="AE2943" t="str">
        <f t="shared" si="304"/>
        <v/>
      </c>
      <c r="AF2943" t="str">
        <f t="shared" si="302"/>
        <v/>
      </c>
      <c r="AG2943" t="str">
        <f t="shared" si="303"/>
        <v/>
      </c>
      <c r="AN2943" t="str">
        <f t="shared" si="306"/>
        <v>Defensive</v>
      </c>
    </row>
    <row r="2944" spans="2:40" x14ac:dyDescent="0.2">
      <c r="B2944" t="str">
        <f t="shared" si="305"/>
        <v/>
      </c>
      <c r="U2944" s="8">
        <f t="shared" si="301"/>
        <v>2</v>
      </c>
      <c r="AD2944" t="str">
        <f t="shared" si="300"/>
        <v>o</v>
      </c>
      <c r="AE2944" t="str">
        <f t="shared" si="304"/>
        <v/>
      </c>
      <c r="AF2944" t="str">
        <f t="shared" si="302"/>
        <v/>
      </c>
      <c r="AG2944" t="str">
        <f t="shared" si="303"/>
        <v/>
      </c>
      <c r="AN2944" t="str">
        <f t="shared" si="306"/>
        <v>Defensive</v>
      </c>
    </row>
    <row r="2945" spans="2:40" x14ac:dyDescent="0.2">
      <c r="B2945" t="str">
        <f t="shared" si="305"/>
        <v/>
      </c>
      <c r="U2945" s="8">
        <f t="shared" si="301"/>
        <v>2</v>
      </c>
      <c r="AD2945" t="str">
        <f t="shared" si="300"/>
        <v>o</v>
      </c>
      <c r="AE2945" t="str">
        <f t="shared" si="304"/>
        <v/>
      </c>
      <c r="AF2945" t="str">
        <f t="shared" si="302"/>
        <v/>
      </c>
      <c r="AG2945" t="str">
        <f t="shared" si="303"/>
        <v/>
      </c>
      <c r="AN2945" t="str">
        <f t="shared" si="306"/>
        <v>Defensive</v>
      </c>
    </row>
    <row r="2946" spans="2:40" x14ac:dyDescent="0.2">
      <c r="B2946" t="str">
        <f t="shared" si="305"/>
        <v/>
      </c>
      <c r="U2946" s="8">
        <f t="shared" si="301"/>
        <v>2</v>
      </c>
      <c r="AD2946" t="str">
        <f t="shared" ref="AD2946:AD3009" si="307">IF(K2946="x","",IF(K2946=1,"e","o"))</f>
        <v>o</v>
      </c>
      <c r="AE2946" t="str">
        <f t="shared" si="304"/>
        <v/>
      </c>
      <c r="AF2946" t="str">
        <f t="shared" si="302"/>
        <v/>
      </c>
      <c r="AG2946" t="str">
        <f t="shared" si="303"/>
        <v/>
      </c>
      <c r="AN2946" t="str">
        <f t="shared" si="306"/>
        <v>Defensive</v>
      </c>
    </row>
    <row r="2947" spans="2:40" x14ac:dyDescent="0.2">
      <c r="B2947" t="str">
        <f t="shared" si="305"/>
        <v/>
      </c>
      <c r="U2947" s="8">
        <f t="shared" ref="U2947:U3010" si="308">IF(M2947="Intermission",U2946+1,U2946)</f>
        <v>2</v>
      </c>
      <c r="AD2947" t="str">
        <f t="shared" si="307"/>
        <v>o</v>
      </c>
      <c r="AE2947" t="str">
        <f t="shared" si="304"/>
        <v/>
      </c>
      <c r="AF2947" t="str">
        <f t="shared" ref="AF2947:AF3010" si="309">IF(N2947&lt;&gt;"",N2947,IF($A2947=$A2946,AF2946,""))</f>
        <v/>
      </c>
      <c r="AG2947" t="str">
        <f t="shared" ref="AG2947:AG3010" si="310">IF(O2947&lt;&gt;"",O2947,IF($A2947=$A2946,AG2946,""))</f>
        <v/>
      </c>
      <c r="AN2947" t="str">
        <f t="shared" si="306"/>
        <v>Defensive</v>
      </c>
    </row>
    <row r="2948" spans="2:40" x14ac:dyDescent="0.2">
      <c r="B2948" t="str">
        <f t="shared" si="305"/>
        <v/>
      </c>
      <c r="U2948" s="8">
        <f t="shared" si="308"/>
        <v>2</v>
      </c>
      <c r="AD2948" t="str">
        <f t="shared" si="307"/>
        <v>o</v>
      </c>
      <c r="AE2948" t="str">
        <f t="shared" ref="AE2948:AE3011" si="311">IF(M2948&lt;&gt;"",M2948,IF($A2948=$A2947,AE2947,""))</f>
        <v/>
      </c>
      <c r="AF2948" t="str">
        <f t="shared" si="309"/>
        <v/>
      </c>
      <c r="AG2948" t="str">
        <f t="shared" si="310"/>
        <v/>
      </c>
      <c r="AN2948" t="str">
        <f t="shared" si="306"/>
        <v>Defensive</v>
      </c>
    </row>
    <row r="2949" spans="2:40" x14ac:dyDescent="0.2">
      <c r="B2949" t="str">
        <f t="shared" si="305"/>
        <v/>
      </c>
      <c r="U2949" s="8">
        <f t="shared" si="308"/>
        <v>2</v>
      </c>
      <c r="AD2949" t="str">
        <f t="shared" si="307"/>
        <v>o</v>
      </c>
      <c r="AE2949" t="str">
        <f t="shared" si="311"/>
        <v/>
      </c>
      <c r="AF2949" t="str">
        <f t="shared" si="309"/>
        <v/>
      </c>
      <c r="AG2949" t="str">
        <f t="shared" si="310"/>
        <v/>
      </c>
      <c r="AN2949" t="str">
        <f t="shared" si="306"/>
        <v>Defensive</v>
      </c>
    </row>
    <row r="2950" spans="2:40" x14ac:dyDescent="0.2">
      <c r="B2950" t="str">
        <f t="shared" si="305"/>
        <v/>
      </c>
      <c r="U2950" s="8">
        <f t="shared" si="308"/>
        <v>2</v>
      </c>
      <c r="AD2950" t="str">
        <f t="shared" si="307"/>
        <v>o</v>
      </c>
      <c r="AE2950" t="str">
        <f t="shared" si="311"/>
        <v/>
      </c>
      <c r="AF2950" t="str">
        <f t="shared" si="309"/>
        <v/>
      </c>
      <c r="AG2950" t="str">
        <f t="shared" si="310"/>
        <v/>
      </c>
      <c r="AN2950" t="str">
        <f t="shared" si="306"/>
        <v>Defensive</v>
      </c>
    </row>
    <row r="2951" spans="2:40" x14ac:dyDescent="0.2">
      <c r="B2951" t="str">
        <f t="shared" si="305"/>
        <v/>
      </c>
      <c r="U2951" s="8">
        <f t="shared" si="308"/>
        <v>2</v>
      </c>
      <c r="AD2951" t="str">
        <f t="shared" si="307"/>
        <v>o</v>
      </c>
      <c r="AE2951" t="str">
        <f t="shared" si="311"/>
        <v/>
      </c>
      <c r="AF2951" t="str">
        <f t="shared" si="309"/>
        <v/>
      </c>
      <c r="AG2951" t="str">
        <f t="shared" si="310"/>
        <v/>
      </c>
      <c r="AN2951" t="str">
        <f t="shared" si="306"/>
        <v>Defensive</v>
      </c>
    </row>
    <row r="2952" spans="2:40" x14ac:dyDescent="0.2">
      <c r="B2952" t="str">
        <f t="shared" si="305"/>
        <v/>
      </c>
      <c r="U2952" s="8">
        <f t="shared" si="308"/>
        <v>2</v>
      </c>
      <c r="AD2952" t="str">
        <f t="shared" si="307"/>
        <v>o</v>
      </c>
      <c r="AE2952" t="str">
        <f t="shared" si="311"/>
        <v/>
      </c>
      <c r="AF2952" t="str">
        <f t="shared" si="309"/>
        <v/>
      </c>
      <c r="AG2952" t="str">
        <f t="shared" si="310"/>
        <v/>
      </c>
      <c r="AN2952" t="str">
        <f t="shared" si="306"/>
        <v>Defensive</v>
      </c>
    </row>
    <row r="2953" spans="2:40" x14ac:dyDescent="0.2">
      <c r="B2953" t="str">
        <f t="shared" si="305"/>
        <v/>
      </c>
      <c r="U2953" s="8">
        <f t="shared" si="308"/>
        <v>2</v>
      </c>
      <c r="AD2953" t="str">
        <f t="shared" si="307"/>
        <v>o</v>
      </c>
      <c r="AE2953" t="str">
        <f t="shared" si="311"/>
        <v/>
      </c>
      <c r="AF2953" t="str">
        <f t="shared" si="309"/>
        <v/>
      </c>
      <c r="AG2953" t="str">
        <f t="shared" si="310"/>
        <v/>
      </c>
      <c r="AN2953" t="str">
        <f t="shared" si="306"/>
        <v>Defensive</v>
      </c>
    </row>
    <row r="2954" spans="2:40" x14ac:dyDescent="0.2">
      <c r="B2954" t="str">
        <f t="shared" si="305"/>
        <v/>
      </c>
      <c r="U2954" s="8">
        <f t="shared" si="308"/>
        <v>2</v>
      </c>
      <c r="AD2954" t="str">
        <f t="shared" si="307"/>
        <v>o</v>
      </c>
      <c r="AE2954" t="str">
        <f t="shared" si="311"/>
        <v/>
      </c>
      <c r="AF2954" t="str">
        <f t="shared" si="309"/>
        <v/>
      </c>
      <c r="AG2954" t="str">
        <f t="shared" si="310"/>
        <v/>
      </c>
      <c r="AN2954" t="str">
        <f t="shared" si="306"/>
        <v>Defensive</v>
      </c>
    </row>
    <row r="2955" spans="2:40" x14ac:dyDescent="0.2">
      <c r="B2955" t="str">
        <f t="shared" si="305"/>
        <v/>
      </c>
      <c r="U2955" s="8">
        <f t="shared" si="308"/>
        <v>2</v>
      </c>
      <c r="AD2955" t="str">
        <f t="shared" si="307"/>
        <v>o</v>
      </c>
      <c r="AE2955" t="str">
        <f t="shared" si="311"/>
        <v/>
      </c>
      <c r="AF2955" t="str">
        <f t="shared" si="309"/>
        <v/>
      </c>
      <c r="AG2955" t="str">
        <f t="shared" si="310"/>
        <v/>
      </c>
      <c r="AN2955" t="str">
        <f t="shared" si="306"/>
        <v>Defensive</v>
      </c>
    </row>
    <row r="2956" spans="2:40" x14ac:dyDescent="0.2">
      <c r="B2956" t="str">
        <f t="shared" si="305"/>
        <v/>
      </c>
      <c r="U2956" s="8">
        <f t="shared" si="308"/>
        <v>2</v>
      </c>
      <c r="AD2956" t="str">
        <f t="shared" si="307"/>
        <v>o</v>
      </c>
      <c r="AE2956" t="str">
        <f t="shared" si="311"/>
        <v/>
      </c>
      <c r="AF2956" t="str">
        <f t="shared" si="309"/>
        <v/>
      </c>
      <c r="AG2956" t="str">
        <f t="shared" si="310"/>
        <v/>
      </c>
      <c r="AN2956" t="str">
        <f t="shared" si="306"/>
        <v>Defensive</v>
      </c>
    </row>
    <row r="2957" spans="2:40" x14ac:dyDescent="0.2">
      <c r="B2957" t="str">
        <f t="shared" si="305"/>
        <v/>
      </c>
      <c r="U2957" s="8">
        <f t="shared" si="308"/>
        <v>2</v>
      </c>
      <c r="AD2957" t="str">
        <f t="shared" si="307"/>
        <v>o</v>
      </c>
      <c r="AE2957" t="str">
        <f t="shared" si="311"/>
        <v/>
      </c>
      <c r="AF2957" t="str">
        <f t="shared" si="309"/>
        <v/>
      </c>
      <c r="AG2957" t="str">
        <f t="shared" si="310"/>
        <v/>
      </c>
      <c r="AN2957" t="str">
        <f t="shared" si="306"/>
        <v>Defensive</v>
      </c>
    </row>
    <row r="2958" spans="2:40" x14ac:dyDescent="0.2">
      <c r="B2958" t="str">
        <f t="shared" si="305"/>
        <v/>
      </c>
      <c r="U2958" s="8">
        <f t="shared" si="308"/>
        <v>2</v>
      </c>
      <c r="AD2958" t="str">
        <f t="shared" si="307"/>
        <v>o</v>
      </c>
      <c r="AE2958" t="str">
        <f t="shared" si="311"/>
        <v/>
      </c>
      <c r="AF2958" t="str">
        <f t="shared" si="309"/>
        <v/>
      </c>
      <c r="AG2958" t="str">
        <f t="shared" si="310"/>
        <v/>
      </c>
      <c r="AN2958" t="str">
        <f t="shared" si="306"/>
        <v>Defensive</v>
      </c>
    </row>
    <row r="2959" spans="2:40" x14ac:dyDescent="0.2">
      <c r="B2959" t="str">
        <f t="shared" si="305"/>
        <v/>
      </c>
      <c r="U2959" s="8">
        <f t="shared" si="308"/>
        <v>2</v>
      </c>
      <c r="AD2959" t="str">
        <f t="shared" si="307"/>
        <v>o</v>
      </c>
      <c r="AE2959" t="str">
        <f t="shared" si="311"/>
        <v/>
      </c>
      <c r="AF2959" t="str">
        <f t="shared" si="309"/>
        <v/>
      </c>
      <c r="AG2959" t="str">
        <f t="shared" si="310"/>
        <v/>
      </c>
      <c r="AN2959" t="str">
        <f t="shared" si="306"/>
        <v>Defensive</v>
      </c>
    </row>
    <row r="2960" spans="2:40" x14ac:dyDescent="0.2">
      <c r="B2960" t="str">
        <f t="shared" si="305"/>
        <v/>
      </c>
      <c r="U2960" s="8">
        <f t="shared" si="308"/>
        <v>2</v>
      </c>
      <c r="AD2960" t="str">
        <f t="shared" si="307"/>
        <v>o</v>
      </c>
      <c r="AE2960" t="str">
        <f t="shared" si="311"/>
        <v/>
      </c>
      <c r="AF2960" t="str">
        <f t="shared" si="309"/>
        <v/>
      </c>
      <c r="AG2960" t="str">
        <f t="shared" si="310"/>
        <v/>
      </c>
      <c r="AN2960" t="str">
        <f t="shared" si="306"/>
        <v>Defensive</v>
      </c>
    </row>
    <row r="2961" spans="2:40" x14ac:dyDescent="0.2">
      <c r="B2961" t="str">
        <f t="shared" si="305"/>
        <v/>
      </c>
      <c r="U2961" s="8">
        <f t="shared" si="308"/>
        <v>2</v>
      </c>
      <c r="AD2961" t="str">
        <f t="shared" si="307"/>
        <v>o</v>
      </c>
      <c r="AE2961" t="str">
        <f t="shared" si="311"/>
        <v/>
      </c>
      <c r="AF2961" t="str">
        <f t="shared" si="309"/>
        <v/>
      </c>
      <c r="AG2961" t="str">
        <f t="shared" si="310"/>
        <v/>
      </c>
      <c r="AN2961" t="str">
        <f t="shared" si="306"/>
        <v>Defensive</v>
      </c>
    </row>
    <row r="2962" spans="2:40" x14ac:dyDescent="0.2">
      <c r="B2962" t="str">
        <f t="shared" si="305"/>
        <v/>
      </c>
      <c r="U2962" s="8">
        <f t="shared" si="308"/>
        <v>2</v>
      </c>
      <c r="AD2962" t="str">
        <f t="shared" si="307"/>
        <v>o</v>
      </c>
      <c r="AE2962" t="str">
        <f t="shared" si="311"/>
        <v/>
      </c>
      <c r="AF2962" t="str">
        <f t="shared" si="309"/>
        <v/>
      </c>
      <c r="AG2962" t="str">
        <f t="shared" si="310"/>
        <v/>
      </c>
      <c r="AN2962" t="str">
        <f t="shared" si="306"/>
        <v>Defensive</v>
      </c>
    </row>
    <row r="2963" spans="2:40" x14ac:dyDescent="0.2">
      <c r="B2963" t="str">
        <f t="shared" si="305"/>
        <v/>
      </c>
      <c r="U2963" s="8">
        <f t="shared" si="308"/>
        <v>2</v>
      </c>
      <c r="AD2963" t="str">
        <f t="shared" si="307"/>
        <v>o</v>
      </c>
      <c r="AE2963" t="str">
        <f t="shared" si="311"/>
        <v/>
      </c>
      <c r="AF2963" t="str">
        <f t="shared" si="309"/>
        <v/>
      </c>
      <c r="AG2963" t="str">
        <f t="shared" si="310"/>
        <v/>
      </c>
      <c r="AN2963" t="str">
        <f t="shared" si="306"/>
        <v>Defensive</v>
      </c>
    </row>
    <row r="2964" spans="2:40" x14ac:dyDescent="0.2">
      <c r="B2964" t="str">
        <f t="shared" si="305"/>
        <v/>
      </c>
      <c r="U2964" s="8">
        <f t="shared" si="308"/>
        <v>2</v>
      </c>
      <c r="AD2964" t="str">
        <f t="shared" si="307"/>
        <v>o</v>
      </c>
      <c r="AE2964" t="str">
        <f t="shared" si="311"/>
        <v/>
      </c>
      <c r="AF2964" t="str">
        <f t="shared" si="309"/>
        <v/>
      </c>
      <c r="AG2964" t="str">
        <f t="shared" si="310"/>
        <v/>
      </c>
      <c r="AN2964" t="str">
        <f t="shared" si="306"/>
        <v>Defensive</v>
      </c>
    </row>
    <row r="2965" spans="2:40" x14ac:dyDescent="0.2">
      <c r="B2965" t="str">
        <f t="shared" si="305"/>
        <v/>
      </c>
      <c r="U2965" s="8">
        <f t="shared" si="308"/>
        <v>2</v>
      </c>
      <c r="AD2965" t="str">
        <f t="shared" si="307"/>
        <v>o</v>
      </c>
      <c r="AE2965" t="str">
        <f t="shared" si="311"/>
        <v/>
      </c>
      <c r="AF2965" t="str">
        <f t="shared" si="309"/>
        <v/>
      </c>
      <c r="AG2965" t="str">
        <f t="shared" si="310"/>
        <v/>
      </c>
      <c r="AN2965" t="str">
        <f t="shared" si="306"/>
        <v>Defensive</v>
      </c>
    </row>
    <row r="2966" spans="2:40" x14ac:dyDescent="0.2">
      <c r="B2966" t="str">
        <f t="shared" si="305"/>
        <v/>
      </c>
      <c r="U2966" s="8">
        <f t="shared" si="308"/>
        <v>2</v>
      </c>
      <c r="AD2966" t="str">
        <f t="shared" si="307"/>
        <v>o</v>
      </c>
      <c r="AE2966" t="str">
        <f t="shared" si="311"/>
        <v/>
      </c>
      <c r="AF2966" t="str">
        <f t="shared" si="309"/>
        <v/>
      </c>
      <c r="AG2966" t="str">
        <f t="shared" si="310"/>
        <v/>
      </c>
      <c r="AN2966" t="str">
        <f t="shared" si="306"/>
        <v>Defensive</v>
      </c>
    </row>
    <row r="2967" spans="2:40" x14ac:dyDescent="0.2">
      <c r="B2967" t="str">
        <f t="shared" si="305"/>
        <v/>
      </c>
      <c r="U2967" s="8">
        <f t="shared" si="308"/>
        <v>2</v>
      </c>
      <c r="AD2967" t="str">
        <f t="shared" si="307"/>
        <v>o</v>
      </c>
      <c r="AE2967" t="str">
        <f t="shared" si="311"/>
        <v/>
      </c>
      <c r="AF2967" t="str">
        <f t="shared" si="309"/>
        <v/>
      </c>
      <c r="AG2967" t="str">
        <f t="shared" si="310"/>
        <v/>
      </c>
      <c r="AN2967" t="str">
        <f t="shared" si="306"/>
        <v>Defensive</v>
      </c>
    </row>
    <row r="2968" spans="2:40" x14ac:dyDescent="0.2">
      <c r="B2968" t="str">
        <f t="shared" si="305"/>
        <v/>
      </c>
      <c r="U2968" s="8">
        <f t="shared" si="308"/>
        <v>2</v>
      </c>
      <c r="AD2968" t="str">
        <f t="shared" si="307"/>
        <v>o</v>
      </c>
      <c r="AE2968" t="str">
        <f t="shared" si="311"/>
        <v/>
      </c>
      <c r="AF2968" t="str">
        <f t="shared" si="309"/>
        <v/>
      </c>
      <c r="AG2968" t="str">
        <f t="shared" si="310"/>
        <v/>
      </c>
      <c r="AN2968" t="str">
        <f t="shared" si="306"/>
        <v>Defensive</v>
      </c>
    </row>
    <row r="2969" spans="2:40" x14ac:dyDescent="0.2">
      <c r="B2969" t="str">
        <f t="shared" si="305"/>
        <v/>
      </c>
      <c r="U2969" s="8">
        <f t="shared" si="308"/>
        <v>2</v>
      </c>
      <c r="AD2969" t="str">
        <f t="shared" si="307"/>
        <v>o</v>
      </c>
      <c r="AE2969" t="str">
        <f t="shared" si="311"/>
        <v/>
      </c>
      <c r="AF2969" t="str">
        <f t="shared" si="309"/>
        <v/>
      </c>
      <c r="AG2969" t="str">
        <f t="shared" si="310"/>
        <v/>
      </c>
      <c r="AN2969" t="str">
        <f t="shared" si="306"/>
        <v>Defensive</v>
      </c>
    </row>
    <row r="2970" spans="2:40" x14ac:dyDescent="0.2">
      <c r="B2970" t="str">
        <f t="shared" si="305"/>
        <v/>
      </c>
      <c r="U2970" s="8">
        <f t="shared" si="308"/>
        <v>2</v>
      </c>
      <c r="AD2970" t="str">
        <f t="shared" si="307"/>
        <v>o</v>
      </c>
      <c r="AE2970" t="str">
        <f t="shared" si="311"/>
        <v/>
      </c>
      <c r="AF2970" t="str">
        <f t="shared" si="309"/>
        <v/>
      </c>
      <c r="AG2970" t="str">
        <f t="shared" si="310"/>
        <v/>
      </c>
      <c r="AN2970" t="str">
        <f t="shared" si="306"/>
        <v>Defensive</v>
      </c>
    </row>
    <row r="2971" spans="2:40" x14ac:dyDescent="0.2">
      <c r="B2971" t="str">
        <f t="shared" si="305"/>
        <v/>
      </c>
      <c r="U2971" s="8">
        <f t="shared" si="308"/>
        <v>2</v>
      </c>
      <c r="AD2971" t="str">
        <f t="shared" si="307"/>
        <v>o</v>
      </c>
      <c r="AE2971" t="str">
        <f t="shared" si="311"/>
        <v/>
      </c>
      <c r="AF2971" t="str">
        <f t="shared" si="309"/>
        <v/>
      </c>
      <c r="AG2971" t="str">
        <f t="shared" si="310"/>
        <v/>
      </c>
      <c r="AN2971" t="str">
        <f t="shared" si="306"/>
        <v>Defensive</v>
      </c>
    </row>
    <row r="2972" spans="2:40" x14ac:dyDescent="0.2">
      <c r="B2972" t="str">
        <f t="shared" si="305"/>
        <v/>
      </c>
      <c r="U2972" s="8">
        <f t="shared" si="308"/>
        <v>2</v>
      </c>
      <c r="AD2972" t="str">
        <f t="shared" si="307"/>
        <v>o</v>
      </c>
      <c r="AE2972" t="str">
        <f t="shared" si="311"/>
        <v/>
      </c>
      <c r="AF2972" t="str">
        <f t="shared" si="309"/>
        <v/>
      </c>
      <c r="AG2972" t="str">
        <f t="shared" si="310"/>
        <v/>
      </c>
      <c r="AN2972" t="str">
        <f t="shared" si="306"/>
        <v>Defensive</v>
      </c>
    </row>
    <row r="2973" spans="2:40" x14ac:dyDescent="0.2">
      <c r="B2973" t="str">
        <f t="shared" si="305"/>
        <v/>
      </c>
      <c r="U2973" s="8">
        <f t="shared" si="308"/>
        <v>2</v>
      </c>
      <c r="AD2973" t="str">
        <f t="shared" si="307"/>
        <v>o</v>
      </c>
      <c r="AE2973" t="str">
        <f t="shared" si="311"/>
        <v/>
      </c>
      <c r="AF2973" t="str">
        <f t="shared" si="309"/>
        <v/>
      </c>
      <c r="AG2973" t="str">
        <f t="shared" si="310"/>
        <v/>
      </c>
      <c r="AN2973" t="str">
        <f t="shared" si="306"/>
        <v>Defensive</v>
      </c>
    </row>
    <row r="2974" spans="2:40" x14ac:dyDescent="0.2">
      <c r="B2974" t="str">
        <f t="shared" si="305"/>
        <v/>
      </c>
      <c r="U2974" s="8">
        <f t="shared" si="308"/>
        <v>2</v>
      </c>
      <c r="AD2974" t="str">
        <f t="shared" si="307"/>
        <v>o</v>
      </c>
      <c r="AE2974" t="str">
        <f t="shared" si="311"/>
        <v/>
      </c>
      <c r="AF2974" t="str">
        <f t="shared" si="309"/>
        <v/>
      </c>
      <c r="AG2974" t="str">
        <f t="shared" si="310"/>
        <v/>
      </c>
      <c r="AN2974" t="str">
        <f t="shared" si="306"/>
        <v>Defensive</v>
      </c>
    </row>
    <row r="2975" spans="2:40" x14ac:dyDescent="0.2">
      <c r="B2975" t="str">
        <f t="shared" si="305"/>
        <v/>
      </c>
      <c r="U2975" s="8">
        <f t="shared" si="308"/>
        <v>2</v>
      </c>
      <c r="AD2975" t="str">
        <f t="shared" si="307"/>
        <v>o</v>
      </c>
      <c r="AE2975" t="str">
        <f t="shared" si="311"/>
        <v/>
      </c>
      <c r="AF2975" t="str">
        <f t="shared" si="309"/>
        <v/>
      </c>
      <c r="AG2975" t="str">
        <f t="shared" si="310"/>
        <v/>
      </c>
      <c r="AN2975" t="str">
        <f t="shared" si="306"/>
        <v>Defensive</v>
      </c>
    </row>
    <row r="2976" spans="2:40" x14ac:dyDescent="0.2">
      <c r="B2976" t="str">
        <f t="shared" si="305"/>
        <v/>
      </c>
      <c r="U2976" s="8">
        <f t="shared" si="308"/>
        <v>2</v>
      </c>
      <c r="AD2976" t="str">
        <f t="shared" si="307"/>
        <v>o</v>
      </c>
      <c r="AE2976" t="str">
        <f t="shared" si="311"/>
        <v/>
      </c>
      <c r="AF2976" t="str">
        <f t="shared" si="309"/>
        <v/>
      </c>
      <c r="AG2976" t="str">
        <f t="shared" si="310"/>
        <v/>
      </c>
      <c r="AN2976" t="str">
        <f t="shared" si="306"/>
        <v>Defensive</v>
      </c>
    </row>
    <row r="2977" spans="2:40" x14ac:dyDescent="0.2">
      <c r="B2977" t="str">
        <f t="shared" si="305"/>
        <v/>
      </c>
      <c r="U2977" s="8">
        <f t="shared" si="308"/>
        <v>2</v>
      </c>
      <c r="AD2977" t="str">
        <f t="shared" si="307"/>
        <v>o</v>
      </c>
      <c r="AE2977" t="str">
        <f t="shared" si="311"/>
        <v/>
      </c>
      <c r="AF2977" t="str">
        <f t="shared" si="309"/>
        <v/>
      </c>
      <c r="AG2977" t="str">
        <f t="shared" si="310"/>
        <v/>
      </c>
      <c r="AN2977" t="str">
        <f t="shared" si="306"/>
        <v>Defensive</v>
      </c>
    </row>
    <row r="2978" spans="2:40" x14ac:dyDescent="0.2">
      <c r="B2978" t="str">
        <f t="shared" si="305"/>
        <v/>
      </c>
      <c r="U2978" s="8">
        <f t="shared" si="308"/>
        <v>2</v>
      </c>
      <c r="AD2978" t="str">
        <f t="shared" si="307"/>
        <v>o</v>
      </c>
      <c r="AE2978" t="str">
        <f t="shared" si="311"/>
        <v/>
      </c>
      <c r="AF2978" t="str">
        <f t="shared" si="309"/>
        <v/>
      </c>
      <c r="AG2978" t="str">
        <f t="shared" si="310"/>
        <v/>
      </c>
      <c r="AN2978" t="str">
        <f t="shared" si="306"/>
        <v>Defensive</v>
      </c>
    </row>
    <row r="2979" spans="2:40" x14ac:dyDescent="0.2">
      <c r="B2979" t="str">
        <f t="shared" si="305"/>
        <v/>
      </c>
      <c r="U2979" s="8">
        <f t="shared" si="308"/>
        <v>2</v>
      </c>
      <c r="AD2979" t="str">
        <f t="shared" si="307"/>
        <v>o</v>
      </c>
      <c r="AE2979" t="str">
        <f t="shared" si="311"/>
        <v/>
      </c>
      <c r="AF2979" t="str">
        <f t="shared" si="309"/>
        <v/>
      </c>
      <c r="AG2979" t="str">
        <f t="shared" si="310"/>
        <v/>
      </c>
      <c r="AN2979" t="str">
        <f t="shared" si="306"/>
        <v>Defensive</v>
      </c>
    </row>
    <row r="2980" spans="2:40" x14ac:dyDescent="0.2">
      <c r="B2980" t="str">
        <f t="shared" si="305"/>
        <v/>
      </c>
      <c r="U2980" s="8">
        <f t="shared" si="308"/>
        <v>2</v>
      </c>
      <c r="AD2980" t="str">
        <f t="shared" si="307"/>
        <v>o</v>
      </c>
      <c r="AE2980" t="str">
        <f t="shared" si="311"/>
        <v/>
      </c>
      <c r="AF2980" t="str">
        <f t="shared" si="309"/>
        <v/>
      </c>
      <c r="AG2980" t="str">
        <f t="shared" si="310"/>
        <v/>
      </c>
      <c r="AN2980" t="str">
        <f t="shared" si="306"/>
        <v>Defensive</v>
      </c>
    </row>
    <row r="2981" spans="2:40" x14ac:dyDescent="0.2">
      <c r="B2981" t="str">
        <f t="shared" si="305"/>
        <v/>
      </c>
      <c r="U2981" s="8">
        <f t="shared" si="308"/>
        <v>2</v>
      </c>
      <c r="AD2981" t="str">
        <f t="shared" si="307"/>
        <v>o</v>
      </c>
      <c r="AE2981" t="str">
        <f t="shared" si="311"/>
        <v/>
      </c>
      <c r="AF2981" t="str">
        <f t="shared" si="309"/>
        <v/>
      </c>
      <c r="AG2981" t="str">
        <f t="shared" si="310"/>
        <v/>
      </c>
      <c r="AN2981" t="str">
        <f t="shared" si="306"/>
        <v>Defensive</v>
      </c>
    </row>
    <row r="2982" spans="2:40" x14ac:dyDescent="0.2">
      <c r="B2982" t="str">
        <f t="shared" si="305"/>
        <v/>
      </c>
      <c r="U2982" s="8">
        <f t="shared" si="308"/>
        <v>2</v>
      </c>
      <c r="AD2982" t="str">
        <f t="shared" si="307"/>
        <v>o</v>
      </c>
      <c r="AE2982" t="str">
        <f t="shared" si="311"/>
        <v/>
      </c>
      <c r="AF2982" t="str">
        <f t="shared" si="309"/>
        <v/>
      </c>
      <c r="AG2982" t="str">
        <f t="shared" si="310"/>
        <v/>
      </c>
      <c r="AN2982" t="str">
        <f t="shared" si="306"/>
        <v>Defensive</v>
      </c>
    </row>
    <row r="2983" spans="2:40" x14ac:dyDescent="0.2">
      <c r="B2983" t="str">
        <f t="shared" si="305"/>
        <v/>
      </c>
      <c r="U2983" s="8">
        <f t="shared" si="308"/>
        <v>2</v>
      </c>
      <c r="AD2983" t="str">
        <f t="shared" si="307"/>
        <v>o</v>
      </c>
      <c r="AE2983" t="str">
        <f t="shared" si="311"/>
        <v/>
      </c>
      <c r="AF2983" t="str">
        <f t="shared" si="309"/>
        <v/>
      </c>
      <c r="AG2983" t="str">
        <f t="shared" si="310"/>
        <v/>
      </c>
      <c r="AN2983" t="str">
        <f t="shared" si="306"/>
        <v>Defensive</v>
      </c>
    </row>
    <row r="2984" spans="2:40" x14ac:dyDescent="0.2">
      <c r="B2984" t="str">
        <f t="shared" si="305"/>
        <v/>
      </c>
      <c r="U2984" s="8">
        <f t="shared" si="308"/>
        <v>2</v>
      </c>
      <c r="AD2984" t="str">
        <f t="shared" si="307"/>
        <v>o</v>
      </c>
      <c r="AE2984" t="str">
        <f t="shared" si="311"/>
        <v/>
      </c>
      <c r="AF2984" t="str">
        <f t="shared" si="309"/>
        <v/>
      </c>
      <c r="AG2984" t="str">
        <f t="shared" si="310"/>
        <v/>
      </c>
      <c r="AN2984" t="str">
        <f t="shared" si="306"/>
        <v>Defensive</v>
      </c>
    </row>
    <row r="2985" spans="2:40" x14ac:dyDescent="0.2">
      <c r="B2985" t="str">
        <f t="shared" si="305"/>
        <v/>
      </c>
      <c r="U2985" s="8">
        <f t="shared" si="308"/>
        <v>2</v>
      </c>
      <c r="AD2985" t="str">
        <f t="shared" si="307"/>
        <v>o</v>
      </c>
      <c r="AE2985" t="str">
        <f t="shared" si="311"/>
        <v/>
      </c>
      <c r="AF2985" t="str">
        <f t="shared" si="309"/>
        <v/>
      </c>
      <c r="AG2985" t="str">
        <f t="shared" si="310"/>
        <v/>
      </c>
      <c r="AN2985" t="str">
        <f t="shared" si="306"/>
        <v>Defensive</v>
      </c>
    </row>
    <row r="2986" spans="2:40" x14ac:dyDescent="0.2">
      <c r="B2986" t="str">
        <f t="shared" si="305"/>
        <v/>
      </c>
      <c r="U2986" s="8">
        <f t="shared" si="308"/>
        <v>2</v>
      </c>
      <c r="AD2986" t="str">
        <f t="shared" si="307"/>
        <v>o</v>
      </c>
      <c r="AE2986" t="str">
        <f t="shared" si="311"/>
        <v/>
      </c>
      <c r="AF2986" t="str">
        <f t="shared" si="309"/>
        <v/>
      </c>
      <c r="AG2986" t="str">
        <f t="shared" si="310"/>
        <v/>
      </c>
      <c r="AN2986" t="str">
        <f t="shared" si="306"/>
        <v>Defensive</v>
      </c>
    </row>
    <row r="2987" spans="2:40" x14ac:dyDescent="0.2">
      <c r="B2987" t="str">
        <f t="shared" si="305"/>
        <v/>
      </c>
      <c r="U2987" s="8">
        <f t="shared" si="308"/>
        <v>2</v>
      </c>
      <c r="AD2987" t="str">
        <f t="shared" si="307"/>
        <v>o</v>
      </c>
      <c r="AE2987" t="str">
        <f t="shared" si="311"/>
        <v/>
      </c>
      <c r="AF2987" t="str">
        <f t="shared" si="309"/>
        <v/>
      </c>
      <c r="AG2987" t="str">
        <f t="shared" si="310"/>
        <v/>
      </c>
      <c r="AN2987" t="str">
        <f t="shared" si="306"/>
        <v>Defensive</v>
      </c>
    </row>
    <row r="2988" spans="2:40" x14ac:dyDescent="0.2">
      <c r="B2988" t="str">
        <f t="shared" si="305"/>
        <v/>
      </c>
      <c r="U2988" s="8">
        <f t="shared" si="308"/>
        <v>2</v>
      </c>
      <c r="AD2988" t="str">
        <f t="shared" si="307"/>
        <v>o</v>
      </c>
      <c r="AE2988" t="str">
        <f t="shared" si="311"/>
        <v/>
      </c>
      <c r="AF2988" t="str">
        <f t="shared" si="309"/>
        <v/>
      </c>
      <c r="AG2988" t="str">
        <f t="shared" si="310"/>
        <v/>
      </c>
      <c r="AN2988" t="str">
        <f t="shared" si="306"/>
        <v>Defensive</v>
      </c>
    </row>
    <row r="2989" spans="2:40" x14ac:dyDescent="0.2">
      <c r="B2989" t="str">
        <f t="shared" si="305"/>
        <v/>
      </c>
      <c r="U2989" s="8">
        <f t="shared" si="308"/>
        <v>2</v>
      </c>
      <c r="AD2989" t="str">
        <f t="shared" si="307"/>
        <v>o</v>
      </c>
      <c r="AE2989" t="str">
        <f t="shared" si="311"/>
        <v/>
      </c>
      <c r="AF2989" t="str">
        <f t="shared" si="309"/>
        <v/>
      </c>
      <c r="AG2989" t="str">
        <f t="shared" si="310"/>
        <v/>
      </c>
      <c r="AN2989" t="str">
        <f t="shared" si="306"/>
        <v>Defensive</v>
      </c>
    </row>
    <row r="2990" spans="2:40" x14ac:dyDescent="0.2">
      <c r="B2990" t="str">
        <f t="shared" si="305"/>
        <v/>
      </c>
      <c r="U2990" s="8">
        <f t="shared" si="308"/>
        <v>2</v>
      </c>
      <c r="AD2990" t="str">
        <f t="shared" si="307"/>
        <v>o</v>
      </c>
      <c r="AE2990" t="str">
        <f t="shared" si="311"/>
        <v/>
      </c>
      <c r="AF2990" t="str">
        <f t="shared" si="309"/>
        <v/>
      </c>
      <c r="AG2990" t="str">
        <f t="shared" si="310"/>
        <v/>
      </c>
      <c r="AN2990" t="str">
        <f t="shared" si="306"/>
        <v>Defensive</v>
      </c>
    </row>
    <row r="2991" spans="2:40" x14ac:dyDescent="0.2">
      <c r="B2991" t="str">
        <f t="shared" si="305"/>
        <v/>
      </c>
      <c r="U2991" s="8">
        <f t="shared" si="308"/>
        <v>2</v>
      </c>
      <c r="AD2991" t="str">
        <f t="shared" si="307"/>
        <v>o</v>
      </c>
      <c r="AE2991" t="str">
        <f t="shared" si="311"/>
        <v/>
      </c>
      <c r="AF2991" t="str">
        <f t="shared" si="309"/>
        <v/>
      </c>
      <c r="AG2991" t="str">
        <f t="shared" si="310"/>
        <v/>
      </c>
      <c r="AN2991" t="str">
        <f t="shared" si="306"/>
        <v>Defensive</v>
      </c>
    </row>
    <row r="2992" spans="2:40" x14ac:dyDescent="0.2">
      <c r="B2992" t="str">
        <f t="shared" ref="B2992:B3055" si="312">IF(A2992=A2991,B2991,"")</f>
        <v/>
      </c>
      <c r="U2992" s="8">
        <f t="shared" si="308"/>
        <v>2</v>
      </c>
      <c r="AD2992" t="str">
        <f t="shared" si="307"/>
        <v>o</v>
      </c>
      <c r="AE2992" t="str">
        <f t="shared" si="311"/>
        <v/>
      </c>
      <c r="AF2992" t="str">
        <f t="shared" si="309"/>
        <v/>
      </c>
      <c r="AG2992" t="str">
        <f t="shared" si="310"/>
        <v/>
      </c>
      <c r="AN2992" t="str">
        <f t="shared" si="306"/>
        <v>Defensive</v>
      </c>
    </row>
    <row r="2993" spans="2:40" x14ac:dyDescent="0.2">
      <c r="B2993" t="str">
        <f t="shared" si="312"/>
        <v/>
      </c>
      <c r="U2993" s="8">
        <f t="shared" si="308"/>
        <v>2</v>
      </c>
      <c r="AD2993" t="str">
        <f t="shared" si="307"/>
        <v>o</v>
      </c>
      <c r="AE2993" t="str">
        <f t="shared" si="311"/>
        <v/>
      </c>
      <c r="AF2993" t="str">
        <f t="shared" si="309"/>
        <v/>
      </c>
      <c r="AG2993" t="str">
        <f t="shared" si="310"/>
        <v/>
      </c>
      <c r="AN2993" t="str">
        <f t="shared" si="306"/>
        <v>Defensive</v>
      </c>
    </row>
    <row r="2994" spans="2:40" x14ac:dyDescent="0.2">
      <c r="B2994" t="str">
        <f t="shared" si="312"/>
        <v/>
      </c>
      <c r="U2994" s="8">
        <f t="shared" si="308"/>
        <v>2</v>
      </c>
      <c r="AD2994" t="str">
        <f t="shared" si="307"/>
        <v>o</v>
      </c>
      <c r="AE2994" t="str">
        <f t="shared" si="311"/>
        <v/>
      </c>
      <c r="AF2994" t="str">
        <f t="shared" si="309"/>
        <v/>
      </c>
      <c r="AG2994" t="str">
        <f t="shared" si="310"/>
        <v/>
      </c>
      <c r="AN2994" t="str">
        <f t="shared" si="306"/>
        <v>Defensive</v>
      </c>
    </row>
    <row r="2995" spans="2:40" x14ac:dyDescent="0.2">
      <c r="B2995" t="str">
        <f t="shared" si="312"/>
        <v/>
      </c>
      <c r="U2995" s="8">
        <f t="shared" si="308"/>
        <v>2</v>
      </c>
      <c r="AD2995" t="str">
        <f t="shared" si="307"/>
        <v>o</v>
      </c>
      <c r="AE2995" t="str">
        <f t="shared" si="311"/>
        <v/>
      </c>
      <c r="AF2995" t="str">
        <f t="shared" si="309"/>
        <v/>
      </c>
      <c r="AG2995" t="str">
        <f t="shared" si="310"/>
        <v/>
      </c>
      <c r="AN2995" t="str">
        <f t="shared" si="306"/>
        <v>Defensive</v>
      </c>
    </row>
    <row r="2996" spans="2:40" x14ac:dyDescent="0.2">
      <c r="B2996" t="str">
        <f t="shared" si="312"/>
        <v/>
      </c>
      <c r="U2996" s="8">
        <f t="shared" si="308"/>
        <v>2</v>
      </c>
      <c r="AD2996" t="str">
        <f t="shared" si="307"/>
        <v>o</v>
      </c>
      <c r="AE2996" t="str">
        <f t="shared" si="311"/>
        <v/>
      </c>
      <c r="AF2996" t="str">
        <f t="shared" si="309"/>
        <v/>
      </c>
      <c r="AG2996" t="str">
        <f t="shared" si="310"/>
        <v/>
      </c>
      <c r="AN2996" t="str">
        <f t="shared" si="306"/>
        <v>Defensive</v>
      </c>
    </row>
    <row r="2997" spans="2:40" x14ac:dyDescent="0.2">
      <c r="B2997" t="str">
        <f t="shared" si="312"/>
        <v/>
      </c>
      <c r="U2997" s="8">
        <f t="shared" si="308"/>
        <v>2</v>
      </c>
      <c r="AD2997" t="str">
        <f t="shared" si="307"/>
        <v>o</v>
      </c>
      <c r="AE2997" t="str">
        <f t="shared" si="311"/>
        <v/>
      </c>
      <c r="AF2997" t="str">
        <f t="shared" si="309"/>
        <v/>
      </c>
      <c r="AG2997" t="str">
        <f t="shared" si="310"/>
        <v/>
      </c>
      <c r="AN2997" t="str">
        <f t="shared" si="306"/>
        <v>Defensive</v>
      </c>
    </row>
    <row r="2998" spans="2:40" x14ac:dyDescent="0.2">
      <c r="B2998" t="str">
        <f t="shared" si="312"/>
        <v/>
      </c>
      <c r="U2998" s="8">
        <f t="shared" si="308"/>
        <v>2</v>
      </c>
      <c r="AD2998" t="str">
        <f t="shared" si="307"/>
        <v>o</v>
      </c>
      <c r="AE2998" t="str">
        <f t="shared" si="311"/>
        <v/>
      </c>
      <c r="AF2998" t="str">
        <f t="shared" si="309"/>
        <v/>
      </c>
      <c r="AG2998" t="str">
        <f t="shared" si="310"/>
        <v/>
      </c>
      <c r="AN2998" t="str">
        <f t="shared" si="306"/>
        <v>Defensive</v>
      </c>
    </row>
    <row r="2999" spans="2:40" x14ac:dyDescent="0.2">
      <c r="B2999" t="str">
        <f t="shared" si="312"/>
        <v/>
      </c>
      <c r="U2999" s="8">
        <f t="shared" si="308"/>
        <v>2</v>
      </c>
      <c r="AD2999" t="str">
        <f t="shared" si="307"/>
        <v>o</v>
      </c>
      <c r="AE2999" t="str">
        <f t="shared" si="311"/>
        <v/>
      </c>
      <c r="AF2999" t="str">
        <f t="shared" si="309"/>
        <v/>
      </c>
      <c r="AG2999" t="str">
        <f t="shared" si="310"/>
        <v/>
      </c>
      <c r="AN2999" t="str">
        <f t="shared" si="306"/>
        <v>Defensive</v>
      </c>
    </row>
    <row r="3000" spans="2:40" x14ac:dyDescent="0.2">
      <c r="B3000" t="str">
        <f t="shared" si="312"/>
        <v/>
      </c>
      <c r="U3000" s="8">
        <f t="shared" si="308"/>
        <v>2</v>
      </c>
      <c r="AD3000" t="str">
        <f t="shared" si="307"/>
        <v>o</v>
      </c>
      <c r="AE3000" t="str">
        <f t="shared" si="311"/>
        <v/>
      </c>
      <c r="AF3000" t="str">
        <f t="shared" si="309"/>
        <v/>
      </c>
      <c r="AG3000" t="str">
        <f t="shared" si="310"/>
        <v/>
      </c>
      <c r="AN3000" t="str">
        <f t="shared" si="306"/>
        <v>Defensive</v>
      </c>
    </row>
    <row r="3001" spans="2:40" x14ac:dyDescent="0.2">
      <c r="B3001" t="str">
        <f t="shared" si="312"/>
        <v/>
      </c>
      <c r="U3001" s="8">
        <f t="shared" si="308"/>
        <v>2</v>
      </c>
      <c r="AD3001" t="str">
        <f t="shared" si="307"/>
        <v>o</v>
      </c>
      <c r="AE3001" t="str">
        <f t="shared" si="311"/>
        <v/>
      </c>
      <c r="AF3001" t="str">
        <f t="shared" si="309"/>
        <v/>
      </c>
      <c r="AG3001" t="str">
        <f t="shared" si="310"/>
        <v/>
      </c>
      <c r="AN3001" t="str">
        <f t="shared" ref="AN3001:AN3064" si="313">IF(AND(AD3001="e",OR(AE3001="Save",AF3001="Turnover_Takeaway",AF3001="Play_Defensive")),"Defensive",IF(AND(AD3001="o",OR(AE3001="Save",AF3001="Turnover_Takeaway",AF3001="Play_Defensive")),"Offensive",IF(OR(AE3001="Deadice",AE3001="Stoppage",AE3001="Intermission"),"",IF(AD3001="e","Offensive",IF(AD3001="o","Defensive","")))))</f>
        <v>Defensive</v>
      </c>
    </row>
    <row r="3002" spans="2:40" x14ac:dyDescent="0.2">
      <c r="B3002" t="str">
        <f t="shared" si="312"/>
        <v/>
      </c>
      <c r="U3002" s="8">
        <f t="shared" si="308"/>
        <v>2</v>
      </c>
      <c r="AD3002" t="str">
        <f t="shared" si="307"/>
        <v>o</v>
      </c>
      <c r="AE3002" t="str">
        <f t="shared" si="311"/>
        <v/>
      </c>
      <c r="AF3002" t="str">
        <f t="shared" si="309"/>
        <v/>
      </c>
      <c r="AG3002" t="str">
        <f t="shared" si="310"/>
        <v/>
      </c>
      <c r="AN3002" t="str">
        <f t="shared" si="313"/>
        <v>Defensive</v>
      </c>
    </row>
    <row r="3003" spans="2:40" x14ac:dyDescent="0.2">
      <c r="B3003" t="str">
        <f t="shared" si="312"/>
        <v/>
      </c>
      <c r="U3003" s="8">
        <f t="shared" si="308"/>
        <v>2</v>
      </c>
      <c r="AD3003" t="str">
        <f t="shared" si="307"/>
        <v>o</v>
      </c>
      <c r="AE3003" t="str">
        <f t="shared" si="311"/>
        <v/>
      </c>
      <c r="AF3003" t="str">
        <f t="shared" si="309"/>
        <v/>
      </c>
      <c r="AG3003" t="str">
        <f t="shared" si="310"/>
        <v/>
      </c>
      <c r="AN3003" t="str">
        <f t="shared" si="313"/>
        <v>Defensive</v>
      </c>
    </row>
    <row r="3004" spans="2:40" x14ac:dyDescent="0.2">
      <c r="B3004" t="str">
        <f t="shared" si="312"/>
        <v/>
      </c>
      <c r="U3004" s="8">
        <f t="shared" si="308"/>
        <v>2</v>
      </c>
      <c r="AD3004" t="str">
        <f t="shared" si="307"/>
        <v>o</v>
      </c>
      <c r="AE3004" t="str">
        <f t="shared" si="311"/>
        <v/>
      </c>
      <c r="AF3004" t="str">
        <f t="shared" si="309"/>
        <v/>
      </c>
      <c r="AG3004" t="str">
        <f t="shared" si="310"/>
        <v/>
      </c>
      <c r="AN3004" t="str">
        <f t="shared" si="313"/>
        <v>Defensive</v>
      </c>
    </row>
    <row r="3005" spans="2:40" x14ac:dyDescent="0.2">
      <c r="B3005" t="str">
        <f t="shared" si="312"/>
        <v/>
      </c>
      <c r="U3005" s="8">
        <f t="shared" si="308"/>
        <v>2</v>
      </c>
      <c r="AD3005" t="str">
        <f t="shared" si="307"/>
        <v>o</v>
      </c>
      <c r="AE3005" t="str">
        <f t="shared" si="311"/>
        <v/>
      </c>
      <c r="AF3005" t="str">
        <f t="shared" si="309"/>
        <v/>
      </c>
      <c r="AG3005" t="str">
        <f t="shared" si="310"/>
        <v/>
      </c>
      <c r="AN3005" t="str">
        <f t="shared" si="313"/>
        <v>Defensive</v>
      </c>
    </row>
    <row r="3006" spans="2:40" x14ac:dyDescent="0.2">
      <c r="B3006" t="str">
        <f t="shared" si="312"/>
        <v/>
      </c>
      <c r="U3006" s="8">
        <f t="shared" si="308"/>
        <v>2</v>
      </c>
      <c r="AD3006" t="str">
        <f t="shared" si="307"/>
        <v>o</v>
      </c>
      <c r="AE3006" t="str">
        <f t="shared" si="311"/>
        <v/>
      </c>
      <c r="AF3006" t="str">
        <f t="shared" si="309"/>
        <v/>
      </c>
      <c r="AG3006" t="str">
        <f t="shared" si="310"/>
        <v/>
      </c>
      <c r="AN3006" t="str">
        <f t="shared" si="313"/>
        <v>Defensive</v>
      </c>
    </row>
    <row r="3007" spans="2:40" x14ac:dyDescent="0.2">
      <c r="B3007" t="str">
        <f t="shared" si="312"/>
        <v/>
      </c>
      <c r="U3007" s="8">
        <f t="shared" si="308"/>
        <v>2</v>
      </c>
      <c r="AD3007" t="str">
        <f t="shared" si="307"/>
        <v>o</v>
      </c>
      <c r="AE3007" t="str">
        <f t="shared" si="311"/>
        <v/>
      </c>
      <c r="AF3007" t="str">
        <f t="shared" si="309"/>
        <v/>
      </c>
      <c r="AG3007" t="str">
        <f t="shared" si="310"/>
        <v/>
      </c>
      <c r="AN3007" t="str">
        <f t="shared" si="313"/>
        <v>Defensive</v>
      </c>
    </row>
    <row r="3008" spans="2:40" x14ac:dyDescent="0.2">
      <c r="B3008" t="str">
        <f t="shared" si="312"/>
        <v/>
      </c>
      <c r="U3008" s="8">
        <f t="shared" si="308"/>
        <v>2</v>
      </c>
      <c r="AD3008" t="str">
        <f t="shared" si="307"/>
        <v>o</v>
      </c>
      <c r="AE3008" t="str">
        <f t="shared" si="311"/>
        <v/>
      </c>
      <c r="AF3008" t="str">
        <f t="shared" si="309"/>
        <v/>
      </c>
      <c r="AG3008" t="str">
        <f t="shared" si="310"/>
        <v/>
      </c>
      <c r="AN3008" t="str">
        <f t="shared" si="313"/>
        <v>Defensive</v>
      </c>
    </row>
    <row r="3009" spans="2:40" x14ac:dyDescent="0.2">
      <c r="B3009" t="str">
        <f t="shared" si="312"/>
        <v/>
      </c>
      <c r="U3009" s="8">
        <f t="shared" si="308"/>
        <v>2</v>
      </c>
      <c r="AD3009" t="str">
        <f t="shared" si="307"/>
        <v>o</v>
      </c>
      <c r="AE3009" t="str">
        <f t="shared" si="311"/>
        <v/>
      </c>
      <c r="AF3009" t="str">
        <f t="shared" si="309"/>
        <v/>
      </c>
      <c r="AG3009" t="str">
        <f t="shared" si="310"/>
        <v/>
      </c>
      <c r="AN3009" t="str">
        <f t="shared" si="313"/>
        <v>Defensive</v>
      </c>
    </row>
    <row r="3010" spans="2:40" x14ac:dyDescent="0.2">
      <c r="B3010" t="str">
        <f t="shared" si="312"/>
        <v/>
      </c>
      <c r="U3010" s="8">
        <f t="shared" si="308"/>
        <v>2</v>
      </c>
      <c r="AD3010" t="str">
        <f t="shared" ref="AD3010:AD3073" si="314">IF(K3010="x","",IF(K3010=1,"e","o"))</f>
        <v>o</v>
      </c>
      <c r="AE3010" t="str">
        <f t="shared" si="311"/>
        <v/>
      </c>
      <c r="AF3010" t="str">
        <f t="shared" si="309"/>
        <v/>
      </c>
      <c r="AG3010" t="str">
        <f t="shared" si="310"/>
        <v/>
      </c>
      <c r="AN3010" t="str">
        <f t="shared" si="313"/>
        <v>Defensive</v>
      </c>
    </row>
    <row r="3011" spans="2:40" x14ac:dyDescent="0.2">
      <c r="B3011" t="str">
        <f t="shared" si="312"/>
        <v/>
      </c>
      <c r="U3011" s="8">
        <f t="shared" ref="U3011:U3074" si="315">IF(M3011="Intermission",U3010+1,U3010)</f>
        <v>2</v>
      </c>
      <c r="AD3011" t="str">
        <f t="shared" si="314"/>
        <v>o</v>
      </c>
      <c r="AE3011" t="str">
        <f t="shared" si="311"/>
        <v/>
      </c>
      <c r="AF3011" t="str">
        <f t="shared" ref="AF3011:AF3074" si="316">IF(N3011&lt;&gt;"",N3011,IF($A3011=$A3010,AF3010,""))</f>
        <v/>
      </c>
      <c r="AG3011" t="str">
        <f t="shared" ref="AG3011:AG3074" si="317">IF(O3011&lt;&gt;"",O3011,IF($A3011=$A3010,AG3010,""))</f>
        <v/>
      </c>
      <c r="AN3011" t="str">
        <f t="shared" si="313"/>
        <v>Defensive</v>
      </c>
    </row>
    <row r="3012" spans="2:40" x14ac:dyDescent="0.2">
      <c r="B3012" t="str">
        <f t="shared" si="312"/>
        <v/>
      </c>
      <c r="U3012" s="8">
        <f t="shared" si="315"/>
        <v>2</v>
      </c>
      <c r="AD3012" t="str">
        <f t="shared" si="314"/>
        <v>o</v>
      </c>
      <c r="AE3012" t="str">
        <f t="shared" ref="AE3012:AE3075" si="318">IF(M3012&lt;&gt;"",M3012,IF($A3012=$A3011,AE3011,""))</f>
        <v/>
      </c>
      <c r="AF3012" t="str">
        <f t="shared" si="316"/>
        <v/>
      </c>
      <c r="AG3012" t="str">
        <f t="shared" si="317"/>
        <v/>
      </c>
      <c r="AN3012" t="str">
        <f t="shared" si="313"/>
        <v>Defensive</v>
      </c>
    </row>
    <row r="3013" spans="2:40" x14ac:dyDescent="0.2">
      <c r="B3013" t="str">
        <f t="shared" si="312"/>
        <v/>
      </c>
      <c r="U3013" s="8">
        <f t="shared" si="315"/>
        <v>2</v>
      </c>
      <c r="AD3013" t="str">
        <f t="shared" si="314"/>
        <v>o</v>
      </c>
      <c r="AE3013" t="str">
        <f t="shared" si="318"/>
        <v/>
      </c>
      <c r="AF3013" t="str">
        <f t="shared" si="316"/>
        <v/>
      </c>
      <c r="AG3013" t="str">
        <f t="shared" si="317"/>
        <v/>
      </c>
      <c r="AN3013" t="str">
        <f t="shared" si="313"/>
        <v>Defensive</v>
      </c>
    </row>
    <row r="3014" spans="2:40" x14ac:dyDescent="0.2">
      <c r="B3014" t="str">
        <f t="shared" si="312"/>
        <v/>
      </c>
      <c r="U3014" s="8">
        <f t="shared" si="315"/>
        <v>2</v>
      </c>
      <c r="AD3014" t="str">
        <f t="shared" si="314"/>
        <v>o</v>
      </c>
      <c r="AE3014" t="str">
        <f t="shared" si="318"/>
        <v/>
      </c>
      <c r="AF3014" t="str">
        <f t="shared" si="316"/>
        <v/>
      </c>
      <c r="AG3014" t="str">
        <f t="shared" si="317"/>
        <v/>
      </c>
      <c r="AN3014" t="str">
        <f t="shared" si="313"/>
        <v>Defensive</v>
      </c>
    </row>
    <row r="3015" spans="2:40" x14ac:dyDescent="0.2">
      <c r="B3015" t="str">
        <f t="shared" si="312"/>
        <v/>
      </c>
      <c r="U3015" s="8">
        <f t="shared" si="315"/>
        <v>2</v>
      </c>
      <c r="AD3015" t="str">
        <f t="shared" si="314"/>
        <v>o</v>
      </c>
      <c r="AE3015" t="str">
        <f t="shared" si="318"/>
        <v/>
      </c>
      <c r="AF3015" t="str">
        <f t="shared" si="316"/>
        <v/>
      </c>
      <c r="AG3015" t="str">
        <f t="shared" si="317"/>
        <v/>
      </c>
      <c r="AN3015" t="str">
        <f t="shared" si="313"/>
        <v>Defensive</v>
      </c>
    </row>
    <row r="3016" spans="2:40" x14ac:dyDescent="0.2">
      <c r="B3016" t="str">
        <f t="shared" si="312"/>
        <v/>
      </c>
      <c r="U3016" s="8">
        <f t="shared" si="315"/>
        <v>2</v>
      </c>
      <c r="AD3016" t="str">
        <f t="shared" si="314"/>
        <v>o</v>
      </c>
      <c r="AE3016" t="str">
        <f t="shared" si="318"/>
        <v/>
      </c>
      <c r="AF3016" t="str">
        <f t="shared" si="316"/>
        <v/>
      </c>
      <c r="AG3016" t="str">
        <f t="shared" si="317"/>
        <v/>
      </c>
      <c r="AN3016" t="str">
        <f t="shared" si="313"/>
        <v>Defensive</v>
      </c>
    </row>
    <row r="3017" spans="2:40" x14ac:dyDescent="0.2">
      <c r="B3017" t="str">
        <f t="shared" si="312"/>
        <v/>
      </c>
      <c r="U3017" s="8">
        <f t="shared" si="315"/>
        <v>2</v>
      </c>
      <c r="AD3017" t="str">
        <f t="shared" si="314"/>
        <v>o</v>
      </c>
      <c r="AE3017" t="str">
        <f t="shared" si="318"/>
        <v/>
      </c>
      <c r="AF3017" t="str">
        <f t="shared" si="316"/>
        <v/>
      </c>
      <c r="AG3017" t="str">
        <f t="shared" si="317"/>
        <v/>
      </c>
      <c r="AN3017" t="str">
        <f t="shared" si="313"/>
        <v>Defensive</v>
      </c>
    </row>
    <row r="3018" spans="2:40" x14ac:dyDescent="0.2">
      <c r="B3018" t="str">
        <f t="shared" si="312"/>
        <v/>
      </c>
      <c r="U3018" s="8">
        <f t="shared" si="315"/>
        <v>2</v>
      </c>
      <c r="AD3018" t="str">
        <f t="shared" si="314"/>
        <v>o</v>
      </c>
      <c r="AE3018" t="str">
        <f t="shared" si="318"/>
        <v/>
      </c>
      <c r="AF3018" t="str">
        <f t="shared" si="316"/>
        <v/>
      </c>
      <c r="AG3018" t="str">
        <f t="shared" si="317"/>
        <v/>
      </c>
      <c r="AN3018" t="str">
        <f t="shared" si="313"/>
        <v>Defensive</v>
      </c>
    </row>
    <row r="3019" spans="2:40" x14ac:dyDescent="0.2">
      <c r="B3019" t="str">
        <f t="shared" si="312"/>
        <v/>
      </c>
      <c r="U3019" s="8">
        <f t="shared" si="315"/>
        <v>2</v>
      </c>
      <c r="AD3019" t="str">
        <f t="shared" si="314"/>
        <v>o</v>
      </c>
      <c r="AE3019" t="str">
        <f t="shared" si="318"/>
        <v/>
      </c>
      <c r="AF3019" t="str">
        <f t="shared" si="316"/>
        <v/>
      </c>
      <c r="AG3019" t="str">
        <f t="shared" si="317"/>
        <v/>
      </c>
      <c r="AN3019" t="str">
        <f t="shared" si="313"/>
        <v>Defensive</v>
      </c>
    </row>
    <row r="3020" spans="2:40" x14ac:dyDescent="0.2">
      <c r="B3020" t="str">
        <f t="shared" si="312"/>
        <v/>
      </c>
      <c r="U3020" s="8">
        <f t="shared" si="315"/>
        <v>2</v>
      </c>
      <c r="AD3020" t="str">
        <f t="shared" si="314"/>
        <v>o</v>
      </c>
      <c r="AE3020" t="str">
        <f t="shared" si="318"/>
        <v/>
      </c>
      <c r="AF3020" t="str">
        <f t="shared" si="316"/>
        <v/>
      </c>
      <c r="AG3020" t="str">
        <f t="shared" si="317"/>
        <v/>
      </c>
      <c r="AN3020" t="str">
        <f t="shared" si="313"/>
        <v>Defensive</v>
      </c>
    </row>
    <row r="3021" spans="2:40" x14ac:dyDescent="0.2">
      <c r="B3021" t="str">
        <f t="shared" si="312"/>
        <v/>
      </c>
      <c r="U3021" s="8">
        <f t="shared" si="315"/>
        <v>2</v>
      </c>
      <c r="AD3021" t="str">
        <f t="shared" si="314"/>
        <v>o</v>
      </c>
      <c r="AE3021" t="str">
        <f t="shared" si="318"/>
        <v/>
      </c>
      <c r="AF3021" t="str">
        <f t="shared" si="316"/>
        <v/>
      </c>
      <c r="AG3021" t="str">
        <f t="shared" si="317"/>
        <v/>
      </c>
      <c r="AN3021" t="str">
        <f t="shared" si="313"/>
        <v>Defensive</v>
      </c>
    </row>
    <row r="3022" spans="2:40" x14ac:dyDescent="0.2">
      <c r="B3022" t="str">
        <f t="shared" si="312"/>
        <v/>
      </c>
      <c r="U3022" s="8">
        <f t="shared" si="315"/>
        <v>2</v>
      </c>
      <c r="AD3022" t="str">
        <f t="shared" si="314"/>
        <v>o</v>
      </c>
      <c r="AE3022" t="str">
        <f t="shared" si="318"/>
        <v/>
      </c>
      <c r="AF3022" t="str">
        <f t="shared" si="316"/>
        <v/>
      </c>
      <c r="AG3022" t="str">
        <f t="shared" si="317"/>
        <v/>
      </c>
      <c r="AN3022" t="str">
        <f t="shared" si="313"/>
        <v>Defensive</v>
      </c>
    </row>
    <row r="3023" spans="2:40" x14ac:dyDescent="0.2">
      <c r="B3023" t="str">
        <f t="shared" si="312"/>
        <v/>
      </c>
      <c r="U3023" s="8">
        <f t="shared" si="315"/>
        <v>2</v>
      </c>
      <c r="AD3023" t="str">
        <f t="shared" si="314"/>
        <v>o</v>
      </c>
      <c r="AE3023" t="str">
        <f t="shared" si="318"/>
        <v/>
      </c>
      <c r="AF3023" t="str">
        <f t="shared" si="316"/>
        <v/>
      </c>
      <c r="AG3023" t="str">
        <f t="shared" si="317"/>
        <v/>
      </c>
      <c r="AN3023" t="str">
        <f t="shared" si="313"/>
        <v>Defensive</v>
      </c>
    </row>
    <row r="3024" spans="2:40" x14ac:dyDescent="0.2">
      <c r="B3024" t="str">
        <f t="shared" si="312"/>
        <v/>
      </c>
      <c r="U3024" s="8">
        <f t="shared" si="315"/>
        <v>2</v>
      </c>
      <c r="AD3024" t="str">
        <f t="shared" si="314"/>
        <v>o</v>
      </c>
      <c r="AE3024" t="str">
        <f t="shared" si="318"/>
        <v/>
      </c>
      <c r="AF3024" t="str">
        <f t="shared" si="316"/>
        <v/>
      </c>
      <c r="AG3024" t="str">
        <f t="shared" si="317"/>
        <v/>
      </c>
      <c r="AN3024" t="str">
        <f t="shared" si="313"/>
        <v>Defensive</v>
      </c>
    </row>
    <row r="3025" spans="2:40" x14ac:dyDescent="0.2">
      <c r="B3025" t="str">
        <f t="shared" si="312"/>
        <v/>
      </c>
      <c r="U3025" s="8">
        <f t="shared" si="315"/>
        <v>2</v>
      </c>
      <c r="AD3025" t="str">
        <f t="shared" si="314"/>
        <v>o</v>
      </c>
      <c r="AE3025" t="str">
        <f t="shared" si="318"/>
        <v/>
      </c>
      <c r="AF3025" t="str">
        <f t="shared" si="316"/>
        <v/>
      </c>
      <c r="AG3025" t="str">
        <f t="shared" si="317"/>
        <v/>
      </c>
      <c r="AN3025" t="str">
        <f t="shared" si="313"/>
        <v>Defensive</v>
      </c>
    </row>
    <row r="3026" spans="2:40" x14ac:dyDescent="0.2">
      <c r="B3026" t="str">
        <f t="shared" si="312"/>
        <v/>
      </c>
      <c r="U3026" s="8">
        <f t="shared" si="315"/>
        <v>2</v>
      </c>
      <c r="AD3026" t="str">
        <f t="shared" si="314"/>
        <v>o</v>
      </c>
      <c r="AE3026" t="str">
        <f t="shared" si="318"/>
        <v/>
      </c>
      <c r="AF3026" t="str">
        <f t="shared" si="316"/>
        <v/>
      </c>
      <c r="AG3026" t="str">
        <f t="shared" si="317"/>
        <v/>
      </c>
      <c r="AN3026" t="str">
        <f t="shared" si="313"/>
        <v>Defensive</v>
      </c>
    </row>
    <row r="3027" spans="2:40" x14ac:dyDescent="0.2">
      <c r="B3027" t="str">
        <f t="shared" si="312"/>
        <v/>
      </c>
      <c r="U3027" s="8">
        <f t="shared" si="315"/>
        <v>2</v>
      </c>
      <c r="AD3027" t="str">
        <f t="shared" si="314"/>
        <v>o</v>
      </c>
      <c r="AE3027" t="str">
        <f t="shared" si="318"/>
        <v/>
      </c>
      <c r="AF3027" t="str">
        <f t="shared" si="316"/>
        <v/>
      </c>
      <c r="AG3027" t="str">
        <f t="shared" si="317"/>
        <v/>
      </c>
      <c r="AN3027" t="str">
        <f t="shared" si="313"/>
        <v>Defensive</v>
      </c>
    </row>
    <row r="3028" spans="2:40" x14ac:dyDescent="0.2">
      <c r="B3028" t="str">
        <f t="shared" si="312"/>
        <v/>
      </c>
      <c r="U3028" s="8">
        <f t="shared" si="315"/>
        <v>2</v>
      </c>
      <c r="AD3028" t="str">
        <f t="shared" si="314"/>
        <v>o</v>
      </c>
      <c r="AE3028" t="str">
        <f t="shared" si="318"/>
        <v/>
      </c>
      <c r="AF3028" t="str">
        <f t="shared" si="316"/>
        <v/>
      </c>
      <c r="AG3028" t="str">
        <f t="shared" si="317"/>
        <v/>
      </c>
      <c r="AN3028" t="str">
        <f t="shared" si="313"/>
        <v>Defensive</v>
      </c>
    </row>
    <row r="3029" spans="2:40" x14ac:dyDescent="0.2">
      <c r="B3029" t="str">
        <f t="shared" si="312"/>
        <v/>
      </c>
      <c r="U3029" s="8">
        <f t="shared" si="315"/>
        <v>2</v>
      </c>
      <c r="AD3029" t="str">
        <f t="shared" si="314"/>
        <v>o</v>
      </c>
      <c r="AE3029" t="str">
        <f t="shared" si="318"/>
        <v/>
      </c>
      <c r="AF3029" t="str">
        <f t="shared" si="316"/>
        <v/>
      </c>
      <c r="AG3029" t="str">
        <f t="shared" si="317"/>
        <v/>
      </c>
      <c r="AN3029" t="str">
        <f t="shared" si="313"/>
        <v>Defensive</v>
      </c>
    </row>
    <row r="3030" spans="2:40" x14ac:dyDescent="0.2">
      <c r="B3030" t="str">
        <f t="shared" si="312"/>
        <v/>
      </c>
      <c r="U3030" s="8">
        <f t="shared" si="315"/>
        <v>2</v>
      </c>
      <c r="AD3030" t="str">
        <f t="shared" si="314"/>
        <v>o</v>
      </c>
      <c r="AE3030" t="str">
        <f t="shared" si="318"/>
        <v/>
      </c>
      <c r="AF3030" t="str">
        <f t="shared" si="316"/>
        <v/>
      </c>
      <c r="AG3030" t="str">
        <f t="shared" si="317"/>
        <v/>
      </c>
      <c r="AN3030" t="str">
        <f t="shared" si="313"/>
        <v>Defensive</v>
      </c>
    </row>
    <row r="3031" spans="2:40" x14ac:dyDescent="0.2">
      <c r="B3031" t="str">
        <f t="shared" si="312"/>
        <v/>
      </c>
      <c r="U3031" s="8">
        <f t="shared" si="315"/>
        <v>2</v>
      </c>
      <c r="AD3031" t="str">
        <f t="shared" si="314"/>
        <v>o</v>
      </c>
      <c r="AE3031" t="str">
        <f t="shared" si="318"/>
        <v/>
      </c>
      <c r="AF3031" t="str">
        <f t="shared" si="316"/>
        <v/>
      </c>
      <c r="AG3031" t="str">
        <f t="shared" si="317"/>
        <v/>
      </c>
      <c r="AN3031" t="str">
        <f t="shared" si="313"/>
        <v>Defensive</v>
      </c>
    </row>
    <row r="3032" spans="2:40" x14ac:dyDescent="0.2">
      <c r="B3032" t="str">
        <f t="shared" si="312"/>
        <v/>
      </c>
      <c r="U3032" s="8">
        <f t="shared" si="315"/>
        <v>2</v>
      </c>
      <c r="AD3032" t="str">
        <f t="shared" si="314"/>
        <v>o</v>
      </c>
      <c r="AE3032" t="str">
        <f t="shared" si="318"/>
        <v/>
      </c>
      <c r="AF3032" t="str">
        <f t="shared" si="316"/>
        <v/>
      </c>
      <c r="AG3032" t="str">
        <f t="shared" si="317"/>
        <v/>
      </c>
      <c r="AN3032" t="str">
        <f t="shared" si="313"/>
        <v>Defensive</v>
      </c>
    </row>
    <row r="3033" spans="2:40" x14ac:dyDescent="0.2">
      <c r="B3033" t="str">
        <f t="shared" si="312"/>
        <v/>
      </c>
      <c r="U3033" s="8">
        <f t="shared" si="315"/>
        <v>2</v>
      </c>
      <c r="AD3033" t="str">
        <f t="shared" si="314"/>
        <v>o</v>
      </c>
      <c r="AE3033" t="str">
        <f t="shared" si="318"/>
        <v/>
      </c>
      <c r="AF3033" t="str">
        <f t="shared" si="316"/>
        <v/>
      </c>
      <c r="AG3033" t="str">
        <f t="shared" si="317"/>
        <v/>
      </c>
      <c r="AN3033" t="str">
        <f t="shared" si="313"/>
        <v>Defensive</v>
      </c>
    </row>
    <row r="3034" spans="2:40" x14ac:dyDescent="0.2">
      <c r="B3034" t="str">
        <f t="shared" si="312"/>
        <v/>
      </c>
      <c r="U3034" s="8">
        <f t="shared" si="315"/>
        <v>2</v>
      </c>
      <c r="AD3034" t="str">
        <f t="shared" si="314"/>
        <v>o</v>
      </c>
      <c r="AE3034" t="str">
        <f t="shared" si="318"/>
        <v/>
      </c>
      <c r="AF3034" t="str">
        <f t="shared" si="316"/>
        <v/>
      </c>
      <c r="AG3034" t="str">
        <f t="shared" si="317"/>
        <v/>
      </c>
      <c r="AN3034" t="str">
        <f t="shared" si="313"/>
        <v>Defensive</v>
      </c>
    </row>
    <row r="3035" spans="2:40" x14ac:dyDescent="0.2">
      <c r="B3035" t="str">
        <f t="shared" si="312"/>
        <v/>
      </c>
      <c r="U3035" s="8">
        <f t="shared" si="315"/>
        <v>2</v>
      </c>
      <c r="AD3035" t="str">
        <f t="shared" si="314"/>
        <v>o</v>
      </c>
      <c r="AE3035" t="str">
        <f t="shared" si="318"/>
        <v/>
      </c>
      <c r="AF3035" t="str">
        <f t="shared" si="316"/>
        <v/>
      </c>
      <c r="AG3035" t="str">
        <f t="shared" si="317"/>
        <v/>
      </c>
      <c r="AN3035" t="str">
        <f t="shared" si="313"/>
        <v>Defensive</v>
      </c>
    </row>
    <row r="3036" spans="2:40" x14ac:dyDescent="0.2">
      <c r="B3036" t="str">
        <f t="shared" si="312"/>
        <v/>
      </c>
      <c r="U3036" s="8">
        <f t="shared" si="315"/>
        <v>2</v>
      </c>
      <c r="AD3036" t="str">
        <f t="shared" si="314"/>
        <v>o</v>
      </c>
      <c r="AE3036" t="str">
        <f t="shared" si="318"/>
        <v/>
      </c>
      <c r="AF3036" t="str">
        <f t="shared" si="316"/>
        <v/>
      </c>
      <c r="AG3036" t="str">
        <f t="shared" si="317"/>
        <v/>
      </c>
      <c r="AN3036" t="str">
        <f t="shared" si="313"/>
        <v>Defensive</v>
      </c>
    </row>
    <row r="3037" spans="2:40" x14ac:dyDescent="0.2">
      <c r="B3037" t="str">
        <f t="shared" si="312"/>
        <v/>
      </c>
      <c r="U3037" s="8">
        <f t="shared" si="315"/>
        <v>2</v>
      </c>
      <c r="AD3037" t="str">
        <f t="shared" si="314"/>
        <v>o</v>
      </c>
      <c r="AE3037" t="str">
        <f t="shared" si="318"/>
        <v/>
      </c>
      <c r="AF3037" t="str">
        <f t="shared" si="316"/>
        <v/>
      </c>
      <c r="AG3037" t="str">
        <f t="shared" si="317"/>
        <v/>
      </c>
      <c r="AN3037" t="str">
        <f t="shared" si="313"/>
        <v>Defensive</v>
      </c>
    </row>
    <row r="3038" spans="2:40" x14ac:dyDescent="0.2">
      <c r="B3038" t="str">
        <f t="shared" si="312"/>
        <v/>
      </c>
      <c r="U3038" s="8">
        <f t="shared" si="315"/>
        <v>2</v>
      </c>
      <c r="AD3038" t="str">
        <f t="shared" si="314"/>
        <v>o</v>
      </c>
      <c r="AE3038" t="str">
        <f t="shared" si="318"/>
        <v/>
      </c>
      <c r="AF3038" t="str">
        <f t="shared" si="316"/>
        <v/>
      </c>
      <c r="AG3038" t="str">
        <f t="shared" si="317"/>
        <v/>
      </c>
      <c r="AN3038" t="str">
        <f t="shared" si="313"/>
        <v>Defensive</v>
      </c>
    </row>
    <row r="3039" spans="2:40" x14ac:dyDescent="0.2">
      <c r="B3039" t="str">
        <f t="shared" si="312"/>
        <v/>
      </c>
      <c r="U3039" s="8">
        <f t="shared" si="315"/>
        <v>2</v>
      </c>
      <c r="AD3039" t="str">
        <f t="shared" si="314"/>
        <v>o</v>
      </c>
      <c r="AE3039" t="str">
        <f t="shared" si="318"/>
        <v/>
      </c>
      <c r="AF3039" t="str">
        <f t="shared" si="316"/>
        <v/>
      </c>
      <c r="AG3039" t="str">
        <f t="shared" si="317"/>
        <v/>
      </c>
      <c r="AN3039" t="str">
        <f t="shared" si="313"/>
        <v>Defensive</v>
      </c>
    </row>
    <row r="3040" spans="2:40" x14ac:dyDescent="0.2">
      <c r="B3040" t="str">
        <f t="shared" si="312"/>
        <v/>
      </c>
      <c r="U3040" s="8">
        <f t="shared" si="315"/>
        <v>2</v>
      </c>
      <c r="AD3040" t="str">
        <f t="shared" si="314"/>
        <v>o</v>
      </c>
      <c r="AE3040" t="str">
        <f t="shared" si="318"/>
        <v/>
      </c>
      <c r="AF3040" t="str">
        <f t="shared" si="316"/>
        <v/>
      </c>
      <c r="AG3040" t="str">
        <f t="shared" si="317"/>
        <v/>
      </c>
      <c r="AN3040" t="str">
        <f t="shared" si="313"/>
        <v>Defensive</v>
      </c>
    </row>
    <row r="3041" spans="2:40" x14ac:dyDescent="0.2">
      <c r="B3041" t="str">
        <f t="shared" si="312"/>
        <v/>
      </c>
      <c r="U3041" s="8">
        <f t="shared" si="315"/>
        <v>2</v>
      </c>
      <c r="AD3041" t="str">
        <f t="shared" si="314"/>
        <v>o</v>
      </c>
      <c r="AE3041" t="str">
        <f t="shared" si="318"/>
        <v/>
      </c>
      <c r="AF3041" t="str">
        <f t="shared" si="316"/>
        <v/>
      </c>
      <c r="AG3041" t="str">
        <f t="shared" si="317"/>
        <v/>
      </c>
      <c r="AN3041" t="str">
        <f t="shared" si="313"/>
        <v>Defensive</v>
      </c>
    </row>
    <row r="3042" spans="2:40" x14ac:dyDescent="0.2">
      <c r="B3042" t="str">
        <f t="shared" si="312"/>
        <v/>
      </c>
      <c r="U3042" s="8">
        <f t="shared" si="315"/>
        <v>2</v>
      </c>
      <c r="AD3042" t="str">
        <f t="shared" si="314"/>
        <v>o</v>
      </c>
      <c r="AE3042" t="str">
        <f t="shared" si="318"/>
        <v/>
      </c>
      <c r="AF3042" t="str">
        <f t="shared" si="316"/>
        <v/>
      </c>
      <c r="AG3042" t="str">
        <f t="shared" si="317"/>
        <v/>
      </c>
      <c r="AN3042" t="str">
        <f t="shared" si="313"/>
        <v>Defensive</v>
      </c>
    </row>
    <row r="3043" spans="2:40" x14ac:dyDescent="0.2">
      <c r="B3043" t="str">
        <f t="shared" si="312"/>
        <v/>
      </c>
      <c r="U3043" s="8">
        <f t="shared" si="315"/>
        <v>2</v>
      </c>
      <c r="AD3043" t="str">
        <f t="shared" si="314"/>
        <v>o</v>
      </c>
      <c r="AE3043" t="str">
        <f t="shared" si="318"/>
        <v/>
      </c>
      <c r="AF3043" t="str">
        <f t="shared" si="316"/>
        <v/>
      </c>
      <c r="AG3043" t="str">
        <f t="shared" si="317"/>
        <v/>
      </c>
      <c r="AN3043" t="str">
        <f t="shared" si="313"/>
        <v>Defensive</v>
      </c>
    </row>
    <row r="3044" spans="2:40" x14ac:dyDescent="0.2">
      <c r="B3044" t="str">
        <f t="shared" si="312"/>
        <v/>
      </c>
      <c r="U3044" s="8">
        <f t="shared" si="315"/>
        <v>2</v>
      </c>
      <c r="AD3044" t="str">
        <f t="shared" si="314"/>
        <v>o</v>
      </c>
      <c r="AE3044" t="str">
        <f t="shared" si="318"/>
        <v/>
      </c>
      <c r="AF3044" t="str">
        <f t="shared" si="316"/>
        <v/>
      </c>
      <c r="AG3044" t="str">
        <f t="shared" si="317"/>
        <v/>
      </c>
      <c r="AN3044" t="str">
        <f t="shared" si="313"/>
        <v>Defensive</v>
      </c>
    </row>
    <row r="3045" spans="2:40" x14ac:dyDescent="0.2">
      <c r="B3045" t="str">
        <f t="shared" si="312"/>
        <v/>
      </c>
      <c r="U3045" s="8">
        <f t="shared" si="315"/>
        <v>2</v>
      </c>
      <c r="AD3045" t="str">
        <f t="shared" si="314"/>
        <v>o</v>
      </c>
      <c r="AE3045" t="str">
        <f t="shared" si="318"/>
        <v/>
      </c>
      <c r="AF3045" t="str">
        <f t="shared" si="316"/>
        <v/>
      </c>
      <c r="AG3045" t="str">
        <f t="shared" si="317"/>
        <v/>
      </c>
      <c r="AN3045" t="str">
        <f t="shared" si="313"/>
        <v>Defensive</v>
      </c>
    </row>
    <row r="3046" spans="2:40" x14ac:dyDescent="0.2">
      <c r="B3046" t="str">
        <f t="shared" si="312"/>
        <v/>
      </c>
      <c r="U3046" s="8">
        <f t="shared" si="315"/>
        <v>2</v>
      </c>
      <c r="AD3046" t="str">
        <f t="shared" si="314"/>
        <v>o</v>
      </c>
      <c r="AE3046" t="str">
        <f t="shared" si="318"/>
        <v/>
      </c>
      <c r="AF3046" t="str">
        <f t="shared" si="316"/>
        <v/>
      </c>
      <c r="AG3046" t="str">
        <f t="shared" si="317"/>
        <v/>
      </c>
      <c r="AN3046" t="str">
        <f t="shared" si="313"/>
        <v>Defensive</v>
      </c>
    </row>
    <row r="3047" spans="2:40" x14ac:dyDescent="0.2">
      <c r="B3047" t="str">
        <f t="shared" si="312"/>
        <v/>
      </c>
      <c r="U3047" s="8">
        <f t="shared" si="315"/>
        <v>2</v>
      </c>
      <c r="AD3047" t="str">
        <f t="shared" si="314"/>
        <v>o</v>
      </c>
      <c r="AE3047" t="str">
        <f t="shared" si="318"/>
        <v/>
      </c>
      <c r="AF3047" t="str">
        <f t="shared" si="316"/>
        <v/>
      </c>
      <c r="AG3047" t="str">
        <f t="shared" si="317"/>
        <v/>
      </c>
      <c r="AN3047" t="str">
        <f t="shared" si="313"/>
        <v>Defensive</v>
      </c>
    </row>
    <row r="3048" spans="2:40" x14ac:dyDescent="0.2">
      <c r="B3048" t="str">
        <f t="shared" si="312"/>
        <v/>
      </c>
      <c r="U3048" s="8">
        <f t="shared" si="315"/>
        <v>2</v>
      </c>
      <c r="AD3048" t="str">
        <f t="shared" si="314"/>
        <v>o</v>
      </c>
      <c r="AE3048" t="str">
        <f t="shared" si="318"/>
        <v/>
      </c>
      <c r="AF3048" t="str">
        <f t="shared" si="316"/>
        <v/>
      </c>
      <c r="AG3048" t="str">
        <f t="shared" si="317"/>
        <v/>
      </c>
      <c r="AN3048" t="str">
        <f t="shared" si="313"/>
        <v>Defensive</v>
      </c>
    </row>
    <row r="3049" spans="2:40" x14ac:dyDescent="0.2">
      <c r="B3049" t="str">
        <f t="shared" si="312"/>
        <v/>
      </c>
      <c r="U3049" s="8">
        <f t="shared" si="315"/>
        <v>2</v>
      </c>
      <c r="AD3049" t="str">
        <f t="shared" si="314"/>
        <v>o</v>
      </c>
      <c r="AE3049" t="str">
        <f t="shared" si="318"/>
        <v/>
      </c>
      <c r="AF3049" t="str">
        <f t="shared" si="316"/>
        <v/>
      </c>
      <c r="AG3049" t="str">
        <f t="shared" si="317"/>
        <v/>
      </c>
      <c r="AN3049" t="str">
        <f t="shared" si="313"/>
        <v>Defensive</v>
      </c>
    </row>
    <row r="3050" spans="2:40" x14ac:dyDescent="0.2">
      <c r="B3050" t="str">
        <f t="shared" si="312"/>
        <v/>
      </c>
      <c r="U3050" s="8">
        <f t="shared" si="315"/>
        <v>2</v>
      </c>
      <c r="AD3050" t="str">
        <f t="shared" si="314"/>
        <v>o</v>
      </c>
      <c r="AE3050" t="str">
        <f t="shared" si="318"/>
        <v/>
      </c>
      <c r="AF3050" t="str">
        <f t="shared" si="316"/>
        <v/>
      </c>
      <c r="AG3050" t="str">
        <f t="shared" si="317"/>
        <v/>
      </c>
      <c r="AN3050" t="str">
        <f t="shared" si="313"/>
        <v>Defensive</v>
      </c>
    </row>
    <row r="3051" spans="2:40" x14ac:dyDescent="0.2">
      <c r="B3051" t="str">
        <f t="shared" si="312"/>
        <v/>
      </c>
      <c r="U3051" s="8">
        <f t="shared" si="315"/>
        <v>2</v>
      </c>
      <c r="AD3051" t="str">
        <f t="shared" si="314"/>
        <v>o</v>
      </c>
      <c r="AE3051" t="str">
        <f t="shared" si="318"/>
        <v/>
      </c>
      <c r="AF3051" t="str">
        <f t="shared" si="316"/>
        <v/>
      </c>
      <c r="AG3051" t="str">
        <f t="shared" si="317"/>
        <v/>
      </c>
      <c r="AN3051" t="str">
        <f t="shared" si="313"/>
        <v>Defensive</v>
      </c>
    </row>
    <row r="3052" spans="2:40" x14ac:dyDescent="0.2">
      <c r="B3052" t="str">
        <f t="shared" si="312"/>
        <v/>
      </c>
      <c r="U3052" s="8">
        <f t="shared" si="315"/>
        <v>2</v>
      </c>
      <c r="AD3052" t="str">
        <f t="shared" si="314"/>
        <v>o</v>
      </c>
      <c r="AE3052" t="str">
        <f t="shared" si="318"/>
        <v/>
      </c>
      <c r="AF3052" t="str">
        <f t="shared" si="316"/>
        <v/>
      </c>
      <c r="AG3052" t="str">
        <f t="shared" si="317"/>
        <v/>
      </c>
      <c r="AN3052" t="str">
        <f t="shared" si="313"/>
        <v>Defensive</v>
      </c>
    </row>
    <row r="3053" spans="2:40" x14ac:dyDescent="0.2">
      <c r="B3053" t="str">
        <f t="shared" si="312"/>
        <v/>
      </c>
      <c r="U3053" s="8">
        <f t="shared" si="315"/>
        <v>2</v>
      </c>
      <c r="AD3053" t="str">
        <f t="shared" si="314"/>
        <v>o</v>
      </c>
      <c r="AE3053" t="str">
        <f t="shared" si="318"/>
        <v/>
      </c>
      <c r="AF3053" t="str">
        <f t="shared" si="316"/>
        <v/>
      </c>
      <c r="AG3053" t="str">
        <f t="shared" si="317"/>
        <v/>
      </c>
      <c r="AN3053" t="str">
        <f t="shared" si="313"/>
        <v>Defensive</v>
      </c>
    </row>
    <row r="3054" spans="2:40" x14ac:dyDescent="0.2">
      <c r="B3054" t="str">
        <f t="shared" si="312"/>
        <v/>
      </c>
      <c r="U3054" s="8">
        <f t="shared" si="315"/>
        <v>2</v>
      </c>
      <c r="AD3054" t="str">
        <f t="shared" si="314"/>
        <v>o</v>
      </c>
      <c r="AE3054" t="str">
        <f t="shared" si="318"/>
        <v/>
      </c>
      <c r="AF3054" t="str">
        <f t="shared" si="316"/>
        <v/>
      </c>
      <c r="AG3054" t="str">
        <f t="shared" si="317"/>
        <v/>
      </c>
      <c r="AN3054" t="str">
        <f t="shared" si="313"/>
        <v>Defensive</v>
      </c>
    </row>
    <row r="3055" spans="2:40" x14ac:dyDescent="0.2">
      <c r="B3055" t="str">
        <f t="shared" si="312"/>
        <v/>
      </c>
      <c r="U3055" s="8">
        <f t="shared" si="315"/>
        <v>2</v>
      </c>
      <c r="AD3055" t="str">
        <f t="shared" si="314"/>
        <v>o</v>
      </c>
      <c r="AE3055" t="str">
        <f t="shared" si="318"/>
        <v/>
      </c>
      <c r="AF3055" t="str">
        <f t="shared" si="316"/>
        <v/>
      </c>
      <c r="AG3055" t="str">
        <f t="shared" si="317"/>
        <v/>
      </c>
      <c r="AN3055" t="str">
        <f t="shared" si="313"/>
        <v>Defensive</v>
      </c>
    </row>
    <row r="3056" spans="2:40" x14ac:dyDescent="0.2">
      <c r="B3056" t="str">
        <f t="shared" ref="B3056:B3119" si="319">IF(A3056=A3055,B3055,"")</f>
        <v/>
      </c>
      <c r="U3056" s="8">
        <f t="shared" si="315"/>
        <v>2</v>
      </c>
      <c r="AD3056" t="str">
        <f t="shared" si="314"/>
        <v>o</v>
      </c>
      <c r="AE3056" t="str">
        <f t="shared" si="318"/>
        <v/>
      </c>
      <c r="AF3056" t="str">
        <f t="shared" si="316"/>
        <v/>
      </c>
      <c r="AG3056" t="str">
        <f t="shared" si="317"/>
        <v/>
      </c>
      <c r="AN3056" t="str">
        <f t="shared" si="313"/>
        <v>Defensive</v>
      </c>
    </row>
    <row r="3057" spans="2:40" x14ac:dyDescent="0.2">
      <c r="B3057" t="str">
        <f t="shared" si="319"/>
        <v/>
      </c>
      <c r="U3057" s="8">
        <f t="shared" si="315"/>
        <v>2</v>
      </c>
      <c r="AD3057" t="str">
        <f t="shared" si="314"/>
        <v>o</v>
      </c>
      <c r="AE3057" t="str">
        <f t="shared" si="318"/>
        <v/>
      </c>
      <c r="AF3057" t="str">
        <f t="shared" si="316"/>
        <v/>
      </c>
      <c r="AG3057" t="str">
        <f t="shared" si="317"/>
        <v/>
      </c>
      <c r="AN3057" t="str">
        <f t="shared" si="313"/>
        <v>Defensive</v>
      </c>
    </row>
    <row r="3058" spans="2:40" x14ac:dyDescent="0.2">
      <c r="B3058" t="str">
        <f t="shared" si="319"/>
        <v/>
      </c>
      <c r="U3058" s="8">
        <f t="shared" si="315"/>
        <v>2</v>
      </c>
      <c r="AD3058" t="str">
        <f t="shared" si="314"/>
        <v>o</v>
      </c>
      <c r="AE3058" t="str">
        <f t="shared" si="318"/>
        <v/>
      </c>
      <c r="AF3058" t="str">
        <f t="shared" si="316"/>
        <v/>
      </c>
      <c r="AG3058" t="str">
        <f t="shared" si="317"/>
        <v/>
      </c>
      <c r="AN3058" t="str">
        <f t="shared" si="313"/>
        <v>Defensive</v>
      </c>
    </row>
    <row r="3059" spans="2:40" x14ac:dyDescent="0.2">
      <c r="B3059" t="str">
        <f t="shared" si="319"/>
        <v/>
      </c>
      <c r="U3059" s="8">
        <f t="shared" si="315"/>
        <v>2</v>
      </c>
      <c r="AD3059" t="str">
        <f t="shared" si="314"/>
        <v>o</v>
      </c>
      <c r="AE3059" t="str">
        <f t="shared" si="318"/>
        <v/>
      </c>
      <c r="AF3059" t="str">
        <f t="shared" si="316"/>
        <v/>
      </c>
      <c r="AG3059" t="str">
        <f t="shared" si="317"/>
        <v/>
      </c>
      <c r="AN3059" t="str">
        <f t="shared" si="313"/>
        <v>Defensive</v>
      </c>
    </row>
    <row r="3060" spans="2:40" x14ac:dyDescent="0.2">
      <c r="B3060" t="str">
        <f t="shared" si="319"/>
        <v/>
      </c>
      <c r="U3060" s="8">
        <f t="shared" si="315"/>
        <v>2</v>
      </c>
      <c r="AD3060" t="str">
        <f t="shared" si="314"/>
        <v>o</v>
      </c>
      <c r="AE3060" t="str">
        <f t="shared" si="318"/>
        <v/>
      </c>
      <c r="AF3060" t="str">
        <f t="shared" si="316"/>
        <v/>
      </c>
      <c r="AG3060" t="str">
        <f t="shared" si="317"/>
        <v/>
      </c>
      <c r="AN3060" t="str">
        <f t="shared" si="313"/>
        <v>Defensive</v>
      </c>
    </row>
    <row r="3061" spans="2:40" x14ac:dyDescent="0.2">
      <c r="B3061" t="str">
        <f t="shared" si="319"/>
        <v/>
      </c>
      <c r="U3061" s="8">
        <f t="shared" si="315"/>
        <v>2</v>
      </c>
      <c r="AD3061" t="str">
        <f t="shared" si="314"/>
        <v>o</v>
      </c>
      <c r="AE3061" t="str">
        <f t="shared" si="318"/>
        <v/>
      </c>
      <c r="AF3061" t="str">
        <f t="shared" si="316"/>
        <v/>
      </c>
      <c r="AG3061" t="str">
        <f t="shared" si="317"/>
        <v/>
      </c>
      <c r="AN3061" t="str">
        <f t="shared" si="313"/>
        <v>Defensive</v>
      </c>
    </row>
    <row r="3062" spans="2:40" x14ac:dyDescent="0.2">
      <c r="B3062" t="str">
        <f t="shared" si="319"/>
        <v/>
      </c>
      <c r="U3062" s="8">
        <f t="shared" si="315"/>
        <v>2</v>
      </c>
      <c r="AD3062" t="str">
        <f t="shared" si="314"/>
        <v>o</v>
      </c>
      <c r="AE3062" t="str">
        <f t="shared" si="318"/>
        <v/>
      </c>
      <c r="AF3062" t="str">
        <f t="shared" si="316"/>
        <v/>
      </c>
      <c r="AG3062" t="str">
        <f t="shared" si="317"/>
        <v/>
      </c>
      <c r="AN3062" t="str">
        <f t="shared" si="313"/>
        <v>Defensive</v>
      </c>
    </row>
    <row r="3063" spans="2:40" x14ac:dyDescent="0.2">
      <c r="B3063" t="str">
        <f t="shared" si="319"/>
        <v/>
      </c>
      <c r="U3063" s="8">
        <f t="shared" si="315"/>
        <v>2</v>
      </c>
      <c r="AD3063" t="str">
        <f t="shared" si="314"/>
        <v>o</v>
      </c>
      <c r="AE3063" t="str">
        <f t="shared" si="318"/>
        <v/>
      </c>
      <c r="AF3063" t="str">
        <f t="shared" si="316"/>
        <v/>
      </c>
      <c r="AG3063" t="str">
        <f t="shared" si="317"/>
        <v/>
      </c>
      <c r="AN3063" t="str">
        <f t="shared" si="313"/>
        <v>Defensive</v>
      </c>
    </row>
    <row r="3064" spans="2:40" x14ac:dyDescent="0.2">
      <c r="B3064" t="str">
        <f t="shared" si="319"/>
        <v/>
      </c>
      <c r="U3064" s="8">
        <f t="shared" si="315"/>
        <v>2</v>
      </c>
      <c r="AD3064" t="str">
        <f t="shared" si="314"/>
        <v>o</v>
      </c>
      <c r="AE3064" t="str">
        <f t="shared" si="318"/>
        <v/>
      </c>
      <c r="AF3064" t="str">
        <f t="shared" si="316"/>
        <v/>
      </c>
      <c r="AG3064" t="str">
        <f t="shared" si="317"/>
        <v/>
      </c>
      <c r="AN3064" t="str">
        <f t="shared" si="313"/>
        <v>Defensive</v>
      </c>
    </row>
    <row r="3065" spans="2:40" x14ac:dyDescent="0.2">
      <c r="B3065" t="str">
        <f t="shared" si="319"/>
        <v/>
      </c>
      <c r="U3065" s="8">
        <f t="shared" si="315"/>
        <v>2</v>
      </c>
      <c r="AD3065" t="str">
        <f t="shared" si="314"/>
        <v>o</v>
      </c>
      <c r="AE3065" t="str">
        <f t="shared" si="318"/>
        <v/>
      </c>
      <c r="AF3065" t="str">
        <f t="shared" si="316"/>
        <v/>
      </c>
      <c r="AG3065" t="str">
        <f t="shared" si="317"/>
        <v/>
      </c>
      <c r="AN3065" t="str">
        <f t="shared" ref="AN3065:AN3128" si="320">IF(AND(AD3065="e",OR(AE3065="Save",AF3065="Turnover_Takeaway",AF3065="Play_Defensive")),"Defensive",IF(AND(AD3065="o",OR(AE3065="Save",AF3065="Turnover_Takeaway",AF3065="Play_Defensive")),"Offensive",IF(OR(AE3065="Deadice",AE3065="Stoppage",AE3065="Intermission"),"",IF(AD3065="e","Offensive",IF(AD3065="o","Defensive","")))))</f>
        <v>Defensive</v>
      </c>
    </row>
    <row r="3066" spans="2:40" x14ac:dyDescent="0.2">
      <c r="B3066" t="str">
        <f t="shared" si="319"/>
        <v/>
      </c>
      <c r="U3066" s="8">
        <f t="shared" si="315"/>
        <v>2</v>
      </c>
      <c r="AD3066" t="str">
        <f t="shared" si="314"/>
        <v>o</v>
      </c>
      <c r="AE3066" t="str">
        <f t="shared" si="318"/>
        <v/>
      </c>
      <c r="AF3066" t="str">
        <f t="shared" si="316"/>
        <v/>
      </c>
      <c r="AG3066" t="str">
        <f t="shared" si="317"/>
        <v/>
      </c>
      <c r="AN3066" t="str">
        <f t="shared" si="320"/>
        <v>Defensive</v>
      </c>
    </row>
    <row r="3067" spans="2:40" x14ac:dyDescent="0.2">
      <c r="B3067" t="str">
        <f t="shared" si="319"/>
        <v/>
      </c>
      <c r="U3067" s="8">
        <f t="shared" si="315"/>
        <v>2</v>
      </c>
      <c r="AD3067" t="str">
        <f t="shared" si="314"/>
        <v>o</v>
      </c>
      <c r="AE3067" t="str">
        <f t="shared" si="318"/>
        <v/>
      </c>
      <c r="AF3067" t="str">
        <f t="shared" si="316"/>
        <v/>
      </c>
      <c r="AG3067" t="str">
        <f t="shared" si="317"/>
        <v/>
      </c>
      <c r="AN3067" t="str">
        <f t="shared" si="320"/>
        <v>Defensive</v>
      </c>
    </row>
    <row r="3068" spans="2:40" x14ac:dyDescent="0.2">
      <c r="B3068" t="str">
        <f t="shared" si="319"/>
        <v/>
      </c>
      <c r="U3068" s="8">
        <f t="shared" si="315"/>
        <v>2</v>
      </c>
      <c r="AD3068" t="str">
        <f t="shared" si="314"/>
        <v>o</v>
      </c>
      <c r="AE3068" t="str">
        <f t="shared" si="318"/>
        <v/>
      </c>
      <c r="AF3068" t="str">
        <f t="shared" si="316"/>
        <v/>
      </c>
      <c r="AG3068" t="str">
        <f t="shared" si="317"/>
        <v/>
      </c>
      <c r="AN3068" t="str">
        <f t="shared" si="320"/>
        <v>Defensive</v>
      </c>
    </row>
    <row r="3069" spans="2:40" x14ac:dyDescent="0.2">
      <c r="B3069" t="str">
        <f t="shared" si="319"/>
        <v/>
      </c>
      <c r="U3069" s="8">
        <f t="shared" si="315"/>
        <v>2</v>
      </c>
      <c r="AD3069" t="str">
        <f t="shared" si="314"/>
        <v>o</v>
      </c>
      <c r="AE3069" t="str">
        <f t="shared" si="318"/>
        <v/>
      </c>
      <c r="AF3069" t="str">
        <f t="shared" si="316"/>
        <v/>
      </c>
      <c r="AG3069" t="str">
        <f t="shared" si="317"/>
        <v/>
      </c>
      <c r="AN3069" t="str">
        <f t="shared" si="320"/>
        <v>Defensive</v>
      </c>
    </row>
    <row r="3070" spans="2:40" x14ac:dyDescent="0.2">
      <c r="B3070" t="str">
        <f t="shared" si="319"/>
        <v/>
      </c>
      <c r="U3070" s="8">
        <f t="shared" si="315"/>
        <v>2</v>
      </c>
      <c r="AD3070" t="str">
        <f t="shared" si="314"/>
        <v>o</v>
      </c>
      <c r="AE3070" t="str">
        <f t="shared" si="318"/>
        <v/>
      </c>
      <c r="AF3070" t="str">
        <f t="shared" si="316"/>
        <v/>
      </c>
      <c r="AG3070" t="str">
        <f t="shared" si="317"/>
        <v/>
      </c>
      <c r="AN3070" t="str">
        <f t="shared" si="320"/>
        <v>Defensive</v>
      </c>
    </row>
    <row r="3071" spans="2:40" x14ac:dyDescent="0.2">
      <c r="B3071" t="str">
        <f t="shared" si="319"/>
        <v/>
      </c>
      <c r="U3071" s="8">
        <f t="shared" si="315"/>
        <v>2</v>
      </c>
      <c r="AD3071" t="str">
        <f t="shared" si="314"/>
        <v>o</v>
      </c>
      <c r="AE3071" t="str">
        <f t="shared" si="318"/>
        <v/>
      </c>
      <c r="AF3071" t="str">
        <f t="shared" si="316"/>
        <v/>
      </c>
      <c r="AG3071" t="str">
        <f t="shared" si="317"/>
        <v/>
      </c>
      <c r="AN3071" t="str">
        <f t="shared" si="320"/>
        <v>Defensive</v>
      </c>
    </row>
    <row r="3072" spans="2:40" x14ac:dyDescent="0.2">
      <c r="B3072" t="str">
        <f t="shared" si="319"/>
        <v/>
      </c>
      <c r="U3072" s="8">
        <f t="shared" si="315"/>
        <v>2</v>
      </c>
      <c r="AD3072" t="str">
        <f t="shared" si="314"/>
        <v>o</v>
      </c>
      <c r="AE3072" t="str">
        <f t="shared" si="318"/>
        <v/>
      </c>
      <c r="AF3072" t="str">
        <f t="shared" si="316"/>
        <v/>
      </c>
      <c r="AG3072" t="str">
        <f t="shared" si="317"/>
        <v/>
      </c>
      <c r="AN3072" t="str">
        <f t="shared" si="320"/>
        <v>Defensive</v>
      </c>
    </row>
    <row r="3073" spans="2:40" x14ac:dyDescent="0.2">
      <c r="B3073" t="str">
        <f t="shared" si="319"/>
        <v/>
      </c>
      <c r="U3073" s="8">
        <f t="shared" si="315"/>
        <v>2</v>
      </c>
      <c r="AD3073" t="str">
        <f t="shared" si="314"/>
        <v>o</v>
      </c>
      <c r="AE3073" t="str">
        <f t="shared" si="318"/>
        <v/>
      </c>
      <c r="AF3073" t="str">
        <f t="shared" si="316"/>
        <v/>
      </c>
      <c r="AG3073" t="str">
        <f t="shared" si="317"/>
        <v/>
      </c>
      <c r="AN3073" t="str">
        <f t="shared" si="320"/>
        <v>Defensive</v>
      </c>
    </row>
    <row r="3074" spans="2:40" x14ac:dyDescent="0.2">
      <c r="B3074" t="str">
        <f t="shared" si="319"/>
        <v/>
      </c>
      <c r="U3074" s="8">
        <f t="shared" si="315"/>
        <v>2</v>
      </c>
      <c r="AD3074" t="str">
        <f t="shared" ref="AD3074:AD3137" si="321">IF(K3074="x","",IF(K3074=1,"e","o"))</f>
        <v>o</v>
      </c>
      <c r="AE3074" t="str">
        <f t="shared" si="318"/>
        <v/>
      </c>
      <c r="AF3074" t="str">
        <f t="shared" si="316"/>
        <v/>
      </c>
      <c r="AG3074" t="str">
        <f t="shared" si="317"/>
        <v/>
      </c>
      <c r="AN3074" t="str">
        <f t="shared" si="320"/>
        <v>Defensive</v>
      </c>
    </row>
    <row r="3075" spans="2:40" x14ac:dyDescent="0.2">
      <c r="B3075" t="str">
        <f t="shared" si="319"/>
        <v/>
      </c>
      <c r="U3075" s="8">
        <f t="shared" ref="U3075:U3138" si="322">IF(M3075="Intermission",U3074+1,U3074)</f>
        <v>2</v>
      </c>
      <c r="AD3075" t="str">
        <f t="shared" si="321"/>
        <v>o</v>
      </c>
      <c r="AE3075" t="str">
        <f t="shared" si="318"/>
        <v/>
      </c>
      <c r="AF3075" t="str">
        <f t="shared" ref="AF3075:AF3138" si="323">IF(N3075&lt;&gt;"",N3075,IF($A3075=$A3074,AF3074,""))</f>
        <v/>
      </c>
      <c r="AG3075" t="str">
        <f t="shared" ref="AG3075:AG3138" si="324">IF(O3075&lt;&gt;"",O3075,IF($A3075=$A3074,AG3074,""))</f>
        <v/>
      </c>
      <c r="AN3075" t="str">
        <f t="shared" si="320"/>
        <v>Defensive</v>
      </c>
    </row>
    <row r="3076" spans="2:40" x14ac:dyDescent="0.2">
      <c r="B3076" t="str">
        <f t="shared" si="319"/>
        <v/>
      </c>
      <c r="U3076" s="8">
        <f t="shared" si="322"/>
        <v>2</v>
      </c>
      <c r="AD3076" t="str">
        <f t="shared" si="321"/>
        <v>o</v>
      </c>
      <c r="AE3076" t="str">
        <f t="shared" ref="AE3076:AE3139" si="325">IF(M3076&lt;&gt;"",M3076,IF($A3076=$A3075,AE3075,""))</f>
        <v/>
      </c>
      <c r="AF3076" t="str">
        <f t="shared" si="323"/>
        <v/>
      </c>
      <c r="AG3076" t="str">
        <f t="shared" si="324"/>
        <v/>
      </c>
      <c r="AN3076" t="str">
        <f t="shared" si="320"/>
        <v>Defensive</v>
      </c>
    </row>
    <row r="3077" spans="2:40" x14ac:dyDescent="0.2">
      <c r="B3077" t="str">
        <f t="shared" si="319"/>
        <v/>
      </c>
      <c r="U3077" s="8">
        <f t="shared" si="322"/>
        <v>2</v>
      </c>
      <c r="AD3077" t="str">
        <f t="shared" si="321"/>
        <v>o</v>
      </c>
      <c r="AE3077" t="str">
        <f t="shared" si="325"/>
        <v/>
      </c>
      <c r="AF3077" t="str">
        <f t="shared" si="323"/>
        <v/>
      </c>
      <c r="AG3077" t="str">
        <f t="shared" si="324"/>
        <v/>
      </c>
      <c r="AN3077" t="str">
        <f t="shared" si="320"/>
        <v>Defensive</v>
      </c>
    </row>
    <row r="3078" spans="2:40" x14ac:dyDescent="0.2">
      <c r="B3078" t="str">
        <f t="shared" si="319"/>
        <v/>
      </c>
      <c r="U3078" s="8">
        <f t="shared" si="322"/>
        <v>2</v>
      </c>
      <c r="AD3078" t="str">
        <f t="shared" si="321"/>
        <v>o</v>
      </c>
      <c r="AE3078" t="str">
        <f t="shared" si="325"/>
        <v/>
      </c>
      <c r="AF3078" t="str">
        <f t="shared" si="323"/>
        <v/>
      </c>
      <c r="AG3078" t="str">
        <f t="shared" si="324"/>
        <v/>
      </c>
      <c r="AN3078" t="str">
        <f t="shared" si="320"/>
        <v>Defensive</v>
      </c>
    </row>
    <row r="3079" spans="2:40" x14ac:dyDescent="0.2">
      <c r="B3079" t="str">
        <f t="shared" si="319"/>
        <v/>
      </c>
      <c r="U3079" s="8">
        <f t="shared" si="322"/>
        <v>2</v>
      </c>
      <c r="AD3079" t="str">
        <f t="shared" si="321"/>
        <v>o</v>
      </c>
      <c r="AE3079" t="str">
        <f t="shared" si="325"/>
        <v/>
      </c>
      <c r="AF3079" t="str">
        <f t="shared" si="323"/>
        <v/>
      </c>
      <c r="AG3079" t="str">
        <f t="shared" si="324"/>
        <v/>
      </c>
      <c r="AN3079" t="str">
        <f t="shared" si="320"/>
        <v>Defensive</v>
      </c>
    </row>
    <row r="3080" spans="2:40" x14ac:dyDescent="0.2">
      <c r="B3080" t="str">
        <f t="shared" si="319"/>
        <v/>
      </c>
      <c r="U3080" s="8">
        <f t="shared" si="322"/>
        <v>2</v>
      </c>
      <c r="AD3080" t="str">
        <f t="shared" si="321"/>
        <v>o</v>
      </c>
      <c r="AE3080" t="str">
        <f t="shared" si="325"/>
        <v/>
      </c>
      <c r="AF3080" t="str">
        <f t="shared" si="323"/>
        <v/>
      </c>
      <c r="AG3080" t="str">
        <f t="shared" si="324"/>
        <v/>
      </c>
      <c r="AN3080" t="str">
        <f t="shared" si="320"/>
        <v>Defensive</v>
      </c>
    </row>
    <row r="3081" spans="2:40" x14ac:dyDescent="0.2">
      <c r="B3081" t="str">
        <f t="shared" si="319"/>
        <v/>
      </c>
      <c r="U3081" s="8">
        <f t="shared" si="322"/>
        <v>2</v>
      </c>
      <c r="AD3081" t="str">
        <f t="shared" si="321"/>
        <v>o</v>
      </c>
      <c r="AE3081" t="str">
        <f t="shared" si="325"/>
        <v/>
      </c>
      <c r="AF3081" t="str">
        <f t="shared" si="323"/>
        <v/>
      </c>
      <c r="AG3081" t="str">
        <f t="shared" si="324"/>
        <v/>
      </c>
      <c r="AN3081" t="str">
        <f t="shared" si="320"/>
        <v>Defensive</v>
      </c>
    </row>
    <row r="3082" spans="2:40" x14ac:dyDescent="0.2">
      <c r="B3082" t="str">
        <f t="shared" si="319"/>
        <v/>
      </c>
      <c r="U3082" s="8">
        <f t="shared" si="322"/>
        <v>2</v>
      </c>
      <c r="AD3082" t="str">
        <f t="shared" si="321"/>
        <v>o</v>
      </c>
      <c r="AE3082" t="str">
        <f t="shared" si="325"/>
        <v/>
      </c>
      <c r="AF3082" t="str">
        <f t="shared" si="323"/>
        <v/>
      </c>
      <c r="AG3082" t="str">
        <f t="shared" si="324"/>
        <v/>
      </c>
      <c r="AN3082" t="str">
        <f t="shared" si="320"/>
        <v>Defensive</v>
      </c>
    </row>
    <row r="3083" spans="2:40" x14ac:dyDescent="0.2">
      <c r="B3083" t="str">
        <f t="shared" si="319"/>
        <v/>
      </c>
      <c r="U3083" s="8">
        <f t="shared" si="322"/>
        <v>2</v>
      </c>
      <c r="AD3083" t="str">
        <f t="shared" si="321"/>
        <v>o</v>
      </c>
      <c r="AE3083" t="str">
        <f t="shared" si="325"/>
        <v/>
      </c>
      <c r="AF3083" t="str">
        <f t="shared" si="323"/>
        <v/>
      </c>
      <c r="AG3083" t="str">
        <f t="shared" si="324"/>
        <v/>
      </c>
      <c r="AN3083" t="str">
        <f t="shared" si="320"/>
        <v>Defensive</v>
      </c>
    </row>
    <row r="3084" spans="2:40" x14ac:dyDescent="0.2">
      <c r="B3084" t="str">
        <f t="shared" si="319"/>
        <v/>
      </c>
      <c r="U3084" s="8">
        <f t="shared" si="322"/>
        <v>2</v>
      </c>
      <c r="AD3084" t="str">
        <f t="shared" si="321"/>
        <v>o</v>
      </c>
      <c r="AE3084" t="str">
        <f t="shared" si="325"/>
        <v/>
      </c>
      <c r="AF3084" t="str">
        <f t="shared" si="323"/>
        <v/>
      </c>
      <c r="AG3084" t="str">
        <f t="shared" si="324"/>
        <v/>
      </c>
      <c r="AN3084" t="str">
        <f t="shared" si="320"/>
        <v>Defensive</v>
      </c>
    </row>
    <row r="3085" spans="2:40" x14ac:dyDescent="0.2">
      <c r="B3085" t="str">
        <f t="shared" si="319"/>
        <v/>
      </c>
      <c r="U3085" s="8">
        <f t="shared" si="322"/>
        <v>2</v>
      </c>
      <c r="AD3085" t="str">
        <f t="shared" si="321"/>
        <v>o</v>
      </c>
      <c r="AE3085" t="str">
        <f t="shared" si="325"/>
        <v/>
      </c>
      <c r="AF3085" t="str">
        <f t="shared" si="323"/>
        <v/>
      </c>
      <c r="AG3085" t="str">
        <f t="shared" si="324"/>
        <v/>
      </c>
      <c r="AN3085" t="str">
        <f t="shared" si="320"/>
        <v>Defensive</v>
      </c>
    </row>
    <row r="3086" spans="2:40" x14ac:dyDescent="0.2">
      <c r="B3086" t="str">
        <f t="shared" si="319"/>
        <v/>
      </c>
      <c r="U3086" s="8">
        <f t="shared" si="322"/>
        <v>2</v>
      </c>
      <c r="AD3086" t="str">
        <f t="shared" si="321"/>
        <v>o</v>
      </c>
      <c r="AE3086" t="str">
        <f t="shared" si="325"/>
        <v/>
      </c>
      <c r="AF3086" t="str">
        <f t="shared" si="323"/>
        <v/>
      </c>
      <c r="AG3086" t="str">
        <f t="shared" si="324"/>
        <v/>
      </c>
      <c r="AN3086" t="str">
        <f t="shared" si="320"/>
        <v>Defensive</v>
      </c>
    </row>
    <row r="3087" spans="2:40" x14ac:dyDescent="0.2">
      <c r="B3087" t="str">
        <f t="shared" si="319"/>
        <v/>
      </c>
      <c r="U3087" s="8">
        <f t="shared" si="322"/>
        <v>2</v>
      </c>
      <c r="AD3087" t="str">
        <f t="shared" si="321"/>
        <v>o</v>
      </c>
      <c r="AE3087" t="str">
        <f t="shared" si="325"/>
        <v/>
      </c>
      <c r="AF3087" t="str">
        <f t="shared" si="323"/>
        <v/>
      </c>
      <c r="AG3087" t="str">
        <f t="shared" si="324"/>
        <v/>
      </c>
      <c r="AN3087" t="str">
        <f t="shared" si="320"/>
        <v>Defensive</v>
      </c>
    </row>
    <row r="3088" spans="2:40" x14ac:dyDescent="0.2">
      <c r="B3088" t="str">
        <f t="shared" si="319"/>
        <v/>
      </c>
      <c r="U3088" s="8">
        <f t="shared" si="322"/>
        <v>2</v>
      </c>
      <c r="AD3088" t="str">
        <f t="shared" si="321"/>
        <v>o</v>
      </c>
      <c r="AE3088" t="str">
        <f t="shared" si="325"/>
        <v/>
      </c>
      <c r="AF3088" t="str">
        <f t="shared" si="323"/>
        <v/>
      </c>
      <c r="AG3088" t="str">
        <f t="shared" si="324"/>
        <v/>
      </c>
      <c r="AN3088" t="str">
        <f t="shared" si="320"/>
        <v>Defensive</v>
      </c>
    </row>
    <row r="3089" spans="2:40" x14ac:dyDescent="0.2">
      <c r="B3089" t="str">
        <f t="shared" si="319"/>
        <v/>
      </c>
      <c r="U3089" s="8">
        <f t="shared" si="322"/>
        <v>2</v>
      </c>
      <c r="AD3089" t="str">
        <f t="shared" si="321"/>
        <v>o</v>
      </c>
      <c r="AE3089" t="str">
        <f t="shared" si="325"/>
        <v/>
      </c>
      <c r="AF3089" t="str">
        <f t="shared" si="323"/>
        <v/>
      </c>
      <c r="AG3089" t="str">
        <f t="shared" si="324"/>
        <v/>
      </c>
      <c r="AN3089" t="str">
        <f t="shared" si="320"/>
        <v>Defensive</v>
      </c>
    </row>
    <row r="3090" spans="2:40" x14ac:dyDescent="0.2">
      <c r="B3090" t="str">
        <f t="shared" si="319"/>
        <v/>
      </c>
      <c r="U3090" s="8">
        <f t="shared" si="322"/>
        <v>2</v>
      </c>
      <c r="AD3090" t="str">
        <f t="shared" si="321"/>
        <v>o</v>
      </c>
      <c r="AE3090" t="str">
        <f t="shared" si="325"/>
        <v/>
      </c>
      <c r="AF3090" t="str">
        <f t="shared" si="323"/>
        <v/>
      </c>
      <c r="AG3090" t="str">
        <f t="shared" si="324"/>
        <v/>
      </c>
      <c r="AN3090" t="str">
        <f t="shared" si="320"/>
        <v>Defensive</v>
      </c>
    </row>
    <row r="3091" spans="2:40" x14ac:dyDescent="0.2">
      <c r="B3091" t="str">
        <f t="shared" si="319"/>
        <v/>
      </c>
      <c r="U3091" s="8">
        <f t="shared" si="322"/>
        <v>2</v>
      </c>
      <c r="AD3091" t="str">
        <f t="shared" si="321"/>
        <v>o</v>
      </c>
      <c r="AE3091" t="str">
        <f t="shared" si="325"/>
        <v/>
      </c>
      <c r="AF3091" t="str">
        <f t="shared" si="323"/>
        <v/>
      </c>
      <c r="AG3091" t="str">
        <f t="shared" si="324"/>
        <v/>
      </c>
      <c r="AN3091" t="str">
        <f t="shared" si="320"/>
        <v>Defensive</v>
      </c>
    </row>
    <row r="3092" spans="2:40" x14ac:dyDescent="0.2">
      <c r="B3092" t="str">
        <f t="shared" si="319"/>
        <v/>
      </c>
      <c r="U3092" s="8">
        <f t="shared" si="322"/>
        <v>2</v>
      </c>
      <c r="AD3092" t="str">
        <f t="shared" si="321"/>
        <v>o</v>
      </c>
      <c r="AE3092" t="str">
        <f t="shared" si="325"/>
        <v/>
      </c>
      <c r="AF3092" t="str">
        <f t="shared" si="323"/>
        <v/>
      </c>
      <c r="AG3092" t="str">
        <f t="shared" si="324"/>
        <v/>
      </c>
      <c r="AN3092" t="str">
        <f t="shared" si="320"/>
        <v>Defensive</v>
      </c>
    </row>
    <row r="3093" spans="2:40" x14ac:dyDescent="0.2">
      <c r="B3093" t="str">
        <f t="shared" si="319"/>
        <v/>
      </c>
      <c r="U3093" s="8">
        <f t="shared" si="322"/>
        <v>2</v>
      </c>
      <c r="AD3093" t="str">
        <f t="shared" si="321"/>
        <v>o</v>
      </c>
      <c r="AE3093" t="str">
        <f t="shared" si="325"/>
        <v/>
      </c>
      <c r="AF3093" t="str">
        <f t="shared" si="323"/>
        <v/>
      </c>
      <c r="AG3093" t="str">
        <f t="shared" si="324"/>
        <v/>
      </c>
      <c r="AN3093" t="str">
        <f t="shared" si="320"/>
        <v>Defensive</v>
      </c>
    </row>
    <row r="3094" spans="2:40" x14ac:dyDescent="0.2">
      <c r="B3094" t="str">
        <f t="shared" si="319"/>
        <v/>
      </c>
      <c r="U3094" s="8">
        <f t="shared" si="322"/>
        <v>2</v>
      </c>
      <c r="AD3094" t="str">
        <f t="shared" si="321"/>
        <v>o</v>
      </c>
      <c r="AE3094" t="str">
        <f t="shared" si="325"/>
        <v/>
      </c>
      <c r="AF3094" t="str">
        <f t="shared" si="323"/>
        <v/>
      </c>
      <c r="AG3094" t="str">
        <f t="shared" si="324"/>
        <v/>
      </c>
      <c r="AN3094" t="str">
        <f t="shared" si="320"/>
        <v>Defensive</v>
      </c>
    </row>
    <row r="3095" spans="2:40" x14ac:dyDescent="0.2">
      <c r="B3095" t="str">
        <f t="shared" si="319"/>
        <v/>
      </c>
      <c r="U3095" s="8">
        <f t="shared" si="322"/>
        <v>2</v>
      </c>
      <c r="AD3095" t="str">
        <f t="shared" si="321"/>
        <v>o</v>
      </c>
      <c r="AE3095" t="str">
        <f t="shared" si="325"/>
        <v/>
      </c>
      <c r="AF3095" t="str">
        <f t="shared" si="323"/>
        <v/>
      </c>
      <c r="AG3095" t="str">
        <f t="shared" si="324"/>
        <v/>
      </c>
      <c r="AN3095" t="str">
        <f t="shared" si="320"/>
        <v>Defensive</v>
      </c>
    </row>
    <row r="3096" spans="2:40" x14ac:dyDescent="0.2">
      <c r="B3096" t="str">
        <f t="shared" si="319"/>
        <v/>
      </c>
      <c r="U3096" s="8">
        <f t="shared" si="322"/>
        <v>2</v>
      </c>
      <c r="AD3096" t="str">
        <f t="shared" si="321"/>
        <v>o</v>
      </c>
      <c r="AE3096" t="str">
        <f t="shared" si="325"/>
        <v/>
      </c>
      <c r="AF3096" t="str">
        <f t="shared" si="323"/>
        <v/>
      </c>
      <c r="AG3096" t="str">
        <f t="shared" si="324"/>
        <v/>
      </c>
      <c r="AN3096" t="str">
        <f t="shared" si="320"/>
        <v>Defensive</v>
      </c>
    </row>
    <row r="3097" spans="2:40" x14ac:dyDescent="0.2">
      <c r="B3097" t="str">
        <f t="shared" si="319"/>
        <v/>
      </c>
      <c r="U3097" s="8">
        <f t="shared" si="322"/>
        <v>2</v>
      </c>
      <c r="AD3097" t="str">
        <f t="shared" si="321"/>
        <v>o</v>
      </c>
      <c r="AE3097" t="str">
        <f t="shared" si="325"/>
        <v/>
      </c>
      <c r="AF3097" t="str">
        <f t="shared" si="323"/>
        <v/>
      </c>
      <c r="AG3097" t="str">
        <f t="shared" si="324"/>
        <v/>
      </c>
      <c r="AN3097" t="str">
        <f t="shared" si="320"/>
        <v>Defensive</v>
      </c>
    </row>
    <row r="3098" spans="2:40" x14ac:dyDescent="0.2">
      <c r="B3098" t="str">
        <f t="shared" si="319"/>
        <v/>
      </c>
      <c r="U3098" s="8">
        <f t="shared" si="322"/>
        <v>2</v>
      </c>
      <c r="AD3098" t="str">
        <f t="shared" si="321"/>
        <v>o</v>
      </c>
      <c r="AE3098" t="str">
        <f t="shared" si="325"/>
        <v/>
      </c>
      <c r="AF3098" t="str">
        <f t="shared" si="323"/>
        <v/>
      </c>
      <c r="AG3098" t="str">
        <f t="shared" si="324"/>
        <v/>
      </c>
      <c r="AN3098" t="str">
        <f t="shared" si="320"/>
        <v>Defensive</v>
      </c>
    </row>
    <row r="3099" spans="2:40" x14ac:dyDescent="0.2">
      <c r="B3099" t="str">
        <f t="shared" si="319"/>
        <v/>
      </c>
      <c r="U3099" s="8">
        <f t="shared" si="322"/>
        <v>2</v>
      </c>
      <c r="AD3099" t="str">
        <f t="shared" si="321"/>
        <v>o</v>
      </c>
      <c r="AE3099" t="str">
        <f t="shared" si="325"/>
        <v/>
      </c>
      <c r="AF3099" t="str">
        <f t="shared" si="323"/>
        <v/>
      </c>
      <c r="AG3099" t="str">
        <f t="shared" si="324"/>
        <v/>
      </c>
      <c r="AN3099" t="str">
        <f t="shared" si="320"/>
        <v>Defensive</v>
      </c>
    </row>
    <row r="3100" spans="2:40" x14ac:dyDescent="0.2">
      <c r="B3100" t="str">
        <f t="shared" si="319"/>
        <v/>
      </c>
      <c r="U3100" s="8">
        <f t="shared" si="322"/>
        <v>2</v>
      </c>
      <c r="AD3100" t="str">
        <f t="shared" si="321"/>
        <v>o</v>
      </c>
      <c r="AE3100" t="str">
        <f t="shared" si="325"/>
        <v/>
      </c>
      <c r="AF3100" t="str">
        <f t="shared" si="323"/>
        <v/>
      </c>
      <c r="AG3100" t="str">
        <f t="shared" si="324"/>
        <v/>
      </c>
      <c r="AN3100" t="str">
        <f t="shared" si="320"/>
        <v>Defensive</v>
      </c>
    </row>
    <row r="3101" spans="2:40" x14ac:dyDescent="0.2">
      <c r="B3101" t="str">
        <f t="shared" si="319"/>
        <v/>
      </c>
      <c r="U3101" s="8">
        <f t="shared" si="322"/>
        <v>2</v>
      </c>
      <c r="AD3101" t="str">
        <f t="shared" si="321"/>
        <v>o</v>
      </c>
      <c r="AE3101" t="str">
        <f t="shared" si="325"/>
        <v/>
      </c>
      <c r="AF3101" t="str">
        <f t="shared" si="323"/>
        <v/>
      </c>
      <c r="AG3101" t="str">
        <f t="shared" si="324"/>
        <v/>
      </c>
      <c r="AN3101" t="str">
        <f t="shared" si="320"/>
        <v>Defensive</v>
      </c>
    </row>
    <row r="3102" spans="2:40" x14ac:dyDescent="0.2">
      <c r="B3102" t="str">
        <f t="shared" si="319"/>
        <v/>
      </c>
      <c r="U3102" s="8">
        <f t="shared" si="322"/>
        <v>2</v>
      </c>
      <c r="AD3102" t="str">
        <f t="shared" si="321"/>
        <v>o</v>
      </c>
      <c r="AE3102" t="str">
        <f t="shared" si="325"/>
        <v/>
      </c>
      <c r="AF3102" t="str">
        <f t="shared" si="323"/>
        <v/>
      </c>
      <c r="AG3102" t="str">
        <f t="shared" si="324"/>
        <v/>
      </c>
      <c r="AN3102" t="str">
        <f t="shared" si="320"/>
        <v>Defensive</v>
      </c>
    </row>
    <row r="3103" spans="2:40" x14ac:dyDescent="0.2">
      <c r="B3103" t="str">
        <f t="shared" si="319"/>
        <v/>
      </c>
      <c r="U3103" s="8">
        <f t="shared" si="322"/>
        <v>2</v>
      </c>
      <c r="AD3103" t="str">
        <f t="shared" si="321"/>
        <v>o</v>
      </c>
      <c r="AE3103" t="str">
        <f t="shared" si="325"/>
        <v/>
      </c>
      <c r="AF3103" t="str">
        <f t="shared" si="323"/>
        <v/>
      </c>
      <c r="AG3103" t="str">
        <f t="shared" si="324"/>
        <v/>
      </c>
      <c r="AN3103" t="str">
        <f t="shared" si="320"/>
        <v>Defensive</v>
      </c>
    </row>
    <row r="3104" spans="2:40" x14ac:dyDescent="0.2">
      <c r="B3104" t="str">
        <f t="shared" si="319"/>
        <v/>
      </c>
      <c r="U3104" s="8">
        <f t="shared" si="322"/>
        <v>2</v>
      </c>
      <c r="AD3104" t="str">
        <f t="shared" si="321"/>
        <v>o</v>
      </c>
      <c r="AE3104" t="str">
        <f t="shared" si="325"/>
        <v/>
      </c>
      <c r="AF3104" t="str">
        <f t="shared" si="323"/>
        <v/>
      </c>
      <c r="AG3104" t="str">
        <f t="shared" si="324"/>
        <v/>
      </c>
      <c r="AN3104" t="str">
        <f t="shared" si="320"/>
        <v>Defensive</v>
      </c>
    </row>
    <row r="3105" spans="2:40" x14ac:dyDescent="0.2">
      <c r="B3105" t="str">
        <f t="shared" si="319"/>
        <v/>
      </c>
      <c r="U3105" s="8">
        <f t="shared" si="322"/>
        <v>2</v>
      </c>
      <c r="AD3105" t="str">
        <f t="shared" si="321"/>
        <v>o</v>
      </c>
      <c r="AE3105" t="str">
        <f t="shared" si="325"/>
        <v/>
      </c>
      <c r="AF3105" t="str">
        <f t="shared" si="323"/>
        <v/>
      </c>
      <c r="AG3105" t="str">
        <f t="shared" si="324"/>
        <v/>
      </c>
      <c r="AN3105" t="str">
        <f t="shared" si="320"/>
        <v>Defensive</v>
      </c>
    </row>
    <row r="3106" spans="2:40" x14ac:dyDescent="0.2">
      <c r="B3106" t="str">
        <f t="shared" si="319"/>
        <v/>
      </c>
      <c r="U3106" s="8">
        <f t="shared" si="322"/>
        <v>2</v>
      </c>
      <c r="AD3106" t="str">
        <f t="shared" si="321"/>
        <v>o</v>
      </c>
      <c r="AE3106" t="str">
        <f t="shared" si="325"/>
        <v/>
      </c>
      <c r="AF3106" t="str">
        <f t="shared" si="323"/>
        <v/>
      </c>
      <c r="AG3106" t="str">
        <f t="shared" si="324"/>
        <v/>
      </c>
      <c r="AN3106" t="str">
        <f t="shared" si="320"/>
        <v>Defensive</v>
      </c>
    </row>
    <row r="3107" spans="2:40" x14ac:dyDescent="0.2">
      <c r="B3107" t="str">
        <f t="shared" si="319"/>
        <v/>
      </c>
      <c r="U3107" s="8">
        <f t="shared" si="322"/>
        <v>2</v>
      </c>
      <c r="AD3107" t="str">
        <f t="shared" si="321"/>
        <v>o</v>
      </c>
      <c r="AE3107" t="str">
        <f t="shared" si="325"/>
        <v/>
      </c>
      <c r="AF3107" t="str">
        <f t="shared" si="323"/>
        <v/>
      </c>
      <c r="AG3107" t="str">
        <f t="shared" si="324"/>
        <v/>
      </c>
      <c r="AN3107" t="str">
        <f t="shared" si="320"/>
        <v>Defensive</v>
      </c>
    </row>
    <row r="3108" spans="2:40" x14ac:dyDescent="0.2">
      <c r="B3108" t="str">
        <f t="shared" si="319"/>
        <v/>
      </c>
      <c r="U3108" s="8">
        <f t="shared" si="322"/>
        <v>2</v>
      </c>
      <c r="AD3108" t="str">
        <f t="shared" si="321"/>
        <v>o</v>
      </c>
      <c r="AE3108" t="str">
        <f t="shared" si="325"/>
        <v/>
      </c>
      <c r="AF3108" t="str">
        <f t="shared" si="323"/>
        <v/>
      </c>
      <c r="AG3108" t="str">
        <f t="shared" si="324"/>
        <v/>
      </c>
      <c r="AN3108" t="str">
        <f t="shared" si="320"/>
        <v>Defensive</v>
      </c>
    </row>
    <row r="3109" spans="2:40" x14ac:dyDescent="0.2">
      <c r="B3109" t="str">
        <f t="shared" si="319"/>
        <v/>
      </c>
      <c r="U3109" s="8">
        <f t="shared" si="322"/>
        <v>2</v>
      </c>
      <c r="AD3109" t="str">
        <f t="shared" si="321"/>
        <v>o</v>
      </c>
      <c r="AE3109" t="str">
        <f t="shared" si="325"/>
        <v/>
      </c>
      <c r="AF3109" t="str">
        <f t="shared" si="323"/>
        <v/>
      </c>
      <c r="AG3109" t="str">
        <f t="shared" si="324"/>
        <v/>
      </c>
      <c r="AN3109" t="str">
        <f t="shared" si="320"/>
        <v>Defensive</v>
      </c>
    </row>
    <row r="3110" spans="2:40" x14ac:dyDescent="0.2">
      <c r="B3110" t="str">
        <f t="shared" si="319"/>
        <v/>
      </c>
      <c r="U3110" s="8">
        <f t="shared" si="322"/>
        <v>2</v>
      </c>
      <c r="AD3110" t="str">
        <f t="shared" si="321"/>
        <v>o</v>
      </c>
      <c r="AE3110" t="str">
        <f t="shared" si="325"/>
        <v/>
      </c>
      <c r="AF3110" t="str">
        <f t="shared" si="323"/>
        <v/>
      </c>
      <c r="AG3110" t="str">
        <f t="shared" si="324"/>
        <v/>
      </c>
      <c r="AN3110" t="str">
        <f t="shared" si="320"/>
        <v>Defensive</v>
      </c>
    </row>
    <row r="3111" spans="2:40" x14ac:dyDescent="0.2">
      <c r="B3111" t="str">
        <f t="shared" si="319"/>
        <v/>
      </c>
      <c r="U3111" s="8">
        <f t="shared" si="322"/>
        <v>2</v>
      </c>
      <c r="AD3111" t="str">
        <f t="shared" si="321"/>
        <v>o</v>
      </c>
      <c r="AE3111" t="str">
        <f t="shared" si="325"/>
        <v/>
      </c>
      <c r="AF3111" t="str">
        <f t="shared" si="323"/>
        <v/>
      </c>
      <c r="AG3111" t="str">
        <f t="shared" si="324"/>
        <v/>
      </c>
      <c r="AN3111" t="str">
        <f t="shared" si="320"/>
        <v>Defensive</v>
      </c>
    </row>
    <row r="3112" spans="2:40" x14ac:dyDescent="0.2">
      <c r="B3112" t="str">
        <f t="shared" si="319"/>
        <v/>
      </c>
      <c r="U3112" s="8">
        <f t="shared" si="322"/>
        <v>2</v>
      </c>
      <c r="AD3112" t="str">
        <f t="shared" si="321"/>
        <v>o</v>
      </c>
      <c r="AE3112" t="str">
        <f t="shared" si="325"/>
        <v/>
      </c>
      <c r="AF3112" t="str">
        <f t="shared" si="323"/>
        <v/>
      </c>
      <c r="AG3112" t="str">
        <f t="shared" si="324"/>
        <v/>
      </c>
      <c r="AN3112" t="str">
        <f t="shared" si="320"/>
        <v>Defensive</v>
      </c>
    </row>
    <row r="3113" spans="2:40" x14ac:dyDescent="0.2">
      <c r="B3113" t="str">
        <f t="shared" si="319"/>
        <v/>
      </c>
      <c r="U3113" s="8">
        <f t="shared" si="322"/>
        <v>2</v>
      </c>
      <c r="AD3113" t="str">
        <f t="shared" si="321"/>
        <v>o</v>
      </c>
      <c r="AE3113" t="str">
        <f t="shared" si="325"/>
        <v/>
      </c>
      <c r="AF3113" t="str">
        <f t="shared" si="323"/>
        <v/>
      </c>
      <c r="AG3113" t="str">
        <f t="shared" si="324"/>
        <v/>
      </c>
      <c r="AN3113" t="str">
        <f t="shared" si="320"/>
        <v>Defensive</v>
      </c>
    </row>
    <row r="3114" spans="2:40" x14ac:dyDescent="0.2">
      <c r="B3114" t="str">
        <f t="shared" si="319"/>
        <v/>
      </c>
      <c r="U3114" s="8">
        <f t="shared" si="322"/>
        <v>2</v>
      </c>
      <c r="AD3114" t="str">
        <f t="shared" si="321"/>
        <v>o</v>
      </c>
      <c r="AE3114" t="str">
        <f t="shared" si="325"/>
        <v/>
      </c>
      <c r="AF3114" t="str">
        <f t="shared" si="323"/>
        <v/>
      </c>
      <c r="AG3114" t="str">
        <f t="shared" si="324"/>
        <v/>
      </c>
      <c r="AN3114" t="str">
        <f t="shared" si="320"/>
        <v>Defensive</v>
      </c>
    </row>
    <row r="3115" spans="2:40" x14ac:dyDescent="0.2">
      <c r="B3115" t="str">
        <f t="shared" si="319"/>
        <v/>
      </c>
      <c r="U3115" s="8">
        <f t="shared" si="322"/>
        <v>2</v>
      </c>
      <c r="AD3115" t="str">
        <f t="shared" si="321"/>
        <v>o</v>
      </c>
      <c r="AE3115" t="str">
        <f t="shared" si="325"/>
        <v/>
      </c>
      <c r="AF3115" t="str">
        <f t="shared" si="323"/>
        <v/>
      </c>
      <c r="AG3115" t="str">
        <f t="shared" si="324"/>
        <v/>
      </c>
      <c r="AN3115" t="str">
        <f t="shared" si="320"/>
        <v>Defensive</v>
      </c>
    </row>
    <row r="3116" spans="2:40" x14ac:dyDescent="0.2">
      <c r="B3116" t="str">
        <f t="shared" si="319"/>
        <v/>
      </c>
      <c r="U3116" s="8">
        <f t="shared" si="322"/>
        <v>2</v>
      </c>
      <c r="AD3116" t="str">
        <f t="shared" si="321"/>
        <v>o</v>
      </c>
      <c r="AE3116" t="str">
        <f t="shared" si="325"/>
        <v/>
      </c>
      <c r="AF3116" t="str">
        <f t="shared" si="323"/>
        <v/>
      </c>
      <c r="AG3116" t="str">
        <f t="shared" si="324"/>
        <v/>
      </c>
      <c r="AN3116" t="str">
        <f t="shared" si="320"/>
        <v>Defensive</v>
      </c>
    </row>
    <row r="3117" spans="2:40" x14ac:dyDescent="0.2">
      <c r="B3117" t="str">
        <f t="shared" si="319"/>
        <v/>
      </c>
      <c r="U3117" s="8">
        <f t="shared" si="322"/>
        <v>2</v>
      </c>
      <c r="AD3117" t="str">
        <f t="shared" si="321"/>
        <v>o</v>
      </c>
      <c r="AE3117" t="str">
        <f t="shared" si="325"/>
        <v/>
      </c>
      <c r="AF3117" t="str">
        <f t="shared" si="323"/>
        <v/>
      </c>
      <c r="AG3117" t="str">
        <f t="shared" si="324"/>
        <v/>
      </c>
      <c r="AN3117" t="str">
        <f t="shared" si="320"/>
        <v>Defensive</v>
      </c>
    </row>
    <row r="3118" spans="2:40" x14ac:dyDescent="0.2">
      <c r="B3118" t="str">
        <f t="shared" si="319"/>
        <v/>
      </c>
      <c r="U3118" s="8">
        <f t="shared" si="322"/>
        <v>2</v>
      </c>
      <c r="AD3118" t="str">
        <f t="shared" si="321"/>
        <v>o</v>
      </c>
      <c r="AE3118" t="str">
        <f t="shared" si="325"/>
        <v/>
      </c>
      <c r="AF3118" t="str">
        <f t="shared" si="323"/>
        <v/>
      </c>
      <c r="AG3118" t="str">
        <f t="shared" si="324"/>
        <v/>
      </c>
      <c r="AN3118" t="str">
        <f t="shared" si="320"/>
        <v>Defensive</v>
      </c>
    </row>
    <row r="3119" spans="2:40" x14ac:dyDescent="0.2">
      <c r="B3119" t="str">
        <f t="shared" si="319"/>
        <v/>
      </c>
      <c r="U3119" s="8">
        <f t="shared" si="322"/>
        <v>2</v>
      </c>
      <c r="AD3119" t="str">
        <f t="shared" si="321"/>
        <v>o</v>
      </c>
      <c r="AE3119" t="str">
        <f t="shared" si="325"/>
        <v/>
      </c>
      <c r="AF3119" t="str">
        <f t="shared" si="323"/>
        <v/>
      </c>
      <c r="AG3119" t="str">
        <f t="shared" si="324"/>
        <v/>
      </c>
      <c r="AN3119" t="str">
        <f t="shared" si="320"/>
        <v>Defensive</v>
      </c>
    </row>
    <row r="3120" spans="2:40" x14ac:dyDescent="0.2">
      <c r="B3120" t="str">
        <f t="shared" ref="B3120:B3183" si="326">IF(A3120=A3119,B3119,"")</f>
        <v/>
      </c>
      <c r="U3120" s="8">
        <f t="shared" si="322"/>
        <v>2</v>
      </c>
      <c r="AD3120" t="str">
        <f t="shared" si="321"/>
        <v>o</v>
      </c>
      <c r="AE3120" t="str">
        <f t="shared" si="325"/>
        <v/>
      </c>
      <c r="AF3120" t="str">
        <f t="shared" si="323"/>
        <v/>
      </c>
      <c r="AG3120" t="str">
        <f t="shared" si="324"/>
        <v/>
      </c>
      <c r="AN3120" t="str">
        <f t="shared" si="320"/>
        <v>Defensive</v>
      </c>
    </row>
    <row r="3121" spans="2:40" x14ac:dyDescent="0.2">
      <c r="B3121" t="str">
        <f t="shared" si="326"/>
        <v/>
      </c>
      <c r="U3121" s="8">
        <f t="shared" si="322"/>
        <v>2</v>
      </c>
      <c r="AD3121" t="str">
        <f t="shared" si="321"/>
        <v>o</v>
      </c>
      <c r="AE3121" t="str">
        <f t="shared" si="325"/>
        <v/>
      </c>
      <c r="AF3121" t="str">
        <f t="shared" si="323"/>
        <v/>
      </c>
      <c r="AG3121" t="str">
        <f t="shared" si="324"/>
        <v/>
      </c>
      <c r="AN3121" t="str">
        <f t="shared" si="320"/>
        <v>Defensive</v>
      </c>
    </row>
    <row r="3122" spans="2:40" x14ac:dyDescent="0.2">
      <c r="B3122" t="str">
        <f t="shared" si="326"/>
        <v/>
      </c>
      <c r="U3122" s="8">
        <f t="shared" si="322"/>
        <v>2</v>
      </c>
      <c r="AD3122" t="str">
        <f t="shared" si="321"/>
        <v>o</v>
      </c>
      <c r="AE3122" t="str">
        <f t="shared" si="325"/>
        <v/>
      </c>
      <c r="AF3122" t="str">
        <f t="shared" si="323"/>
        <v/>
      </c>
      <c r="AG3122" t="str">
        <f t="shared" si="324"/>
        <v/>
      </c>
      <c r="AN3122" t="str">
        <f t="shared" si="320"/>
        <v>Defensive</v>
      </c>
    </row>
    <row r="3123" spans="2:40" x14ac:dyDescent="0.2">
      <c r="B3123" t="str">
        <f t="shared" si="326"/>
        <v/>
      </c>
      <c r="U3123" s="8">
        <f t="shared" si="322"/>
        <v>2</v>
      </c>
      <c r="AD3123" t="str">
        <f t="shared" si="321"/>
        <v>o</v>
      </c>
      <c r="AE3123" t="str">
        <f t="shared" si="325"/>
        <v/>
      </c>
      <c r="AF3123" t="str">
        <f t="shared" si="323"/>
        <v/>
      </c>
      <c r="AG3123" t="str">
        <f t="shared" si="324"/>
        <v/>
      </c>
      <c r="AN3123" t="str">
        <f t="shared" si="320"/>
        <v>Defensive</v>
      </c>
    </row>
    <row r="3124" spans="2:40" x14ac:dyDescent="0.2">
      <c r="B3124" t="str">
        <f t="shared" si="326"/>
        <v/>
      </c>
      <c r="U3124" s="8">
        <f t="shared" si="322"/>
        <v>2</v>
      </c>
      <c r="AD3124" t="str">
        <f t="shared" si="321"/>
        <v>o</v>
      </c>
      <c r="AE3124" t="str">
        <f t="shared" si="325"/>
        <v/>
      </c>
      <c r="AF3124" t="str">
        <f t="shared" si="323"/>
        <v/>
      </c>
      <c r="AG3124" t="str">
        <f t="shared" si="324"/>
        <v/>
      </c>
      <c r="AN3124" t="str">
        <f t="shared" si="320"/>
        <v>Defensive</v>
      </c>
    </row>
    <row r="3125" spans="2:40" x14ac:dyDescent="0.2">
      <c r="B3125" t="str">
        <f t="shared" si="326"/>
        <v/>
      </c>
      <c r="U3125" s="8">
        <f t="shared" si="322"/>
        <v>2</v>
      </c>
      <c r="AD3125" t="str">
        <f t="shared" si="321"/>
        <v>o</v>
      </c>
      <c r="AE3125" t="str">
        <f t="shared" si="325"/>
        <v/>
      </c>
      <c r="AF3125" t="str">
        <f t="shared" si="323"/>
        <v/>
      </c>
      <c r="AG3125" t="str">
        <f t="shared" si="324"/>
        <v/>
      </c>
      <c r="AN3125" t="str">
        <f t="shared" si="320"/>
        <v>Defensive</v>
      </c>
    </row>
    <row r="3126" spans="2:40" x14ac:dyDescent="0.2">
      <c r="B3126" t="str">
        <f t="shared" si="326"/>
        <v/>
      </c>
      <c r="U3126" s="8">
        <f t="shared" si="322"/>
        <v>2</v>
      </c>
      <c r="AD3126" t="str">
        <f t="shared" si="321"/>
        <v>o</v>
      </c>
      <c r="AE3126" t="str">
        <f t="shared" si="325"/>
        <v/>
      </c>
      <c r="AF3126" t="str">
        <f t="shared" si="323"/>
        <v/>
      </c>
      <c r="AG3126" t="str">
        <f t="shared" si="324"/>
        <v/>
      </c>
      <c r="AN3126" t="str">
        <f t="shared" si="320"/>
        <v>Defensive</v>
      </c>
    </row>
    <row r="3127" spans="2:40" x14ac:dyDescent="0.2">
      <c r="B3127" t="str">
        <f t="shared" si="326"/>
        <v/>
      </c>
      <c r="U3127" s="8">
        <f t="shared" si="322"/>
        <v>2</v>
      </c>
      <c r="AD3127" t="str">
        <f t="shared" si="321"/>
        <v>o</v>
      </c>
      <c r="AE3127" t="str">
        <f t="shared" si="325"/>
        <v/>
      </c>
      <c r="AF3127" t="str">
        <f t="shared" si="323"/>
        <v/>
      </c>
      <c r="AG3127" t="str">
        <f t="shared" si="324"/>
        <v/>
      </c>
      <c r="AN3127" t="str">
        <f t="shared" si="320"/>
        <v>Defensive</v>
      </c>
    </row>
    <row r="3128" spans="2:40" x14ac:dyDescent="0.2">
      <c r="B3128" t="str">
        <f t="shared" si="326"/>
        <v/>
      </c>
      <c r="U3128" s="8">
        <f t="shared" si="322"/>
        <v>2</v>
      </c>
      <c r="AD3128" t="str">
        <f t="shared" si="321"/>
        <v>o</v>
      </c>
      <c r="AE3128" t="str">
        <f t="shared" si="325"/>
        <v/>
      </c>
      <c r="AF3128" t="str">
        <f t="shared" si="323"/>
        <v/>
      </c>
      <c r="AG3128" t="str">
        <f t="shared" si="324"/>
        <v/>
      </c>
      <c r="AN3128" t="str">
        <f t="shared" si="320"/>
        <v>Defensive</v>
      </c>
    </row>
    <row r="3129" spans="2:40" x14ac:dyDescent="0.2">
      <c r="B3129" t="str">
        <f t="shared" si="326"/>
        <v/>
      </c>
      <c r="U3129" s="8">
        <f t="shared" si="322"/>
        <v>2</v>
      </c>
      <c r="AD3129" t="str">
        <f t="shared" si="321"/>
        <v>o</v>
      </c>
      <c r="AE3129" t="str">
        <f t="shared" si="325"/>
        <v/>
      </c>
      <c r="AF3129" t="str">
        <f t="shared" si="323"/>
        <v/>
      </c>
      <c r="AG3129" t="str">
        <f t="shared" si="324"/>
        <v/>
      </c>
      <c r="AN3129" t="str">
        <f t="shared" ref="AN3129:AN3192" si="327">IF(AND(AD3129="e",OR(AE3129="Save",AF3129="Turnover_Takeaway",AF3129="Play_Defensive")),"Defensive",IF(AND(AD3129="o",OR(AE3129="Save",AF3129="Turnover_Takeaway",AF3129="Play_Defensive")),"Offensive",IF(OR(AE3129="Deadice",AE3129="Stoppage",AE3129="Intermission"),"",IF(AD3129="e","Offensive",IF(AD3129="o","Defensive","")))))</f>
        <v>Defensive</v>
      </c>
    </row>
    <row r="3130" spans="2:40" x14ac:dyDescent="0.2">
      <c r="B3130" t="str">
        <f t="shared" si="326"/>
        <v/>
      </c>
      <c r="U3130" s="8">
        <f t="shared" si="322"/>
        <v>2</v>
      </c>
      <c r="AD3130" t="str">
        <f t="shared" si="321"/>
        <v>o</v>
      </c>
      <c r="AE3130" t="str">
        <f t="shared" si="325"/>
        <v/>
      </c>
      <c r="AF3130" t="str">
        <f t="shared" si="323"/>
        <v/>
      </c>
      <c r="AG3130" t="str">
        <f t="shared" si="324"/>
        <v/>
      </c>
      <c r="AN3130" t="str">
        <f t="shared" si="327"/>
        <v>Defensive</v>
      </c>
    </row>
    <row r="3131" spans="2:40" x14ac:dyDescent="0.2">
      <c r="B3131" t="str">
        <f t="shared" si="326"/>
        <v/>
      </c>
      <c r="U3131" s="8">
        <f t="shared" si="322"/>
        <v>2</v>
      </c>
      <c r="AD3131" t="str">
        <f t="shared" si="321"/>
        <v>o</v>
      </c>
      <c r="AE3131" t="str">
        <f t="shared" si="325"/>
        <v/>
      </c>
      <c r="AF3131" t="str">
        <f t="shared" si="323"/>
        <v/>
      </c>
      <c r="AG3131" t="str">
        <f t="shared" si="324"/>
        <v/>
      </c>
      <c r="AN3131" t="str">
        <f t="shared" si="327"/>
        <v>Defensive</v>
      </c>
    </row>
    <row r="3132" spans="2:40" x14ac:dyDescent="0.2">
      <c r="B3132" t="str">
        <f t="shared" si="326"/>
        <v/>
      </c>
      <c r="U3132" s="8">
        <f t="shared" si="322"/>
        <v>2</v>
      </c>
      <c r="AD3132" t="str">
        <f t="shared" si="321"/>
        <v>o</v>
      </c>
      <c r="AE3132" t="str">
        <f t="shared" si="325"/>
        <v/>
      </c>
      <c r="AF3132" t="str">
        <f t="shared" si="323"/>
        <v/>
      </c>
      <c r="AG3132" t="str">
        <f t="shared" si="324"/>
        <v/>
      </c>
      <c r="AN3132" t="str">
        <f t="shared" si="327"/>
        <v>Defensive</v>
      </c>
    </row>
    <row r="3133" spans="2:40" x14ac:dyDescent="0.2">
      <c r="B3133" t="str">
        <f t="shared" si="326"/>
        <v/>
      </c>
      <c r="U3133" s="8">
        <f t="shared" si="322"/>
        <v>2</v>
      </c>
      <c r="AD3133" t="str">
        <f t="shared" si="321"/>
        <v>o</v>
      </c>
      <c r="AE3133" t="str">
        <f t="shared" si="325"/>
        <v/>
      </c>
      <c r="AF3133" t="str">
        <f t="shared" si="323"/>
        <v/>
      </c>
      <c r="AG3133" t="str">
        <f t="shared" si="324"/>
        <v/>
      </c>
      <c r="AN3133" t="str">
        <f t="shared" si="327"/>
        <v>Defensive</v>
      </c>
    </row>
    <row r="3134" spans="2:40" x14ac:dyDescent="0.2">
      <c r="B3134" t="str">
        <f t="shared" si="326"/>
        <v/>
      </c>
      <c r="U3134" s="8">
        <f t="shared" si="322"/>
        <v>2</v>
      </c>
      <c r="AD3134" t="str">
        <f t="shared" si="321"/>
        <v>o</v>
      </c>
      <c r="AE3134" t="str">
        <f t="shared" si="325"/>
        <v/>
      </c>
      <c r="AF3134" t="str">
        <f t="shared" si="323"/>
        <v/>
      </c>
      <c r="AG3134" t="str">
        <f t="shared" si="324"/>
        <v/>
      </c>
      <c r="AN3134" t="str">
        <f t="shared" si="327"/>
        <v>Defensive</v>
      </c>
    </row>
    <row r="3135" spans="2:40" x14ac:dyDescent="0.2">
      <c r="B3135" t="str">
        <f t="shared" si="326"/>
        <v/>
      </c>
      <c r="U3135" s="8">
        <f t="shared" si="322"/>
        <v>2</v>
      </c>
      <c r="AD3135" t="str">
        <f t="shared" si="321"/>
        <v>o</v>
      </c>
      <c r="AE3135" t="str">
        <f t="shared" si="325"/>
        <v/>
      </c>
      <c r="AF3135" t="str">
        <f t="shared" si="323"/>
        <v/>
      </c>
      <c r="AG3135" t="str">
        <f t="shared" si="324"/>
        <v/>
      </c>
      <c r="AN3135" t="str">
        <f t="shared" si="327"/>
        <v>Defensive</v>
      </c>
    </row>
    <row r="3136" spans="2:40" x14ac:dyDescent="0.2">
      <c r="B3136" t="str">
        <f t="shared" si="326"/>
        <v/>
      </c>
      <c r="U3136" s="8">
        <f t="shared" si="322"/>
        <v>2</v>
      </c>
      <c r="AD3136" t="str">
        <f t="shared" si="321"/>
        <v>o</v>
      </c>
      <c r="AE3136" t="str">
        <f t="shared" si="325"/>
        <v/>
      </c>
      <c r="AF3136" t="str">
        <f t="shared" si="323"/>
        <v/>
      </c>
      <c r="AG3136" t="str">
        <f t="shared" si="324"/>
        <v/>
      </c>
      <c r="AN3136" t="str">
        <f t="shared" si="327"/>
        <v>Defensive</v>
      </c>
    </row>
    <row r="3137" spans="2:40" x14ac:dyDescent="0.2">
      <c r="B3137" t="str">
        <f t="shared" si="326"/>
        <v/>
      </c>
      <c r="U3137" s="8">
        <f t="shared" si="322"/>
        <v>2</v>
      </c>
      <c r="AD3137" t="str">
        <f t="shared" si="321"/>
        <v>o</v>
      </c>
      <c r="AE3137" t="str">
        <f t="shared" si="325"/>
        <v/>
      </c>
      <c r="AF3137" t="str">
        <f t="shared" si="323"/>
        <v/>
      </c>
      <c r="AG3137" t="str">
        <f t="shared" si="324"/>
        <v/>
      </c>
      <c r="AN3137" t="str">
        <f t="shared" si="327"/>
        <v>Defensive</v>
      </c>
    </row>
    <row r="3138" spans="2:40" x14ac:dyDescent="0.2">
      <c r="B3138" t="str">
        <f t="shared" si="326"/>
        <v/>
      </c>
      <c r="U3138" s="8">
        <f t="shared" si="322"/>
        <v>2</v>
      </c>
      <c r="AD3138" t="str">
        <f t="shared" ref="AD3138:AD3201" si="328">IF(K3138="x","",IF(K3138=1,"e","o"))</f>
        <v>o</v>
      </c>
      <c r="AE3138" t="str">
        <f t="shared" si="325"/>
        <v/>
      </c>
      <c r="AF3138" t="str">
        <f t="shared" si="323"/>
        <v/>
      </c>
      <c r="AG3138" t="str">
        <f t="shared" si="324"/>
        <v/>
      </c>
      <c r="AN3138" t="str">
        <f t="shared" si="327"/>
        <v>Defensive</v>
      </c>
    </row>
    <row r="3139" spans="2:40" x14ac:dyDescent="0.2">
      <c r="B3139" t="str">
        <f t="shared" si="326"/>
        <v/>
      </c>
      <c r="U3139" s="8">
        <f t="shared" ref="U3139:U3202" si="329">IF(M3139="Intermission",U3138+1,U3138)</f>
        <v>2</v>
      </c>
      <c r="AD3139" t="str">
        <f t="shared" si="328"/>
        <v>o</v>
      </c>
      <c r="AE3139" t="str">
        <f t="shared" si="325"/>
        <v/>
      </c>
      <c r="AF3139" t="str">
        <f t="shared" ref="AF3139:AF3202" si="330">IF(N3139&lt;&gt;"",N3139,IF($A3139=$A3138,AF3138,""))</f>
        <v/>
      </c>
      <c r="AG3139" t="str">
        <f t="shared" ref="AG3139:AG3202" si="331">IF(O3139&lt;&gt;"",O3139,IF($A3139=$A3138,AG3138,""))</f>
        <v/>
      </c>
      <c r="AN3139" t="str">
        <f t="shared" si="327"/>
        <v>Defensive</v>
      </c>
    </row>
    <row r="3140" spans="2:40" x14ac:dyDescent="0.2">
      <c r="B3140" t="str">
        <f t="shared" si="326"/>
        <v/>
      </c>
      <c r="U3140" s="8">
        <f t="shared" si="329"/>
        <v>2</v>
      </c>
      <c r="AD3140" t="str">
        <f t="shared" si="328"/>
        <v>o</v>
      </c>
      <c r="AE3140" t="str">
        <f t="shared" ref="AE3140:AE3203" si="332">IF(M3140&lt;&gt;"",M3140,IF($A3140=$A3139,AE3139,""))</f>
        <v/>
      </c>
      <c r="AF3140" t="str">
        <f t="shared" si="330"/>
        <v/>
      </c>
      <c r="AG3140" t="str">
        <f t="shared" si="331"/>
        <v/>
      </c>
      <c r="AN3140" t="str">
        <f t="shared" si="327"/>
        <v>Defensive</v>
      </c>
    </row>
    <row r="3141" spans="2:40" x14ac:dyDescent="0.2">
      <c r="B3141" t="str">
        <f t="shared" si="326"/>
        <v/>
      </c>
      <c r="U3141" s="8">
        <f t="shared" si="329"/>
        <v>2</v>
      </c>
      <c r="AD3141" t="str">
        <f t="shared" si="328"/>
        <v>o</v>
      </c>
      <c r="AE3141" t="str">
        <f t="shared" si="332"/>
        <v/>
      </c>
      <c r="AF3141" t="str">
        <f t="shared" si="330"/>
        <v/>
      </c>
      <c r="AG3141" t="str">
        <f t="shared" si="331"/>
        <v/>
      </c>
      <c r="AN3141" t="str">
        <f t="shared" si="327"/>
        <v>Defensive</v>
      </c>
    </row>
    <row r="3142" spans="2:40" x14ac:dyDescent="0.2">
      <c r="B3142" t="str">
        <f t="shared" si="326"/>
        <v/>
      </c>
      <c r="U3142" s="8">
        <f t="shared" si="329"/>
        <v>2</v>
      </c>
      <c r="AD3142" t="str">
        <f t="shared" si="328"/>
        <v>o</v>
      </c>
      <c r="AE3142" t="str">
        <f t="shared" si="332"/>
        <v/>
      </c>
      <c r="AF3142" t="str">
        <f t="shared" si="330"/>
        <v/>
      </c>
      <c r="AG3142" t="str">
        <f t="shared" si="331"/>
        <v/>
      </c>
      <c r="AN3142" t="str">
        <f t="shared" si="327"/>
        <v>Defensive</v>
      </c>
    </row>
    <row r="3143" spans="2:40" x14ac:dyDescent="0.2">
      <c r="B3143" t="str">
        <f t="shared" si="326"/>
        <v/>
      </c>
      <c r="U3143" s="8">
        <f t="shared" si="329"/>
        <v>2</v>
      </c>
      <c r="AD3143" t="str">
        <f t="shared" si="328"/>
        <v>o</v>
      </c>
      <c r="AE3143" t="str">
        <f t="shared" si="332"/>
        <v/>
      </c>
      <c r="AF3143" t="str">
        <f t="shared" si="330"/>
        <v/>
      </c>
      <c r="AG3143" t="str">
        <f t="shared" si="331"/>
        <v/>
      </c>
      <c r="AN3143" t="str">
        <f t="shared" si="327"/>
        <v>Defensive</v>
      </c>
    </row>
    <row r="3144" spans="2:40" x14ac:dyDescent="0.2">
      <c r="B3144" t="str">
        <f t="shared" si="326"/>
        <v/>
      </c>
      <c r="U3144" s="8">
        <f t="shared" si="329"/>
        <v>2</v>
      </c>
      <c r="AD3144" t="str">
        <f t="shared" si="328"/>
        <v>o</v>
      </c>
      <c r="AE3144" t="str">
        <f t="shared" si="332"/>
        <v/>
      </c>
      <c r="AF3144" t="str">
        <f t="shared" si="330"/>
        <v/>
      </c>
      <c r="AG3144" t="str">
        <f t="shared" si="331"/>
        <v/>
      </c>
      <c r="AN3144" t="str">
        <f t="shared" si="327"/>
        <v>Defensive</v>
      </c>
    </row>
    <row r="3145" spans="2:40" x14ac:dyDescent="0.2">
      <c r="B3145" t="str">
        <f t="shared" si="326"/>
        <v/>
      </c>
      <c r="U3145" s="8">
        <f t="shared" si="329"/>
        <v>2</v>
      </c>
      <c r="AD3145" t="str">
        <f t="shared" si="328"/>
        <v>o</v>
      </c>
      <c r="AE3145" t="str">
        <f t="shared" si="332"/>
        <v/>
      </c>
      <c r="AF3145" t="str">
        <f t="shared" si="330"/>
        <v/>
      </c>
      <c r="AG3145" t="str">
        <f t="shared" si="331"/>
        <v/>
      </c>
      <c r="AN3145" t="str">
        <f t="shared" si="327"/>
        <v>Defensive</v>
      </c>
    </row>
    <row r="3146" spans="2:40" x14ac:dyDescent="0.2">
      <c r="B3146" t="str">
        <f t="shared" si="326"/>
        <v/>
      </c>
      <c r="U3146" s="8">
        <f t="shared" si="329"/>
        <v>2</v>
      </c>
      <c r="AD3146" t="str">
        <f t="shared" si="328"/>
        <v>o</v>
      </c>
      <c r="AE3146" t="str">
        <f t="shared" si="332"/>
        <v/>
      </c>
      <c r="AF3146" t="str">
        <f t="shared" si="330"/>
        <v/>
      </c>
      <c r="AG3146" t="str">
        <f t="shared" si="331"/>
        <v/>
      </c>
      <c r="AN3146" t="str">
        <f t="shared" si="327"/>
        <v>Defensive</v>
      </c>
    </row>
    <row r="3147" spans="2:40" x14ac:dyDescent="0.2">
      <c r="B3147" t="str">
        <f t="shared" si="326"/>
        <v/>
      </c>
      <c r="U3147" s="8">
        <f t="shared" si="329"/>
        <v>2</v>
      </c>
      <c r="AD3147" t="str">
        <f t="shared" si="328"/>
        <v>o</v>
      </c>
      <c r="AE3147" t="str">
        <f t="shared" si="332"/>
        <v/>
      </c>
      <c r="AF3147" t="str">
        <f t="shared" si="330"/>
        <v/>
      </c>
      <c r="AG3147" t="str">
        <f t="shared" si="331"/>
        <v/>
      </c>
      <c r="AN3147" t="str">
        <f t="shared" si="327"/>
        <v>Defensive</v>
      </c>
    </row>
    <row r="3148" spans="2:40" x14ac:dyDescent="0.2">
      <c r="B3148" t="str">
        <f t="shared" si="326"/>
        <v/>
      </c>
      <c r="U3148" s="8">
        <f t="shared" si="329"/>
        <v>2</v>
      </c>
      <c r="AD3148" t="str">
        <f t="shared" si="328"/>
        <v>o</v>
      </c>
      <c r="AE3148" t="str">
        <f t="shared" si="332"/>
        <v/>
      </c>
      <c r="AF3148" t="str">
        <f t="shared" si="330"/>
        <v/>
      </c>
      <c r="AG3148" t="str">
        <f t="shared" si="331"/>
        <v/>
      </c>
      <c r="AN3148" t="str">
        <f t="shared" si="327"/>
        <v>Defensive</v>
      </c>
    </row>
    <row r="3149" spans="2:40" x14ac:dyDescent="0.2">
      <c r="B3149" t="str">
        <f t="shared" si="326"/>
        <v/>
      </c>
      <c r="U3149" s="8">
        <f t="shared" si="329"/>
        <v>2</v>
      </c>
      <c r="AD3149" t="str">
        <f t="shared" si="328"/>
        <v>o</v>
      </c>
      <c r="AE3149" t="str">
        <f t="shared" si="332"/>
        <v/>
      </c>
      <c r="AF3149" t="str">
        <f t="shared" si="330"/>
        <v/>
      </c>
      <c r="AG3149" t="str">
        <f t="shared" si="331"/>
        <v/>
      </c>
      <c r="AN3149" t="str">
        <f t="shared" si="327"/>
        <v>Defensive</v>
      </c>
    </row>
    <row r="3150" spans="2:40" x14ac:dyDescent="0.2">
      <c r="B3150" t="str">
        <f t="shared" si="326"/>
        <v/>
      </c>
      <c r="U3150" s="8">
        <f t="shared" si="329"/>
        <v>2</v>
      </c>
      <c r="AD3150" t="str">
        <f t="shared" si="328"/>
        <v>o</v>
      </c>
      <c r="AE3150" t="str">
        <f t="shared" si="332"/>
        <v/>
      </c>
      <c r="AF3150" t="str">
        <f t="shared" si="330"/>
        <v/>
      </c>
      <c r="AG3150" t="str">
        <f t="shared" si="331"/>
        <v/>
      </c>
      <c r="AN3150" t="str">
        <f t="shared" si="327"/>
        <v>Defensive</v>
      </c>
    </row>
    <row r="3151" spans="2:40" x14ac:dyDescent="0.2">
      <c r="B3151" t="str">
        <f t="shared" si="326"/>
        <v/>
      </c>
      <c r="U3151" s="8">
        <f t="shared" si="329"/>
        <v>2</v>
      </c>
      <c r="AD3151" t="str">
        <f t="shared" si="328"/>
        <v>o</v>
      </c>
      <c r="AE3151" t="str">
        <f t="shared" si="332"/>
        <v/>
      </c>
      <c r="AF3151" t="str">
        <f t="shared" si="330"/>
        <v/>
      </c>
      <c r="AG3151" t="str">
        <f t="shared" si="331"/>
        <v/>
      </c>
      <c r="AN3151" t="str">
        <f t="shared" si="327"/>
        <v>Defensive</v>
      </c>
    </row>
    <row r="3152" spans="2:40" x14ac:dyDescent="0.2">
      <c r="B3152" t="str">
        <f t="shared" si="326"/>
        <v/>
      </c>
      <c r="U3152" s="8">
        <f t="shared" si="329"/>
        <v>2</v>
      </c>
      <c r="AD3152" t="str">
        <f t="shared" si="328"/>
        <v>o</v>
      </c>
      <c r="AE3152" t="str">
        <f t="shared" si="332"/>
        <v/>
      </c>
      <c r="AF3152" t="str">
        <f t="shared" si="330"/>
        <v/>
      </c>
      <c r="AG3152" t="str">
        <f t="shared" si="331"/>
        <v/>
      </c>
      <c r="AN3152" t="str">
        <f t="shared" si="327"/>
        <v>Defensive</v>
      </c>
    </row>
    <row r="3153" spans="2:40" x14ac:dyDescent="0.2">
      <c r="B3153" t="str">
        <f t="shared" si="326"/>
        <v/>
      </c>
      <c r="U3153" s="8">
        <f t="shared" si="329"/>
        <v>2</v>
      </c>
      <c r="AD3153" t="str">
        <f t="shared" si="328"/>
        <v>o</v>
      </c>
      <c r="AE3153" t="str">
        <f t="shared" si="332"/>
        <v/>
      </c>
      <c r="AF3153" t="str">
        <f t="shared" si="330"/>
        <v/>
      </c>
      <c r="AG3153" t="str">
        <f t="shared" si="331"/>
        <v/>
      </c>
      <c r="AN3153" t="str">
        <f t="shared" si="327"/>
        <v>Defensive</v>
      </c>
    </row>
    <row r="3154" spans="2:40" x14ac:dyDescent="0.2">
      <c r="B3154" t="str">
        <f t="shared" si="326"/>
        <v/>
      </c>
      <c r="U3154" s="8">
        <f t="shared" si="329"/>
        <v>2</v>
      </c>
      <c r="AD3154" t="str">
        <f t="shared" si="328"/>
        <v>o</v>
      </c>
      <c r="AE3154" t="str">
        <f t="shared" si="332"/>
        <v/>
      </c>
      <c r="AF3154" t="str">
        <f t="shared" si="330"/>
        <v/>
      </c>
      <c r="AG3154" t="str">
        <f t="shared" si="331"/>
        <v/>
      </c>
      <c r="AN3154" t="str">
        <f t="shared" si="327"/>
        <v>Defensive</v>
      </c>
    </row>
    <row r="3155" spans="2:40" x14ac:dyDescent="0.2">
      <c r="B3155" t="str">
        <f t="shared" si="326"/>
        <v/>
      </c>
      <c r="U3155" s="8">
        <f t="shared" si="329"/>
        <v>2</v>
      </c>
      <c r="AD3155" t="str">
        <f t="shared" si="328"/>
        <v>o</v>
      </c>
      <c r="AE3155" t="str">
        <f t="shared" si="332"/>
        <v/>
      </c>
      <c r="AF3155" t="str">
        <f t="shared" si="330"/>
        <v/>
      </c>
      <c r="AG3155" t="str">
        <f t="shared" si="331"/>
        <v/>
      </c>
      <c r="AN3155" t="str">
        <f t="shared" si="327"/>
        <v>Defensive</v>
      </c>
    </row>
    <row r="3156" spans="2:40" x14ac:dyDescent="0.2">
      <c r="B3156" t="str">
        <f t="shared" si="326"/>
        <v/>
      </c>
      <c r="U3156" s="8">
        <f t="shared" si="329"/>
        <v>2</v>
      </c>
      <c r="AD3156" t="str">
        <f t="shared" si="328"/>
        <v>o</v>
      </c>
      <c r="AE3156" t="str">
        <f t="shared" si="332"/>
        <v/>
      </c>
      <c r="AF3156" t="str">
        <f t="shared" si="330"/>
        <v/>
      </c>
      <c r="AG3156" t="str">
        <f t="shared" si="331"/>
        <v/>
      </c>
      <c r="AN3156" t="str">
        <f t="shared" si="327"/>
        <v>Defensive</v>
      </c>
    </row>
    <row r="3157" spans="2:40" x14ac:dyDescent="0.2">
      <c r="B3157" t="str">
        <f t="shared" si="326"/>
        <v/>
      </c>
      <c r="U3157" s="8">
        <f t="shared" si="329"/>
        <v>2</v>
      </c>
      <c r="AD3157" t="str">
        <f t="shared" si="328"/>
        <v>o</v>
      </c>
      <c r="AE3157" t="str">
        <f t="shared" si="332"/>
        <v/>
      </c>
      <c r="AF3157" t="str">
        <f t="shared" si="330"/>
        <v/>
      </c>
      <c r="AG3157" t="str">
        <f t="shared" si="331"/>
        <v/>
      </c>
      <c r="AN3157" t="str">
        <f t="shared" si="327"/>
        <v>Defensive</v>
      </c>
    </row>
    <row r="3158" spans="2:40" x14ac:dyDescent="0.2">
      <c r="B3158" t="str">
        <f t="shared" si="326"/>
        <v/>
      </c>
      <c r="U3158" s="8">
        <f t="shared" si="329"/>
        <v>2</v>
      </c>
      <c r="AD3158" t="str">
        <f t="shared" si="328"/>
        <v>o</v>
      </c>
      <c r="AE3158" t="str">
        <f t="shared" si="332"/>
        <v/>
      </c>
      <c r="AF3158" t="str">
        <f t="shared" si="330"/>
        <v/>
      </c>
      <c r="AG3158" t="str">
        <f t="shared" si="331"/>
        <v/>
      </c>
      <c r="AN3158" t="str">
        <f t="shared" si="327"/>
        <v>Defensive</v>
      </c>
    </row>
    <row r="3159" spans="2:40" x14ac:dyDescent="0.2">
      <c r="B3159" t="str">
        <f t="shared" si="326"/>
        <v/>
      </c>
      <c r="U3159" s="8">
        <f t="shared" si="329"/>
        <v>2</v>
      </c>
      <c r="AD3159" t="str">
        <f t="shared" si="328"/>
        <v>o</v>
      </c>
      <c r="AE3159" t="str">
        <f t="shared" si="332"/>
        <v/>
      </c>
      <c r="AF3159" t="str">
        <f t="shared" si="330"/>
        <v/>
      </c>
      <c r="AG3159" t="str">
        <f t="shared" si="331"/>
        <v/>
      </c>
      <c r="AN3159" t="str">
        <f t="shared" si="327"/>
        <v>Defensive</v>
      </c>
    </row>
    <row r="3160" spans="2:40" x14ac:dyDescent="0.2">
      <c r="B3160" t="str">
        <f t="shared" si="326"/>
        <v/>
      </c>
      <c r="U3160" s="8">
        <f t="shared" si="329"/>
        <v>2</v>
      </c>
      <c r="AD3160" t="str">
        <f t="shared" si="328"/>
        <v>o</v>
      </c>
      <c r="AE3160" t="str">
        <f t="shared" si="332"/>
        <v/>
      </c>
      <c r="AF3160" t="str">
        <f t="shared" si="330"/>
        <v/>
      </c>
      <c r="AG3160" t="str">
        <f t="shared" si="331"/>
        <v/>
      </c>
      <c r="AN3160" t="str">
        <f t="shared" si="327"/>
        <v>Defensive</v>
      </c>
    </row>
    <row r="3161" spans="2:40" x14ac:dyDescent="0.2">
      <c r="B3161" t="str">
        <f t="shared" si="326"/>
        <v/>
      </c>
      <c r="U3161" s="8">
        <f t="shared" si="329"/>
        <v>2</v>
      </c>
      <c r="AD3161" t="str">
        <f t="shared" si="328"/>
        <v>o</v>
      </c>
      <c r="AE3161" t="str">
        <f t="shared" si="332"/>
        <v/>
      </c>
      <c r="AF3161" t="str">
        <f t="shared" si="330"/>
        <v/>
      </c>
      <c r="AG3161" t="str">
        <f t="shared" si="331"/>
        <v/>
      </c>
      <c r="AN3161" t="str">
        <f t="shared" si="327"/>
        <v>Defensive</v>
      </c>
    </row>
    <row r="3162" spans="2:40" x14ac:dyDescent="0.2">
      <c r="B3162" t="str">
        <f t="shared" si="326"/>
        <v/>
      </c>
      <c r="U3162" s="8">
        <f t="shared" si="329"/>
        <v>2</v>
      </c>
      <c r="AD3162" t="str">
        <f t="shared" si="328"/>
        <v>o</v>
      </c>
      <c r="AE3162" t="str">
        <f t="shared" si="332"/>
        <v/>
      </c>
      <c r="AF3162" t="str">
        <f t="shared" si="330"/>
        <v/>
      </c>
      <c r="AG3162" t="str">
        <f t="shared" si="331"/>
        <v/>
      </c>
      <c r="AN3162" t="str">
        <f t="shared" si="327"/>
        <v>Defensive</v>
      </c>
    </row>
    <row r="3163" spans="2:40" x14ac:dyDescent="0.2">
      <c r="B3163" t="str">
        <f t="shared" si="326"/>
        <v/>
      </c>
      <c r="U3163" s="8">
        <f t="shared" si="329"/>
        <v>2</v>
      </c>
      <c r="AD3163" t="str">
        <f t="shared" si="328"/>
        <v>o</v>
      </c>
      <c r="AE3163" t="str">
        <f t="shared" si="332"/>
        <v/>
      </c>
      <c r="AF3163" t="str">
        <f t="shared" si="330"/>
        <v/>
      </c>
      <c r="AG3163" t="str">
        <f t="shared" si="331"/>
        <v/>
      </c>
      <c r="AN3163" t="str">
        <f t="shared" si="327"/>
        <v>Defensive</v>
      </c>
    </row>
    <row r="3164" spans="2:40" x14ac:dyDescent="0.2">
      <c r="B3164" t="str">
        <f t="shared" si="326"/>
        <v/>
      </c>
      <c r="U3164" s="8">
        <f t="shared" si="329"/>
        <v>2</v>
      </c>
      <c r="AD3164" t="str">
        <f t="shared" si="328"/>
        <v>o</v>
      </c>
      <c r="AE3164" t="str">
        <f t="shared" si="332"/>
        <v/>
      </c>
      <c r="AF3164" t="str">
        <f t="shared" si="330"/>
        <v/>
      </c>
      <c r="AG3164" t="str">
        <f t="shared" si="331"/>
        <v/>
      </c>
      <c r="AN3164" t="str">
        <f t="shared" si="327"/>
        <v>Defensive</v>
      </c>
    </row>
    <row r="3165" spans="2:40" x14ac:dyDescent="0.2">
      <c r="B3165" t="str">
        <f t="shared" si="326"/>
        <v/>
      </c>
      <c r="U3165" s="8">
        <f t="shared" si="329"/>
        <v>2</v>
      </c>
      <c r="AD3165" t="str">
        <f t="shared" si="328"/>
        <v>o</v>
      </c>
      <c r="AE3165" t="str">
        <f t="shared" si="332"/>
        <v/>
      </c>
      <c r="AF3165" t="str">
        <f t="shared" si="330"/>
        <v/>
      </c>
      <c r="AG3165" t="str">
        <f t="shared" si="331"/>
        <v/>
      </c>
      <c r="AN3165" t="str">
        <f t="shared" si="327"/>
        <v>Defensive</v>
      </c>
    </row>
    <row r="3166" spans="2:40" x14ac:dyDescent="0.2">
      <c r="B3166" t="str">
        <f t="shared" si="326"/>
        <v/>
      </c>
      <c r="U3166" s="8">
        <f t="shared" si="329"/>
        <v>2</v>
      </c>
      <c r="AD3166" t="str">
        <f t="shared" si="328"/>
        <v>o</v>
      </c>
      <c r="AE3166" t="str">
        <f t="shared" si="332"/>
        <v/>
      </c>
      <c r="AF3166" t="str">
        <f t="shared" si="330"/>
        <v/>
      </c>
      <c r="AG3166" t="str">
        <f t="shared" si="331"/>
        <v/>
      </c>
      <c r="AN3166" t="str">
        <f t="shared" si="327"/>
        <v>Defensive</v>
      </c>
    </row>
    <row r="3167" spans="2:40" x14ac:dyDescent="0.2">
      <c r="B3167" t="str">
        <f t="shared" si="326"/>
        <v/>
      </c>
      <c r="U3167" s="8">
        <f t="shared" si="329"/>
        <v>2</v>
      </c>
      <c r="AD3167" t="str">
        <f t="shared" si="328"/>
        <v>o</v>
      </c>
      <c r="AE3167" t="str">
        <f t="shared" si="332"/>
        <v/>
      </c>
      <c r="AF3167" t="str">
        <f t="shared" si="330"/>
        <v/>
      </c>
      <c r="AG3167" t="str">
        <f t="shared" si="331"/>
        <v/>
      </c>
      <c r="AN3167" t="str">
        <f t="shared" si="327"/>
        <v>Defensive</v>
      </c>
    </row>
    <row r="3168" spans="2:40" x14ac:dyDescent="0.2">
      <c r="B3168" t="str">
        <f t="shared" si="326"/>
        <v/>
      </c>
      <c r="U3168" s="8">
        <f t="shared" si="329"/>
        <v>2</v>
      </c>
      <c r="AD3168" t="str">
        <f t="shared" si="328"/>
        <v>o</v>
      </c>
      <c r="AE3168" t="str">
        <f t="shared" si="332"/>
        <v/>
      </c>
      <c r="AF3168" t="str">
        <f t="shared" si="330"/>
        <v/>
      </c>
      <c r="AG3168" t="str">
        <f t="shared" si="331"/>
        <v/>
      </c>
      <c r="AN3168" t="str">
        <f t="shared" si="327"/>
        <v>Defensive</v>
      </c>
    </row>
    <row r="3169" spans="2:40" x14ac:dyDescent="0.2">
      <c r="B3169" t="str">
        <f t="shared" si="326"/>
        <v/>
      </c>
      <c r="U3169" s="8">
        <f t="shared" si="329"/>
        <v>2</v>
      </c>
      <c r="AD3169" t="str">
        <f t="shared" si="328"/>
        <v>o</v>
      </c>
      <c r="AE3169" t="str">
        <f t="shared" si="332"/>
        <v/>
      </c>
      <c r="AF3169" t="str">
        <f t="shared" si="330"/>
        <v/>
      </c>
      <c r="AG3169" t="str">
        <f t="shared" si="331"/>
        <v/>
      </c>
      <c r="AN3169" t="str">
        <f t="shared" si="327"/>
        <v>Defensive</v>
      </c>
    </row>
    <row r="3170" spans="2:40" x14ac:dyDescent="0.2">
      <c r="B3170" t="str">
        <f t="shared" si="326"/>
        <v/>
      </c>
      <c r="U3170" s="8">
        <f t="shared" si="329"/>
        <v>2</v>
      </c>
      <c r="AD3170" t="str">
        <f t="shared" si="328"/>
        <v>o</v>
      </c>
      <c r="AE3170" t="str">
        <f t="shared" si="332"/>
        <v/>
      </c>
      <c r="AF3170" t="str">
        <f t="shared" si="330"/>
        <v/>
      </c>
      <c r="AG3170" t="str">
        <f t="shared" si="331"/>
        <v/>
      </c>
      <c r="AN3170" t="str">
        <f t="shared" si="327"/>
        <v>Defensive</v>
      </c>
    </row>
    <row r="3171" spans="2:40" x14ac:dyDescent="0.2">
      <c r="B3171" t="str">
        <f t="shared" si="326"/>
        <v/>
      </c>
      <c r="U3171" s="8">
        <f t="shared" si="329"/>
        <v>2</v>
      </c>
      <c r="AD3171" t="str">
        <f t="shared" si="328"/>
        <v>o</v>
      </c>
      <c r="AE3171" t="str">
        <f t="shared" si="332"/>
        <v/>
      </c>
      <c r="AF3171" t="str">
        <f t="shared" si="330"/>
        <v/>
      </c>
      <c r="AG3171" t="str">
        <f t="shared" si="331"/>
        <v/>
      </c>
      <c r="AN3171" t="str">
        <f t="shared" si="327"/>
        <v>Defensive</v>
      </c>
    </row>
    <row r="3172" spans="2:40" x14ac:dyDescent="0.2">
      <c r="B3172" t="str">
        <f t="shared" si="326"/>
        <v/>
      </c>
      <c r="U3172" s="8">
        <f t="shared" si="329"/>
        <v>2</v>
      </c>
      <c r="AD3172" t="str">
        <f t="shared" si="328"/>
        <v>o</v>
      </c>
      <c r="AE3172" t="str">
        <f t="shared" si="332"/>
        <v/>
      </c>
      <c r="AF3172" t="str">
        <f t="shared" si="330"/>
        <v/>
      </c>
      <c r="AG3172" t="str">
        <f t="shared" si="331"/>
        <v/>
      </c>
      <c r="AN3172" t="str">
        <f t="shared" si="327"/>
        <v>Defensive</v>
      </c>
    </row>
    <row r="3173" spans="2:40" x14ac:dyDescent="0.2">
      <c r="B3173" t="str">
        <f t="shared" si="326"/>
        <v/>
      </c>
      <c r="U3173" s="8">
        <f t="shared" si="329"/>
        <v>2</v>
      </c>
      <c r="AD3173" t="str">
        <f t="shared" si="328"/>
        <v>o</v>
      </c>
      <c r="AE3173" t="str">
        <f t="shared" si="332"/>
        <v/>
      </c>
      <c r="AF3173" t="str">
        <f t="shared" si="330"/>
        <v/>
      </c>
      <c r="AG3173" t="str">
        <f t="shared" si="331"/>
        <v/>
      </c>
      <c r="AN3173" t="str">
        <f t="shared" si="327"/>
        <v>Defensive</v>
      </c>
    </row>
    <row r="3174" spans="2:40" x14ac:dyDescent="0.2">
      <c r="B3174" t="str">
        <f t="shared" si="326"/>
        <v/>
      </c>
      <c r="U3174" s="8">
        <f t="shared" si="329"/>
        <v>2</v>
      </c>
      <c r="AD3174" t="str">
        <f t="shared" si="328"/>
        <v>o</v>
      </c>
      <c r="AE3174" t="str">
        <f t="shared" si="332"/>
        <v/>
      </c>
      <c r="AF3174" t="str">
        <f t="shared" si="330"/>
        <v/>
      </c>
      <c r="AG3174" t="str">
        <f t="shared" si="331"/>
        <v/>
      </c>
      <c r="AN3174" t="str">
        <f t="shared" si="327"/>
        <v>Defensive</v>
      </c>
    </row>
    <row r="3175" spans="2:40" x14ac:dyDescent="0.2">
      <c r="B3175" t="str">
        <f t="shared" si="326"/>
        <v/>
      </c>
      <c r="U3175" s="8">
        <f t="shared" si="329"/>
        <v>2</v>
      </c>
      <c r="AD3175" t="str">
        <f t="shared" si="328"/>
        <v>o</v>
      </c>
      <c r="AE3175" t="str">
        <f t="shared" si="332"/>
        <v/>
      </c>
      <c r="AF3175" t="str">
        <f t="shared" si="330"/>
        <v/>
      </c>
      <c r="AG3175" t="str">
        <f t="shared" si="331"/>
        <v/>
      </c>
      <c r="AN3175" t="str">
        <f t="shared" si="327"/>
        <v>Defensive</v>
      </c>
    </row>
    <row r="3176" spans="2:40" x14ac:dyDescent="0.2">
      <c r="B3176" t="str">
        <f t="shared" si="326"/>
        <v/>
      </c>
      <c r="U3176" s="8">
        <f t="shared" si="329"/>
        <v>2</v>
      </c>
      <c r="AD3176" t="str">
        <f t="shared" si="328"/>
        <v>o</v>
      </c>
      <c r="AE3176" t="str">
        <f t="shared" si="332"/>
        <v/>
      </c>
      <c r="AF3176" t="str">
        <f t="shared" si="330"/>
        <v/>
      </c>
      <c r="AG3176" t="str">
        <f t="shared" si="331"/>
        <v/>
      </c>
      <c r="AN3176" t="str">
        <f t="shared" si="327"/>
        <v>Defensive</v>
      </c>
    </row>
    <row r="3177" spans="2:40" x14ac:dyDescent="0.2">
      <c r="B3177" t="str">
        <f t="shared" si="326"/>
        <v/>
      </c>
      <c r="U3177" s="8">
        <f t="shared" si="329"/>
        <v>2</v>
      </c>
      <c r="AD3177" t="str">
        <f t="shared" si="328"/>
        <v>o</v>
      </c>
      <c r="AE3177" t="str">
        <f t="shared" si="332"/>
        <v/>
      </c>
      <c r="AF3177" t="str">
        <f t="shared" si="330"/>
        <v/>
      </c>
      <c r="AG3177" t="str">
        <f t="shared" si="331"/>
        <v/>
      </c>
      <c r="AN3177" t="str">
        <f t="shared" si="327"/>
        <v>Defensive</v>
      </c>
    </row>
    <row r="3178" spans="2:40" x14ac:dyDescent="0.2">
      <c r="B3178" t="str">
        <f t="shared" si="326"/>
        <v/>
      </c>
      <c r="U3178" s="8">
        <f t="shared" si="329"/>
        <v>2</v>
      </c>
      <c r="AD3178" t="str">
        <f t="shared" si="328"/>
        <v>o</v>
      </c>
      <c r="AE3178" t="str">
        <f t="shared" si="332"/>
        <v/>
      </c>
      <c r="AF3178" t="str">
        <f t="shared" si="330"/>
        <v/>
      </c>
      <c r="AG3178" t="str">
        <f t="shared" si="331"/>
        <v/>
      </c>
      <c r="AN3178" t="str">
        <f t="shared" si="327"/>
        <v>Defensive</v>
      </c>
    </row>
    <row r="3179" spans="2:40" x14ac:dyDescent="0.2">
      <c r="B3179" t="str">
        <f t="shared" si="326"/>
        <v/>
      </c>
      <c r="U3179" s="8">
        <f t="shared" si="329"/>
        <v>2</v>
      </c>
      <c r="AD3179" t="str">
        <f t="shared" si="328"/>
        <v>o</v>
      </c>
      <c r="AE3179" t="str">
        <f t="shared" si="332"/>
        <v/>
      </c>
      <c r="AF3179" t="str">
        <f t="shared" si="330"/>
        <v/>
      </c>
      <c r="AG3179" t="str">
        <f t="shared" si="331"/>
        <v/>
      </c>
      <c r="AN3179" t="str">
        <f t="shared" si="327"/>
        <v>Defensive</v>
      </c>
    </row>
    <row r="3180" spans="2:40" x14ac:dyDescent="0.2">
      <c r="B3180" t="str">
        <f t="shared" si="326"/>
        <v/>
      </c>
      <c r="U3180" s="8">
        <f t="shared" si="329"/>
        <v>2</v>
      </c>
      <c r="AD3180" t="str">
        <f t="shared" si="328"/>
        <v>o</v>
      </c>
      <c r="AE3180" t="str">
        <f t="shared" si="332"/>
        <v/>
      </c>
      <c r="AF3180" t="str">
        <f t="shared" si="330"/>
        <v/>
      </c>
      <c r="AG3180" t="str">
        <f t="shared" si="331"/>
        <v/>
      </c>
      <c r="AN3180" t="str">
        <f t="shared" si="327"/>
        <v>Defensive</v>
      </c>
    </row>
    <row r="3181" spans="2:40" x14ac:dyDescent="0.2">
      <c r="B3181" t="str">
        <f t="shared" si="326"/>
        <v/>
      </c>
      <c r="U3181" s="8">
        <f t="shared" si="329"/>
        <v>2</v>
      </c>
      <c r="AD3181" t="str">
        <f t="shared" si="328"/>
        <v>o</v>
      </c>
      <c r="AE3181" t="str">
        <f t="shared" si="332"/>
        <v/>
      </c>
      <c r="AF3181" t="str">
        <f t="shared" si="330"/>
        <v/>
      </c>
      <c r="AG3181" t="str">
        <f t="shared" si="331"/>
        <v/>
      </c>
      <c r="AN3181" t="str">
        <f t="shared" si="327"/>
        <v>Defensive</v>
      </c>
    </row>
    <row r="3182" spans="2:40" x14ac:dyDescent="0.2">
      <c r="B3182" t="str">
        <f t="shared" si="326"/>
        <v/>
      </c>
      <c r="U3182" s="8">
        <f t="shared" si="329"/>
        <v>2</v>
      </c>
      <c r="AD3182" t="str">
        <f t="shared" si="328"/>
        <v>o</v>
      </c>
      <c r="AE3182" t="str">
        <f t="shared" si="332"/>
        <v/>
      </c>
      <c r="AF3182" t="str">
        <f t="shared" si="330"/>
        <v/>
      </c>
      <c r="AG3182" t="str">
        <f t="shared" si="331"/>
        <v/>
      </c>
      <c r="AN3182" t="str">
        <f t="shared" si="327"/>
        <v>Defensive</v>
      </c>
    </row>
    <row r="3183" spans="2:40" x14ac:dyDescent="0.2">
      <c r="B3183" t="str">
        <f t="shared" si="326"/>
        <v/>
      </c>
      <c r="U3183" s="8">
        <f t="shared" si="329"/>
        <v>2</v>
      </c>
      <c r="AD3183" t="str">
        <f t="shared" si="328"/>
        <v>o</v>
      </c>
      <c r="AE3183" t="str">
        <f t="shared" si="332"/>
        <v/>
      </c>
      <c r="AF3183" t="str">
        <f t="shared" si="330"/>
        <v/>
      </c>
      <c r="AG3183" t="str">
        <f t="shared" si="331"/>
        <v/>
      </c>
      <c r="AN3183" t="str">
        <f t="shared" si="327"/>
        <v>Defensive</v>
      </c>
    </row>
    <row r="3184" spans="2:40" x14ac:dyDescent="0.2">
      <c r="B3184" t="str">
        <f t="shared" ref="B3184:B3247" si="333">IF(A3184=A3183,B3183,"")</f>
        <v/>
      </c>
      <c r="U3184" s="8">
        <f t="shared" si="329"/>
        <v>2</v>
      </c>
      <c r="AD3184" t="str">
        <f t="shared" si="328"/>
        <v>o</v>
      </c>
      <c r="AE3184" t="str">
        <f t="shared" si="332"/>
        <v/>
      </c>
      <c r="AF3184" t="str">
        <f t="shared" si="330"/>
        <v/>
      </c>
      <c r="AG3184" t="str">
        <f t="shared" si="331"/>
        <v/>
      </c>
      <c r="AN3184" t="str">
        <f t="shared" si="327"/>
        <v>Defensive</v>
      </c>
    </row>
    <row r="3185" spans="2:40" x14ac:dyDescent="0.2">
      <c r="B3185" t="str">
        <f t="shared" si="333"/>
        <v/>
      </c>
      <c r="U3185" s="8">
        <f t="shared" si="329"/>
        <v>2</v>
      </c>
      <c r="AD3185" t="str">
        <f t="shared" si="328"/>
        <v>o</v>
      </c>
      <c r="AE3185" t="str">
        <f t="shared" si="332"/>
        <v/>
      </c>
      <c r="AF3185" t="str">
        <f t="shared" si="330"/>
        <v/>
      </c>
      <c r="AG3185" t="str">
        <f t="shared" si="331"/>
        <v/>
      </c>
      <c r="AN3185" t="str">
        <f t="shared" si="327"/>
        <v>Defensive</v>
      </c>
    </row>
    <row r="3186" spans="2:40" x14ac:dyDescent="0.2">
      <c r="B3186" t="str">
        <f t="shared" si="333"/>
        <v/>
      </c>
      <c r="U3186" s="8">
        <f t="shared" si="329"/>
        <v>2</v>
      </c>
      <c r="AD3186" t="str">
        <f t="shared" si="328"/>
        <v>o</v>
      </c>
      <c r="AE3186" t="str">
        <f t="shared" si="332"/>
        <v/>
      </c>
      <c r="AF3186" t="str">
        <f t="shared" si="330"/>
        <v/>
      </c>
      <c r="AG3186" t="str">
        <f t="shared" si="331"/>
        <v/>
      </c>
      <c r="AN3186" t="str">
        <f t="shared" si="327"/>
        <v>Defensive</v>
      </c>
    </row>
    <row r="3187" spans="2:40" x14ac:dyDescent="0.2">
      <c r="B3187" t="str">
        <f t="shared" si="333"/>
        <v/>
      </c>
      <c r="U3187" s="8">
        <f t="shared" si="329"/>
        <v>2</v>
      </c>
      <c r="AD3187" t="str">
        <f t="shared" si="328"/>
        <v>o</v>
      </c>
      <c r="AE3187" t="str">
        <f t="shared" si="332"/>
        <v/>
      </c>
      <c r="AF3187" t="str">
        <f t="shared" si="330"/>
        <v/>
      </c>
      <c r="AG3187" t="str">
        <f t="shared" si="331"/>
        <v/>
      </c>
      <c r="AN3187" t="str">
        <f t="shared" si="327"/>
        <v>Defensive</v>
      </c>
    </row>
    <row r="3188" spans="2:40" x14ac:dyDescent="0.2">
      <c r="B3188" t="str">
        <f t="shared" si="333"/>
        <v/>
      </c>
      <c r="U3188" s="8">
        <f t="shared" si="329"/>
        <v>2</v>
      </c>
      <c r="AD3188" t="str">
        <f t="shared" si="328"/>
        <v>o</v>
      </c>
      <c r="AE3188" t="str">
        <f t="shared" si="332"/>
        <v/>
      </c>
      <c r="AF3188" t="str">
        <f t="shared" si="330"/>
        <v/>
      </c>
      <c r="AG3188" t="str">
        <f t="shared" si="331"/>
        <v/>
      </c>
      <c r="AN3188" t="str">
        <f t="shared" si="327"/>
        <v>Defensive</v>
      </c>
    </row>
    <row r="3189" spans="2:40" x14ac:dyDescent="0.2">
      <c r="B3189" t="str">
        <f t="shared" si="333"/>
        <v/>
      </c>
      <c r="U3189" s="8">
        <f t="shared" si="329"/>
        <v>2</v>
      </c>
      <c r="AD3189" t="str">
        <f t="shared" si="328"/>
        <v>o</v>
      </c>
      <c r="AE3189" t="str">
        <f t="shared" si="332"/>
        <v/>
      </c>
      <c r="AF3189" t="str">
        <f t="shared" si="330"/>
        <v/>
      </c>
      <c r="AG3189" t="str">
        <f t="shared" si="331"/>
        <v/>
      </c>
      <c r="AN3189" t="str">
        <f t="shared" si="327"/>
        <v>Defensive</v>
      </c>
    </row>
    <row r="3190" spans="2:40" x14ac:dyDescent="0.2">
      <c r="B3190" t="str">
        <f t="shared" si="333"/>
        <v/>
      </c>
      <c r="U3190" s="8">
        <f t="shared" si="329"/>
        <v>2</v>
      </c>
      <c r="AD3190" t="str">
        <f t="shared" si="328"/>
        <v>o</v>
      </c>
      <c r="AE3190" t="str">
        <f t="shared" si="332"/>
        <v/>
      </c>
      <c r="AF3190" t="str">
        <f t="shared" si="330"/>
        <v/>
      </c>
      <c r="AG3190" t="str">
        <f t="shared" si="331"/>
        <v/>
      </c>
      <c r="AN3190" t="str">
        <f t="shared" si="327"/>
        <v>Defensive</v>
      </c>
    </row>
    <row r="3191" spans="2:40" x14ac:dyDescent="0.2">
      <c r="B3191" t="str">
        <f t="shared" si="333"/>
        <v/>
      </c>
      <c r="U3191" s="8">
        <f t="shared" si="329"/>
        <v>2</v>
      </c>
      <c r="AD3191" t="str">
        <f t="shared" si="328"/>
        <v>o</v>
      </c>
      <c r="AE3191" t="str">
        <f t="shared" si="332"/>
        <v/>
      </c>
      <c r="AF3191" t="str">
        <f t="shared" si="330"/>
        <v/>
      </c>
      <c r="AG3191" t="str">
        <f t="shared" si="331"/>
        <v/>
      </c>
      <c r="AN3191" t="str">
        <f t="shared" si="327"/>
        <v>Defensive</v>
      </c>
    </row>
    <row r="3192" spans="2:40" x14ac:dyDescent="0.2">
      <c r="B3192" t="str">
        <f t="shared" si="333"/>
        <v/>
      </c>
      <c r="U3192" s="8">
        <f t="shared" si="329"/>
        <v>2</v>
      </c>
      <c r="AD3192" t="str">
        <f t="shared" si="328"/>
        <v>o</v>
      </c>
      <c r="AE3192" t="str">
        <f t="shared" si="332"/>
        <v/>
      </c>
      <c r="AF3192" t="str">
        <f t="shared" si="330"/>
        <v/>
      </c>
      <c r="AG3192" t="str">
        <f t="shared" si="331"/>
        <v/>
      </c>
      <c r="AN3192" t="str">
        <f t="shared" si="327"/>
        <v>Defensive</v>
      </c>
    </row>
    <row r="3193" spans="2:40" x14ac:dyDescent="0.2">
      <c r="B3193" t="str">
        <f t="shared" si="333"/>
        <v/>
      </c>
      <c r="U3193" s="8">
        <f t="shared" si="329"/>
        <v>2</v>
      </c>
      <c r="AD3193" t="str">
        <f t="shared" si="328"/>
        <v>o</v>
      </c>
      <c r="AE3193" t="str">
        <f t="shared" si="332"/>
        <v/>
      </c>
      <c r="AF3193" t="str">
        <f t="shared" si="330"/>
        <v/>
      </c>
      <c r="AG3193" t="str">
        <f t="shared" si="331"/>
        <v/>
      </c>
      <c r="AN3193" t="str">
        <f t="shared" ref="AN3193:AN3256" si="334">IF(AND(AD3193="e",OR(AE3193="Save",AF3193="Turnover_Takeaway",AF3193="Play_Defensive")),"Defensive",IF(AND(AD3193="o",OR(AE3193="Save",AF3193="Turnover_Takeaway",AF3193="Play_Defensive")),"Offensive",IF(OR(AE3193="Deadice",AE3193="Stoppage",AE3193="Intermission"),"",IF(AD3193="e","Offensive",IF(AD3193="o","Defensive","")))))</f>
        <v>Defensive</v>
      </c>
    </row>
    <row r="3194" spans="2:40" x14ac:dyDescent="0.2">
      <c r="B3194" t="str">
        <f t="shared" si="333"/>
        <v/>
      </c>
      <c r="U3194" s="8">
        <f t="shared" si="329"/>
        <v>2</v>
      </c>
      <c r="AD3194" t="str">
        <f t="shared" si="328"/>
        <v>o</v>
      </c>
      <c r="AE3194" t="str">
        <f t="shared" si="332"/>
        <v/>
      </c>
      <c r="AF3194" t="str">
        <f t="shared" si="330"/>
        <v/>
      </c>
      <c r="AG3194" t="str">
        <f t="shared" si="331"/>
        <v/>
      </c>
      <c r="AN3194" t="str">
        <f t="shared" si="334"/>
        <v>Defensive</v>
      </c>
    </row>
    <row r="3195" spans="2:40" x14ac:dyDescent="0.2">
      <c r="B3195" t="str">
        <f t="shared" si="333"/>
        <v/>
      </c>
      <c r="U3195" s="8">
        <f t="shared" si="329"/>
        <v>2</v>
      </c>
      <c r="AD3195" t="str">
        <f t="shared" si="328"/>
        <v>o</v>
      </c>
      <c r="AE3195" t="str">
        <f t="shared" si="332"/>
        <v/>
      </c>
      <c r="AF3195" t="str">
        <f t="shared" si="330"/>
        <v/>
      </c>
      <c r="AG3195" t="str">
        <f t="shared" si="331"/>
        <v/>
      </c>
      <c r="AN3195" t="str">
        <f t="shared" si="334"/>
        <v>Defensive</v>
      </c>
    </row>
    <row r="3196" spans="2:40" x14ac:dyDescent="0.2">
      <c r="B3196" t="str">
        <f t="shared" si="333"/>
        <v/>
      </c>
      <c r="U3196" s="8">
        <f t="shared" si="329"/>
        <v>2</v>
      </c>
      <c r="AD3196" t="str">
        <f t="shared" si="328"/>
        <v>o</v>
      </c>
      <c r="AE3196" t="str">
        <f t="shared" si="332"/>
        <v/>
      </c>
      <c r="AF3196" t="str">
        <f t="shared" si="330"/>
        <v/>
      </c>
      <c r="AG3196" t="str">
        <f t="shared" si="331"/>
        <v/>
      </c>
      <c r="AN3196" t="str">
        <f t="shared" si="334"/>
        <v>Defensive</v>
      </c>
    </row>
    <row r="3197" spans="2:40" x14ac:dyDescent="0.2">
      <c r="B3197" t="str">
        <f t="shared" si="333"/>
        <v/>
      </c>
      <c r="U3197" s="8">
        <f t="shared" si="329"/>
        <v>2</v>
      </c>
      <c r="AD3197" t="str">
        <f t="shared" si="328"/>
        <v>o</v>
      </c>
      <c r="AE3197" t="str">
        <f t="shared" si="332"/>
        <v/>
      </c>
      <c r="AF3197" t="str">
        <f t="shared" si="330"/>
        <v/>
      </c>
      <c r="AG3197" t="str">
        <f t="shared" si="331"/>
        <v/>
      </c>
      <c r="AN3197" t="str">
        <f t="shared" si="334"/>
        <v>Defensive</v>
      </c>
    </row>
    <row r="3198" spans="2:40" x14ac:dyDescent="0.2">
      <c r="B3198" t="str">
        <f t="shared" si="333"/>
        <v/>
      </c>
      <c r="U3198" s="8">
        <f t="shared" si="329"/>
        <v>2</v>
      </c>
      <c r="AD3198" t="str">
        <f t="shared" si="328"/>
        <v>o</v>
      </c>
      <c r="AE3198" t="str">
        <f t="shared" si="332"/>
        <v/>
      </c>
      <c r="AF3198" t="str">
        <f t="shared" si="330"/>
        <v/>
      </c>
      <c r="AG3198" t="str">
        <f t="shared" si="331"/>
        <v/>
      </c>
      <c r="AN3198" t="str">
        <f t="shared" si="334"/>
        <v>Defensive</v>
      </c>
    </row>
    <row r="3199" spans="2:40" x14ac:dyDescent="0.2">
      <c r="B3199" t="str">
        <f t="shared" si="333"/>
        <v/>
      </c>
      <c r="U3199" s="8">
        <f t="shared" si="329"/>
        <v>2</v>
      </c>
      <c r="AD3199" t="str">
        <f t="shared" si="328"/>
        <v>o</v>
      </c>
      <c r="AE3199" t="str">
        <f t="shared" si="332"/>
        <v/>
      </c>
      <c r="AF3199" t="str">
        <f t="shared" si="330"/>
        <v/>
      </c>
      <c r="AG3199" t="str">
        <f t="shared" si="331"/>
        <v/>
      </c>
      <c r="AN3199" t="str">
        <f t="shared" si="334"/>
        <v>Defensive</v>
      </c>
    </row>
    <row r="3200" spans="2:40" x14ac:dyDescent="0.2">
      <c r="B3200" t="str">
        <f t="shared" si="333"/>
        <v/>
      </c>
      <c r="U3200" s="8">
        <f t="shared" si="329"/>
        <v>2</v>
      </c>
      <c r="AD3200" t="str">
        <f t="shared" si="328"/>
        <v>o</v>
      </c>
      <c r="AE3200" t="str">
        <f t="shared" si="332"/>
        <v/>
      </c>
      <c r="AF3200" t="str">
        <f t="shared" si="330"/>
        <v/>
      </c>
      <c r="AG3200" t="str">
        <f t="shared" si="331"/>
        <v/>
      </c>
      <c r="AN3200" t="str">
        <f t="shared" si="334"/>
        <v>Defensive</v>
      </c>
    </row>
    <row r="3201" spans="2:40" x14ac:dyDescent="0.2">
      <c r="B3201" t="str">
        <f t="shared" si="333"/>
        <v/>
      </c>
      <c r="U3201" s="8">
        <f t="shared" si="329"/>
        <v>2</v>
      </c>
      <c r="AD3201" t="str">
        <f t="shared" si="328"/>
        <v>o</v>
      </c>
      <c r="AE3201" t="str">
        <f t="shared" si="332"/>
        <v/>
      </c>
      <c r="AF3201" t="str">
        <f t="shared" si="330"/>
        <v/>
      </c>
      <c r="AG3201" t="str">
        <f t="shared" si="331"/>
        <v/>
      </c>
      <c r="AN3201" t="str">
        <f t="shared" si="334"/>
        <v>Defensive</v>
      </c>
    </row>
    <row r="3202" spans="2:40" x14ac:dyDescent="0.2">
      <c r="B3202" t="str">
        <f t="shared" si="333"/>
        <v/>
      </c>
      <c r="U3202" s="8">
        <f t="shared" si="329"/>
        <v>2</v>
      </c>
      <c r="AD3202" t="str">
        <f t="shared" ref="AD3202:AD3265" si="335">IF(K3202="x","",IF(K3202=1,"e","o"))</f>
        <v>o</v>
      </c>
      <c r="AE3202" t="str">
        <f t="shared" si="332"/>
        <v/>
      </c>
      <c r="AF3202" t="str">
        <f t="shared" si="330"/>
        <v/>
      </c>
      <c r="AG3202" t="str">
        <f t="shared" si="331"/>
        <v/>
      </c>
      <c r="AN3202" t="str">
        <f t="shared" si="334"/>
        <v>Defensive</v>
      </c>
    </row>
    <row r="3203" spans="2:40" x14ac:dyDescent="0.2">
      <c r="B3203" t="str">
        <f t="shared" si="333"/>
        <v/>
      </c>
      <c r="U3203" s="8">
        <f t="shared" ref="U3203:U3266" si="336">IF(M3203="Intermission",U3202+1,U3202)</f>
        <v>2</v>
      </c>
      <c r="AD3203" t="str">
        <f t="shared" si="335"/>
        <v>o</v>
      </c>
      <c r="AE3203" t="str">
        <f t="shared" si="332"/>
        <v/>
      </c>
      <c r="AF3203" t="str">
        <f t="shared" ref="AF3203:AF3266" si="337">IF(N3203&lt;&gt;"",N3203,IF($A3203=$A3202,AF3202,""))</f>
        <v/>
      </c>
      <c r="AG3203" t="str">
        <f t="shared" ref="AG3203:AG3266" si="338">IF(O3203&lt;&gt;"",O3203,IF($A3203=$A3202,AG3202,""))</f>
        <v/>
      </c>
      <c r="AN3203" t="str">
        <f t="shared" si="334"/>
        <v>Defensive</v>
      </c>
    </row>
    <row r="3204" spans="2:40" x14ac:dyDescent="0.2">
      <c r="B3204" t="str">
        <f t="shared" si="333"/>
        <v/>
      </c>
      <c r="U3204" s="8">
        <f t="shared" si="336"/>
        <v>2</v>
      </c>
      <c r="AD3204" t="str">
        <f t="shared" si="335"/>
        <v>o</v>
      </c>
      <c r="AE3204" t="str">
        <f t="shared" ref="AE3204:AE3267" si="339">IF(M3204&lt;&gt;"",M3204,IF($A3204=$A3203,AE3203,""))</f>
        <v/>
      </c>
      <c r="AF3204" t="str">
        <f t="shared" si="337"/>
        <v/>
      </c>
      <c r="AG3204" t="str">
        <f t="shared" si="338"/>
        <v/>
      </c>
      <c r="AN3204" t="str">
        <f t="shared" si="334"/>
        <v>Defensive</v>
      </c>
    </row>
    <row r="3205" spans="2:40" x14ac:dyDescent="0.2">
      <c r="B3205" t="str">
        <f t="shared" si="333"/>
        <v/>
      </c>
      <c r="U3205" s="8">
        <f t="shared" si="336"/>
        <v>2</v>
      </c>
      <c r="AD3205" t="str">
        <f t="shared" si="335"/>
        <v>o</v>
      </c>
      <c r="AE3205" t="str">
        <f t="shared" si="339"/>
        <v/>
      </c>
      <c r="AF3205" t="str">
        <f t="shared" si="337"/>
        <v/>
      </c>
      <c r="AG3205" t="str">
        <f t="shared" si="338"/>
        <v/>
      </c>
      <c r="AN3205" t="str">
        <f t="shared" si="334"/>
        <v>Defensive</v>
      </c>
    </row>
    <row r="3206" spans="2:40" x14ac:dyDescent="0.2">
      <c r="B3206" t="str">
        <f t="shared" si="333"/>
        <v/>
      </c>
      <c r="U3206" s="8">
        <f t="shared" si="336"/>
        <v>2</v>
      </c>
      <c r="AD3206" t="str">
        <f t="shared" si="335"/>
        <v>o</v>
      </c>
      <c r="AE3206" t="str">
        <f t="shared" si="339"/>
        <v/>
      </c>
      <c r="AF3206" t="str">
        <f t="shared" si="337"/>
        <v/>
      </c>
      <c r="AG3206" t="str">
        <f t="shared" si="338"/>
        <v/>
      </c>
      <c r="AN3206" t="str">
        <f t="shared" si="334"/>
        <v>Defensive</v>
      </c>
    </row>
    <row r="3207" spans="2:40" x14ac:dyDescent="0.2">
      <c r="B3207" t="str">
        <f t="shared" si="333"/>
        <v/>
      </c>
      <c r="U3207" s="8">
        <f t="shared" si="336"/>
        <v>2</v>
      </c>
      <c r="AD3207" t="str">
        <f t="shared" si="335"/>
        <v>o</v>
      </c>
      <c r="AE3207" t="str">
        <f t="shared" si="339"/>
        <v/>
      </c>
      <c r="AF3207" t="str">
        <f t="shared" si="337"/>
        <v/>
      </c>
      <c r="AG3207" t="str">
        <f t="shared" si="338"/>
        <v/>
      </c>
      <c r="AN3207" t="str">
        <f t="shared" si="334"/>
        <v>Defensive</v>
      </c>
    </row>
    <row r="3208" spans="2:40" x14ac:dyDescent="0.2">
      <c r="B3208" t="str">
        <f t="shared" si="333"/>
        <v/>
      </c>
      <c r="U3208" s="8">
        <f t="shared" si="336"/>
        <v>2</v>
      </c>
      <c r="AD3208" t="str">
        <f t="shared" si="335"/>
        <v>o</v>
      </c>
      <c r="AE3208" t="str">
        <f t="shared" si="339"/>
        <v/>
      </c>
      <c r="AF3208" t="str">
        <f t="shared" si="337"/>
        <v/>
      </c>
      <c r="AG3208" t="str">
        <f t="shared" si="338"/>
        <v/>
      </c>
      <c r="AN3208" t="str">
        <f t="shared" si="334"/>
        <v>Defensive</v>
      </c>
    </row>
    <row r="3209" spans="2:40" x14ac:dyDescent="0.2">
      <c r="B3209" t="str">
        <f t="shared" si="333"/>
        <v/>
      </c>
      <c r="U3209" s="8">
        <f t="shared" si="336"/>
        <v>2</v>
      </c>
      <c r="AD3209" t="str">
        <f t="shared" si="335"/>
        <v>o</v>
      </c>
      <c r="AE3209" t="str">
        <f t="shared" si="339"/>
        <v/>
      </c>
      <c r="AF3209" t="str">
        <f t="shared" si="337"/>
        <v/>
      </c>
      <c r="AG3209" t="str">
        <f t="shared" si="338"/>
        <v/>
      </c>
      <c r="AN3209" t="str">
        <f t="shared" si="334"/>
        <v>Defensive</v>
      </c>
    </row>
    <row r="3210" spans="2:40" x14ac:dyDescent="0.2">
      <c r="B3210" t="str">
        <f t="shared" si="333"/>
        <v/>
      </c>
      <c r="U3210" s="8">
        <f t="shared" si="336"/>
        <v>2</v>
      </c>
      <c r="AD3210" t="str">
        <f t="shared" si="335"/>
        <v>o</v>
      </c>
      <c r="AE3210" t="str">
        <f t="shared" si="339"/>
        <v/>
      </c>
      <c r="AF3210" t="str">
        <f t="shared" si="337"/>
        <v/>
      </c>
      <c r="AG3210" t="str">
        <f t="shared" si="338"/>
        <v/>
      </c>
      <c r="AN3210" t="str">
        <f t="shared" si="334"/>
        <v>Defensive</v>
      </c>
    </row>
    <row r="3211" spans="2:40" x14ac:dyDescent="0.2">
      <c r="B3211" t="str">
        <f t="shared" si="333"/>
        <v/>
      </c>
      <c r="U3211" s="8">
        <f t="shared" si="336"/>
        <v>2</v>
      </c>
      <c r="AD3211" t="str">
        <f t="shared" si="335"/>
        <v>o</v>
      </c>
      <c r="AE3211" t="str">
        <f t="shared" si="339"/>
        <v/>
      </c>
      <c r="AF3211" t="str">
        <f t="shared" si="337"/>
        <v/>
      </c>
      <c r="AG3211" t="str">
        <f t="shared" si="338"/>
        <v/>
      </c>
      <c r="AN3211" t="str">
        <f t="shared" si="334"/>
        <v>Defensive</v>
      </c>
    </row>
    <row r="3212" spans="2:40" x14ac:dyDescent="0.2">
      <c r="B3212" t="str">
        <f t="shared" si="333"/>
        <v/>
      </c>
      <c r="U3212" s="8">
        <f t="shared" si="336"/>
        <v>2</v>
      </c>
      <c r="AD3212" t="str">
        <f t="shared" si="335"/>
        <v>o</v>
      </c>
      <c r="AE3212" t="str">
        <f t="shared" si="339"/>
        <v/>
      </c>
      <c r="AF3212" t="str">
        <f t="shared" si="337"/>
        <v/>
      </c>
      <c r="AG3212" t="str">
        <f t="shared" si="338"/>
        <v/>
      </c>
      <c r="AN3212" t="str">
        <f t="shared" si="334"/>
        <v>Defensive</v>
      </c>
    </row>
    <row r="3213" spans="2:40" x14ac:dyDescent="0.2">
      <c r="B3213" t="str">
        <f t="shared" si="333"/>
        <v/>
      </c>
      <c r="U3213" s="8">
        <f t="shared" si="336"/>
        <v>2</v>
      </c>
      <c r="AD3213" t="str">
        <f t="shared" si="335"/>
        <v>o</v>
      </c>
      <c r="AE3213" t="str">
        <f t="shared" si="339"/>
        <v/>
      </c>
      <c r="AF3213" t="str">
        <f t="shared" si="337"/>
        <v/>
      </c>
      <c r="AG3213" t="str">
        <f t="shared" si="338"/>
        <v/>
      </c>
      <c r="AN3213" t="str">
        <f t="shared" si="334"/>
        <v>Defensive</v>
      </c>
    </row>
    <row r="3214" spans="2:40" x14ac:dyDescent="0.2">
      <c r="B3214" t="str">
        <f t="shared" si="333"/>
        <v/>
      </c>
      <c r="U3214" s="8">
        <f t="shared" si="336"/>
        <v>2</v>
      </c>
      <c r="AD3214" t="str">
        <f t="shared" si="335"/>
        <v>o</v>
      </c>
      <c r="AE3214" t="str">
        <f t="shared" si="339"/>
        <v/>
      </c>
      <c r="AF3214" t="str">
        <f t="shared" si="337"/>
        <v/>
      </c>
      <c r="AG3214" t="str">
        <f t="shared" si="338"/>
        <v/>
      </c>
      <c r="AN3214" t="str">
        <f t="shared" si="334"/>
        <v>Defensive</v>
      </c>
    </row>
    <row r="3215" spans="2:40" x14ac:dyDescent="0.2">
      <c r="B3215" t="str">
        <f t="shared" si="333"/>
        <v/>
      </c>
      <c r="U3215" s="8">
        <f t="shared" si="336"/>
        <v>2</v>
      </c>
      <c r="AD3215" t="str">
        <f t="shared" si="335"/>
        <v>o</v>
      </c>
      <c r="AE3215" t="str">
        <f t="shared" si="339"/>
        <v/>
      </c>
      <c r="AF3215" t="str">
        <f t="shared" si="337"/>
        <v/>
      </c>
      <c r="AG3215" t="str">
        <f t="shared" si="338"/>
        <v/>
      </c>
      <c r="AN3215" t="str">
        <f t="shared" si="334"/>
        <v>Defensive</v>
      </c>
    </row>
    <row r="3216" spans="2:40" x14ac:dyDescent="0.2">
      <c r="B3216" t="str">
        <f t="shared" si="333"/>
        <v/>
      </c>
      <c r="U3216" s="8">
        <f t="shared" si="336"/>
        <v>2</v>
      </c>
      <c r="AD3216" t="str">
        <f t="shared" si="335"/>
        <v>o</v>
      </c>
      <c r="AE3216" t="str">
        <f t="shared" si="339"/>
        <v/>
      </c>
      <c r="AF3216" t="str">
        <f t="shared" si="337"/>
        <v/>
      </c>
      <c r="AG3216" t="str">
        <f t="shared" si="338"/>
        <v/>
      </c>
      <c r="AN3216" t="str">
        <f t="shared" si="334"/>
        <v>Defensive</v>
      </c>
    </row>
    <row r="3217" spans="2:40" x14ac:dyDescent="0.2">
      <c r="B3217" t="str">
        <f t="shared" si="333"/>
        <v/>
      </c>
      <c r="U3217" s="8">
        <f t="shared" si="336"/>
        <v>2</v>
      </c>
      <c r="AD3217" t="str">
        <f t="shared" si="335"/>
        <v>o</v>
      </c>
      <c r="AE3217" t="str">
        <f t="shared" si="339"/>
        <v/>
      </c>
      <c r="AF3217" t="str">
        <f t="shared" si="337"/>
        <v/>
      </c>
      <c r="AG3217" t="str">
        <f t="shared" si="338"/>
        <v/>
      </c>
      <c r="AN3217" t="str">
        <f t="shared" si="334"/>
        <v>Defensive</v>
      </c>
    </row>
    <row r="3218" spans="2:40" x14ac:dyDescent="0.2">
      <c r="B3218" t="str">
        <f t="shared" si="333"/>
        <v/>
      </c>
      <c r="U3218" s="8">
        <f t="shared" si="336"/>
        <v>2</v>
      </c>
      <c r="AD3218" t="str">
        <f t="shared" si="335"/>
        <v>o</v>
      </c>
      <c r="AE3218" t="str">
        <f t="shared" si="339"/>
        <v/>
      </c>
      <c r="AF3218" t="str">
        <f t="shared" si="337"/>
        <v/>
      </c>
      <c r="AG3218" t="str">
        <f t="shared" si="338"/>
        <v/>
      </c>
      <c r="AN3218" t="str">
        <f t="shared" si="334"/>
        <v>Defensive</v>
      </c>
    </row>
    <row r="3219" spans="2:40" x14ac:dyDescent="0.2">
      <c r="B3219" t="str">
        <f t="shared" si="333"/>
        <v/>
      </c>
      <c r="U3219" s="8">
        <f t="shared" si="336"/>
        <v>2</v>
      </c>
      <c r="AD3219" t="str">
        <f t="shared" si="335"/>
        <v>o</v>
      </c>
      <c r="AE3219" t="str">
        <f t="shared" si="339"/>
        <v/>
      </c>
      <c r="AF3219" t="str">
        <f t="shared" si="337"/>
        <v/>
      </c>
      <c r="AG3219" t="str">
        <f t="shared" si="338"/>
        <v/>
      </c>
      <c r="AN3219" t="str">
        <f t="shared" si="334"/>
        <v>Defensive</v>
      </c>
    </row>
    <row r="3220" spans="2:40" x14ac:dyDescent="0.2">
      <c r="B3220" t="str">
        <f t="shared" si="333"/>
        <v/>
      </c>
      <c r="U3220" s="8">
        <f t="shared" si="336"/>
        <v>2</v>
      </c>
      <c r="AD3220" t="str">
        <f t="shared" si="335"/>
        <v>o</v>
      </c>
      <c r="AE3220" t="str">
        <f t="shared" si="339"/>
        <v/>
      </c>
      <c r="AF3220" t="str">
        <f t="shared" si="337"/>
        <v/>
      </c>
      <c r="AG3220" t="str">
        <f t="shared" si="338"/>
        <v/>
      </c>
      <c r="AN3220" t="str">
        <f t="shared" si="334"/>
        <v>Defensive</v>
      </c>
    </row>
    <row r="3221" spans="2:40" x14ac:dyDescent="0.2">
      <c r="B3221" t="str">
        <f t="shared" si="333"/>
        <v/>
      </c>
      <c r="U3221" s="8">
        <f t="shared" si="336"/>
        <v>2</v>
      </c>
      <c r="AD3221" t="str">
        <f t="shared" si="335"/>
        <v>o</v>
      </c>
      <c r="AE3221" t="str">
        <f t="shared" si="339"/>
        <v/>
      </c>
      <c r="AF3221" t="str">
        <f t="shared" si="337"/>
        <v/>
      </c>
      <c r="AG3221" t="str">
        <f t="shared" si="338"/>
        <v/>
      </c>
      <c r="AN3221" t="str">
        <f t="shared" si="334"/>
        <v>Defensive</v>
      </c>
    </row>
    <row r="3222" spans="2:40" x14ac:dyDescent="0.2">
      <c r="B3222" t="str">
        <f t="shared" si="333"/>
        <v/>
      </c>
      <c r="U3222" s="8">
        <f t="shared" si="336"/>
        <v>2</v>
      </c>
      <c r="AD3222" t="str">
        <f t="shared" si="335"/>
        <v>o</v>
      </c>
      <c r="AE3222" t="str">
        <f t="shared" si="339"/>
        <v/>
      </c>
      <c r="AF3222" t="str">
        <f t="shared" si="337"/>
        <v/>
      </c>
      <c r="AG3222" t="str">
        <f t="shared" si="338"/>
        <v/>
      </c>
      <c r="AN3222" t="str">
        <f t="shared" si="334"/>
        <v>Defensive</v>
      </c>
    </row>
    <row r="3223" spans="2:40" x14ac:dyDescent="0.2">
      <c r="B3223" t="str">
        <f t="shared" si="333"/>
        <v/>
      </c>
      <c r="U3223" s="8">
        <f t="shared" si="336"/>
        <v>2</v>
      </c>
      <c r="AD3223" t="str">
        <f t="shared" si="335"/>
        <v>o</v>
      </c>
      <c r="AE3223" t="str">
        <f t="shared" si="339"/>
        <v/>
      </c>
      <c r="AF3223" t="str">
        <f t="shared" si="337"/>
        <v/>
      </c>
      <c r="AG3223" t="str">
        <f t="shared" si="338"/>
        <v/>
      </c>
      <c r="AN3223" t="str">
        <f t="shared" si="334"/>
        <v>Defensive</v>
      </c>
    </row>
    <row r="3224" spans="2:40" x14ac:dyDescent="0.2">
      <c r="B3224" t="str">
        <f t="shared" si="333"/>
        <v/>
      </c>
      <c r="U3224" s="8">
        <f t="shared" si="336"/>
        <v>2</v>
      </c>
      <c r="AD3224" t="str">
        <f t="shared" si="335"/>
        <v>o</v>
      </c>
      <c r="AE3224" t="str">
        <f t="shared" si="339"/>
        <v/>
      </c>
      <c r="AF3224" t="str">
        <f t="shared" si="337"/>
        <v/>
      </c>
      <c r="AG3224" t="str">
        <f t="shared" si="338"/>
        <v/>
      </c>
      <c r="AN3224" t="str">
        <f t="shared" si="334"/>
        <v>Defensive</v>
      </c>
    </row>
    <row r="3225" spans="2:40" x14ac:dyDescent="0.2">
      <c r="B3225" t="str">
        <f t="shared" si="333"/>
        <v/>
      </c>
      <c r="U3225" s="8">
        <f t="shared" si="336"/>
        <v>2</v>
      </c>
      <c r="AD3225" t="str">
        <f t="shared" si="335"/>
        <v>o</v>
      </c>
      <c r="AE3225" t="str">
        <f t="shared" si="339"/>
        <v/>
      </c>
      <c r="AF3225" t="str">
        <f t="shared" si="337"/>
        <v/>
      </c>
      <c r="AG3225" t="str">
        <f t="shared" si="338"/>
        <v/>
      </c>
      <c r="AN3225" t="str">
        <f t="shared" si="334"/>
        <v>Defensive</v>
      </c>
    </row>
    <row r="3226" spans="2:40" x14ac:dyDescent="0.2">
      <c r="B3226" t="str">
        <f t="shared" si="333"/>
        <v/>
      </c>
      <c r="U3226" s="8">
        <f t="shared" si="336"/>
        <v>2</v>
      </c>
      <c r="AD3226" t="str">
        <f t="shared" si="335"/>
        <v>o</v>
      </c>
      <c r="AE3226" t="str">
        <f t="shared" si="339"/>
        <v/>
      </c>
      <c r="AF3226" t="str">
        <f t="shared" si="337"/>
        <v/>
      </c>
      <c r="AG3226" t="str">
        <f t="shared" si="338"/>
        <v/>
      </c>
      <c r="AN3226" t="str">
        <f t="shared" si="334"/>
        <v>Defensive</v>
      </c>
    </row>
    <row r="3227" spans="2:40" x14ac:dyDescent="0.2">
      <c r="B3227" t="str">
        <f t="shared" si="333"/>
        <v/>
      </c>
      <c r="U3227" s="8">
        <f t="shared" si="336"/>
        <v>2</v>
      </c>
      <c r="AD3227" t="str">
        <f t="shared" si="335"/>
        <v>o</v>
      </c>
      <c r="AE3227" t="str">
        <f t="shared" si="339"/>
        <v/>
      </c>
      <c r="AF3227" t="str">
        <f t="shared" si="337"/>
        <v/>
      </c>
      <c r="AG3227" t="str">
        <f t="shared" si="338"/>
        <v/>
      </c>
      <c r="AN3227" t="str">
        <f t="shared" si="334"/>
        <v>Defensive</v>
      </c>
    </row>
    <row r="3228" spans="2:40" x14ac:dyDescent="0.2">
      <c r="B3228" t="str">
        <f t="shared" si="333"/>
        <v/>
      </c>
      <c r="U3228" s="8">
        <f t="shared" si="336"/>
        <v>2</v>
      </c>
      <c r="AD3228" t="str">
        <f t="shared" si="335"/>
        <v>o</v>
      </c>
      <c r="AE3228" t="str">
        <f t="shared" si="339"/>
        <v/>
      </c>
      <c r="AF3228" t="str">
        <f t="shared" si="337"/>
        <v/>
      </c>
      <c r="AG3228" t="str">
        <f t="shared" si="338"/>
        <v/>
      </c>
      <c r="AN3228" t="str">
        <f t="shared" si="334"/>
        <v>Defensive</v>
      </c>
    </row>
    <row r="3229" spans="2:40" x14ac:dyDescent="0.2">
      <c r="B3229" t="str">
        <f t="shared" si="333"/>
        <v/>
      </c>
      <c r="U3229" s="8">
        <f t="shared" si="336"/>
        <v>2</v>
      </c>
      <c r="AD3229" t="str">
        <f t="shared" si="335"/>
        <v>o</v>
      </c>
      <c r="AE3229" t="str">
        <f t="shared" si="339"/>
        <v/>
      </c>
      <c r="AF3229" t="str">
        <f t="shared" si="337"/>
        <v/>
      </c>
      <c r="AG3229" t="str">
        <f t="shared" si="338"/>
        <v/>
      </c>
      <c r="AN3229" t="str">
        <f t="shared" si="334"/>
        <v>Defensive</v>
      </c>
    </row>
    <row r="3230" spans="2:40" x14ac:dyDescent="0.2">
      <c r="B3230" t="str">
        <f t="shared" si="333"/>
        <v/>
      </c>
      <c r="U3230" s="8">
        <f t="shared" si="336"/>
        <v>2</v>
      </c>
      <c r="AD3230" t="str">
        <f t="shared" si="335"/>
        <v>o</v>
      </c>
      <c r="AE3230" t="str">
        <f t="shared" si="339"/>
        <v/>
      </c>
      <c r="AF3230" t="str">
        <f t="shared" si="337"/>
        <v/>
      </c>
      <c r="AG3230" t="str">
        <f t="shared" si="338"/>
        <v/>
      </c>
      <c r="AN3230" t="str">
        <f t="shared" si="334"/>
        <v>Defensive</v>
      </c>
    </row>
    <row r="3231" spans="2:40" x14ac:dyDescent="0.2">
      <c r="B3231" t="str">
        <f t="shared" si="333"/>
        <v/>
      </c>
      <c r="U3231" s="8">
        <f t="shared" si="336"/>
        <v>2</v>
      </c>
      <c r="AD3231" t="str">
        <f t="shared" si="335"/>
        <v>o</v>
      </c>
      <c r="AE3231" t="str">
        <f t="shared" si="339"/>
        <v/>
      </c>
      <c r="AF3231" t="str">
        <f t="shared" si="337"/>
        <v/>
      </c>
      <c r="AG3231" t="str">
        <f t="shared" si="338"/>
        <v/>
      </c>
      <c r="AN3231" t="str">
        <f t="shared" si="334"/>
        <v>Defensive</v>
      </c>
    </row>
    <row r="3232" spans="2:40" x14ac:dyDescent="0.2">
      <c r="B3232" t="str">
        <f t="shared" si="333"/>
        <v/>
      </c>
      <c r="U3232" s="8">
        <f t="shared" si="336"/>
        <v>2</v>
      </c>
      <c r="AD3232" t="str">
        <f t="shared" si="335"/>
        <v>o</v>
      </c>
      <c r="AE3232" t="str">
        <f t="shared" si="339"/>
        <v/>
      </c>
      <c r="AF3232" t="str">
        <f t="shared" si="337"/>
        <v/>
      </c>
      <c r="AG3232" t="str">
        <f t="shared" si="338"/>
        <v/>
      </c>
      <c r="AN3232" t="str">
        <f t="shared" si="334"/>
        <v>Defensive</v>
      </c>
    </row>
    <row r="3233" spans="2:40" x14ac:dyDescent="0.2">
      <c r="B3233" t="str">
        <f t="shared" si="333"/>
        <v/>
      </c>
      <c r="U3233" s="8">
        <f t="shared" si="336"/>
        <v>2</v>
      </c>
      <c r="AD3233" t="str">
        <f t="shared" si="335"/>
        <v>o</v>
      </c>
      <c r="AE3233" t="str">
        <f t="shared" si="339"/>
        <v/>
      </c>
      <c r="AF3233" t="str">
        <f t="shared" si="337"/>
        <v/>
      </c>
      <c r="AG3233" t="str">
        <f t="shared" si="338"/>
        <v/>
      </c>
      <c r="AN3233" t="str">
        <f t="shared" si="334"/>
        <v>Defensive</v>
      </c>
    </row>
    <row r="3234" spans="2:40" x14ac:dyDescent="0.2">
      <c r="B3234" t="str">
        <f t="shared" si="333"/>
        <v/>
      </c>
      <c r="U3234" s="8">
        <f t="shared" si="336"/>
        <v>2</v>
      </c>
      <c r="AD3234" t="str">
        <f t="shared" si="335"/>
        <v>o</v>
      </c>
      <c r="AE3234" t="str">
        <f t="shared" si="339"/>
        <v/>
      </c>
      <c r="AF3234" t="str">
        <f t="shared" si="337"/>
        <v/>
      </c>
      <c r="AG3234" t="str">
        <f t="shared" si="338"/>
        <v/>
      </c>
      <c r="AN3234" t="str">
        <f t="shared" si="334"/>
        <v>Defensive</v>
      </c>
    </row>
    <row r="3235" spans="2:40" x14ac:dyDescent="0.2">
      <c r="B3235" t="str">
        <f t="shared" si="333"/>
        <v/>
      </c>
      <c r="U3235" s="8">
        <f t="shared" si="336"/>
        <v>2</v>
      </c>
      <c r="AD3235" t="str">
        <f t="shared" si="335"/>
        <v>o</v>
      </c>
      <c r="AE3235" t="str">
        <f t="shared" si="339"/>
        <v/>
      </c>
      <c r="AF3235" t="str">
        <f t="shared" si="337"/>
        <v/>
      </c>
      <c r="AG3235" t="str">
        <f t="shared" si="338"/>
        <v/>
      </c>
      <c r="AN3235" t="str">
        <f t="shared" si="334"/>
        <v>Defensive</v>
      </c>
    </row>
    <row r="3236" spans="2:40" x14ac:dyDescent="0.2">
      <c r="B3236" t="str">
        <f t="shared" si="333"/>
        <v/>
      </c>
      <c r="U3236" s="8">
        <f t="shared" si="336"/>
        <v>2</v>
      </c>
      <c r="AD3236" t="str">
        <f t="shared" si="335"/>
        <v>o</v>
      </c>
      <c r="AE3236" t="str">
        <f t="shared" si="339"/>
        <v/>
      </c>
      <c r="AF3236" t="str">
        <f t="shared" si="337"/>
        <v/>
      </c>
      <c r="AG3236" t="str">
        <f t="shared" si="338"/>
        <v/>
      </c>
      <c r="AN3236" t="str">
        <f t="shared" si="334"/>
        <v>Defensive</v>
      </c>
    </row>
    <row r="3237" spans="2:40" x14ac:dyDescent="0.2">
      <c r="B3237" t="str">
        <f t="shared" si="333"/>
        <v/>
      </c>
      <c r="U3237" s="8">
        <f t="shared" si="336"/>
        <v>2</v>
      </c>
      <c r="AD3237" t="str">
        <f t="shared" si="335"/>
        <v>o</v>
      </c>
      <c r="AE3237" t="str">
        <f t="shared" si="339"/>
        <v/>
      </c>
      <c r="AF3237" t="str">
        <f t="shared" si="337"/>
        <v/>
      </c>
      <c r="AG3237" t="str">
        <f t="shared" si="338"/>
        <v/>
      </c>
      <c r="AN3237" t="str">
        <f t="shared" si="334"/>
        <v>Defensive</v>
      </c>
    </row>
    <row r="3238" spans="2:40" x14ac:dyDescent="0.2">
      <c r="B3238" t="str">
        <f t="shared" si="333"/>
        <v/>
      </c>
      <c r="U3238" s="8">
        <f t="shared" si="336"/>
        <v>2</v>
      </c>
      <c r="AD3238" t="str">
        <f t="shared" si="335"/>
        <v>o</v>
      </c>
      <c r="AE3238" t="str">
        <f t="shared" si="339"/>
        <v/>
      </c>
      <c r="AF3238" t="str">
        <f t="shared" si="337"/>
        <v/>
      </c>
      <c r="AG3238" t="str">
        <f t="shared" si="338"/>
        <v/>
      </c>
      <c r="AN3238" t="str">
        <f t="shared" si="334"/>
        <v>Defensive</v>
      </c>
    </row>
    <row r="3239" spans="2:40" x14ac:dyDescent="0.2">
      <c r="B3239" t="str">
        <f t="shared" si="333"/>
        <v/>
      </c>
      <c r="U3239" s="8">
        <f t="shared" si="336"/>
        <v>2</v>
      </c>
      <c r="AD3239" t="str">
        <f t="shared" si="335"/>
        <v>o</v>
      </c>
      <c r="AE3239" t="str">
        <f t="shared" si="339"/>
        <v/>
      </c>
      <c r="AF3239" t="str">
        <f t="shared" si="337"/>
        <v/>
      </c>
      <c r="AG3239" t="str">
        <f t="shared" si="338"/>
        <v/>
      </c>
      <c r="AN3239" t="str">
        <f t="shared" si="334"/>
        <v>Defensive</v>
      </c>
    </row>
    <row r="3240" spans="2:40" x14ac:dyDescent="0.2">
      <c r="B3240" t="str">
        <f t="shared" si="333"/>
        <v/>
      </c>
      <c r="U3240" s="8">
        <f t="shared" si="336"/>
        <v>2</v>
      </c>
      <c r="AD3240" t="str">
        <f t="shared" si="335"/>
        <v>o</v>
      </c>
      <c r="AE3240" t="str">
        <f t="shared" si="339"/>
        <v/>
      </c>
      <c r="AF3240" t="str">
        <f t="shared" si="337"/>
        <v/>
      </c>
      <c r="AG3240" t="str">
        <f t="shared" si="338"/>
        <v/>
      </c>
      <c r="AN3240" t="str">
        <f t="shared" si="334"/>
        <v>Defensive</v>
      </c>
    </row>
    <row r="3241" spans="2:40" x14ac:dyDescent="0.2">
      <c r="B3241" t="str">
        <f t="shared" si="333"/>
        <v/>
      </c>
      <c r="U3241" s="8">
        <f t="shared" si="336"/>
        <v>2</v>
      </c>
      <c r="AD3241" t="str">
        <f t="shared" si="335"/>
        <v>o</v>
      </c>
      <c r="AE3241" t="str">
        <f t="shared" si="339"/>
        <v/>
      </c>
      <c r="AF3241" t="str">
        <f t="shared" si="337"/>
        <v/>
      </c>
      <c r="AG3241" t="str">
        <f t="shared" si="338"/>
        <v/>
      </c>
      <c r="AN3241" t="str">
        <f t="shared" si="334"/>
        <v>Defensive</v>
      </c>
    </row>
    <row r="3242" spans="2:40" x14ac:dyDescent="0.2">
      <c r="B3242" t="str">
        <f t="shared" si="333"/>
        <v/>
      </c>
      <c r="U3242" s="8">
        <f t="shared" si="336"/>
        <v>2</v>
      </c>
      <c r="AD3242" t="str">
        <f t="shared" si="335"/>
        <v>o</v>
      </c>
      <c r="AE3242" t="str">
        <f t="shared" si="339"/>
        <v/>
      </c>
      <c r="AF3242" t="str">
        <f t="shared" si="337"/>
        <v/>
      </c>
      <c r="AG3242" t="str">
        <f t="shared" si="338"/>
        <v/>
      </c>
      <c r="AN3242" t="str">
        <f t="shared" si="334"/>
        <v>Defensive</v>
      </c>
    </row>
    <row r="3243" spans="2:40" x14ac:dyDescent="0.2">
      <c r="B3243" t="str">
        <f t="shared" si="333"/>
        <v/>
      </c>
      <c r="U3243" s="8">
        <f t="shared" si="336"/>
        <v>2</v>
      </c>
      <c r="AD3243" t="str">
        <f t="shared" si="335"/>
        <v>o</v>
      </c>
      <c r="AE3243" t="str">
        <f t="shared" si="339"/>
        <v/>
      </c>
      <c r="AF3243" t="str">
        <f t="shared" si="337"/>
        <v/>
      </c>
      <c r="AG3243" t="str">
        <f t="shared" si="338"/>
        <v/>
      </c>
      <c r="AN3243" t="str">
        <f t="shared" si="334"/>
        <v>Defensive</v>
      </c>
    </row>
    <row r="3244" spans="2:40" x14ac:dyDescent="0.2">
      <c r="B3244" t="str">
        <f t="shared" si="333"/>
        <v/>
      </c>
      <c r="U3244" s="8">
        <f t="shared" si="336"/>
        <v>2</v>
      </c>
      <c r="AD3244" t="str">
        <f t="shared" si="335"/>
        <v>o</v>
      </c>
      <c r="AE3244" t="str">
        <f t="shared" si="339"/>
        <v/>
      </c>
      <c r="AF3244" t="str">
        <f t="shared" si="337"/>
        <v/>
      </c>
      <c r="AG3244" t="str">
        <f t="shared" si="338"/>
        <v/>
      </c>
      <c r="AN3244" t="str">
        <f t="shared" si="334"/>
        <v>Defensive</v>
      </c>
    </row>
    <row r="3245" spans="2:40" x14ac:dyDescent="0.2">
      <c r="B3245" t="str">
        <f t="shared" si="333"/>
        <v/>
      </c>
      <c r="U3245" s="8">
        <f t="shared" si="336"/>
        <v>2</v>
      </c>
      <c r="AD3245" t="str">
        <f t="shared" si="335"/>
        <v>o</v>
      </c>
      <c r="AE3245" t="str">
        <f t="shared" si="339"/>
        <v/>
      </c>
      <c r="AF3245" t="str">
        <f t="shared" si="337"/>
        <v/>
      </c>
      <c r="AG3245" t="str">
        <f t="shared" si="338"/>
        <v/>
      </c>
      <c r="AN3245" t="str">
        <f t="shared" si="334"/>
        <v>Defensive</v>
      </c>
    </row>
    <row r="3246" spans="2:40" x14ac:dyDescent="0.2">
      <c r="B3246" t="str">
        <f t="shared" si="333"/>
        <v/>
      </c>
      <c r="U3246" s="8">
        <f t="shared" si="336"/>
        <v>2</v>
      </c>
      <c r="AD3246" t="str">
        <f t="shared" si="335"/>
        <v>o</v>
      </c>
      <c r="AE3246" t="str">
        <f t="shared" si="339"/>
        <v/>
      </c>
      <c r="AF3246" t="str">
        <f t="shared" si="337"/>
        <v/>
      </c>
      <c r="AG3246" t="str">
        <f t="shared" si="338"/>
        <v/>
      </c>
      <c r="AN3246" t="str">
        <f t="shared" si="334"/>
        <v>Defensive</v>
      </c>
    </row>
    <row r="3247" spans="2:40" x14ac:dyDescent="0.2">
      <c r="B3247" t="str">
        <f t="shared" si="333"/>
        <v/>
      </c>
      <c r="U3247" s="8">
        <f t="shared" si="336"/>
        <v>2</v>
      </c>
      <c r="AD3247" t="str">
        <f t="shared" si="335"/>
        <v>o</v>
      </c>
      <c r="AE3247" t="str">
        <f t="shared" si="339"/>
        <v/>
      </c>
      <c r="AF3247" t="str">
        <f t="shared" si="337"/>
        <v/>
      </c>
      <c r="AG3247" t="str">
        <f t="shared" si="338"/>
        <v/>
      </c>
      <c r="AN3247" t="str">
        <f t="shared" si="334"/>
        <v>Defensive</v>
      </c>
    </row>
    <row r="3248" spans="2:40" x14ac:dyDescent="0.2">
      <c r="B3248" t="str">
        <f t="shared" ref="B3248:B3311" si="340">IF(A3248=A3247,B3247,"")</f>
        <v/>
      </c>
      <c r="U3248" s="8">
        <f t="shared" si="336"/>
        <v>2</v>
      </c>
      <c r="AD3248" t="str">
        <f t="shared" si="335"/>
        <v>o</v>
      </c>
      <c r="AE3248" t="str">
        <f t="shared" si="339"/>
        <v/>
      </c>
      <c r="AF3248" t="str">
        <f t="shared" si="337"/>
        <v/>
      </c>
      <c r="AG3248" t="str">
        <f t="shared" si="338"/>
        <v/>
      </c>
      <c r="AN3248" t="str">
        <f t="shared" si="334"/>
        <v>Defensive</v>
      </c>
    </row>
    <row r="3249" spans="2:40" x14ac:dyDescent="0.2">
      <c r="B3249" t="str">
        <f t="shared" si="340"/>
        <v/>
      </c>
      <c r="U3249" s="8">
        <f t="shared" si="336"/>
        <v>2</v>
      </c>
      <c r="AD3249" t="str">
        <f t="shared" si="335"/>
        <v>o</v>
      </c>
      <c r="AE3249" t="str">
        <f t="shared" si="339"/>
        <v/>
      </c>
      <c r="AF3249" t="str">
        <f t="shared" si="337"/>
        <v/>
      </c>
      <c r="AG3249" t="str">
        <f t="shared" si="338"/>
        <v/>
      </c>
      <c r="AN3249" t="str">
        <f t="shared" si="334"/>
        <v>Defensive</v>
      </c>
    </row>
    <row r="3250" spans="2:40" x14ac:dyDescent="0.2">
      <c r="B3250" t="str">
        <f t="shared" si="340"/>
        <v/>
      </c>
      <c r="U3250" s="8">
        <f t="shared" si="336"/>
        <v>2</v>
      </c>
      <c r="AD3250" t="str">
        <f t="shared" si="335"/>
        <v>o</v>
      </c>
      <c r="AE3250" t="str">
        <f t="shared" si="339"/>
        <v/>
      </c>
      <c r="AF3250" t="str">
        <f t="shared" si="337"/>
        <v/>
      </c>
      <c r="AG3250" t="str">
        <f t="shared" si="338"/>
        <v/>
      </c>
      <c r="AN3250" t="str">
        <f t="shared" si="334"/>
        <v>Defensive</v>
      </c>
    </row>
    <row r="3251" spans="2:40" x14ac:dyDescent="0.2">
      <c r="B3251" t="str">
        <f t="shared" si="340"/>
        <v/>
      </c>
      <c r="U3251" s="8">
        <f t="shared" si="336"/>
        <v>2</v>
      </c>
      <c r="AD3251" t="str">
        <f t="shared" si="335"/>
        <v>o</v>
      </c>
      <c r="AE3251" t="str">
        <f t="shared" si="339"/>
        <v/>
      </c>
      <c r="AF3251" t="str">
        <f t="shared" si="337"/>
        <v/>
      </c>
      <c r="AG3251" t="str">
        <f t="shared" si="338"/>
        <v/>
      </c>
      <c r="AN3251" t="str">
        <f t="shared" si="334"/>
        <v>Defensive</v>
      </c>
    </row>
    <row r="3252" spans="2:40" x14ac:dyDescent="0.2">
      <c r="B3252" t="str">
        <f t="shared" si="340"/>
        <v/>
      </c>
      <c r="U3252" s="8">
        <f t="shared" si="336"/>
        <v>2</v>
      </c>
      <c r="AD3252" t="str">
        <f t="shared" si="335"/>
        <v>o</v>
      </c>
      <c r="AE3252" t="str">
        <f t="shared" si="339"/>
        <v/>
      </c>
      <c r="AF3252" t="str">
        <f t="shared" si="337"/>
        <v/>
      </c>
      <c r="AG3252" t="str">
        <f t="shared" si="338"/>
        <v/>
      </c>
      <c r="AN3252" t="str">
        <f t="shared" si="334"/>
        <v>Defensive</v>
      </c>
    </row>
    <row r="3253" spans="2:40" x14ac:dyDescent="0.2">
      <c r="B3253" t="str">
        <f t="shared" si="340"/>
        <v/>
      </c>
      <c r="U3253" s="8">
        <f t="shared" si="336"/>
        <v>2</v>
      </c>
      <c r="AD3253" t="str">
        <f t="shared" si="335"/>
        <v>o</v>
      </c>
      <c r="AE3253" t="str">
        <f t="shared" si="339"/>
        <v/>
      </c>
      <c r="AF3253" t="str">
        <f t="shared" si="337"/>
        <v/>
      </c>
      <c r="AG3253" t="str">
        <f t="shared" si="338"/>
        <v/>
      </c>
      <c r="AN3253" t="str">
        <f t="shared" si="334"/>
        <v>Defensive</v>
      </c>
    </row>
    <row r="3254" spans="2:40" x14ac:dyDescent="0.2">
      <c r="B3254" t="str">
        <f t="shared" si="340"/>
        <v/>
      </c>
      <c r="U3254" s="8">
        <f t="shared" si="336"/>
        <v>2</v>
      </c>
      <c r="AD3254" t="str">
        <f t="shared" si="335"/>
        <v>o</v>
      </c>
      <c r="AE3254" t="str">
        <f t="shared" si="339"/>
        <v/>
      </c>
      <c r="AF3254" t="str">
        <f t="shared" si="337"/>
        <v/>
      </c>
      <c r="AG3254" t="str">
        <f t="shared" si="338"/>
        <v/>
      </c>
      <c r="AN3254" t="str">
        <f t="shared" si="334"/>
        <v>Defensive</v>
      </c>
    </row>
    <row r="3255" spans="2:40" x14ac:dyDescent="0.2">
      <c r="B3255" t="str">
        <f t="shared" si="340"/>
        <v/>
      </c>
      <c r="U3255" s="8">
        <f t="shared" si="336"/>
        <v>2</v>
      </c>
      <c r="AD3255" t="str">
        <f t="shared" si="335"/>
        <v>o</v>
      </c>
      <c r="AE3255" t="str">
        <f t="shared" si="339"/>
        <v/>
      </c>
      <c r="AF3255" t="str">
        <f t="shared" si="337"/>
        <v/>
      </c>
      <c r="AG3255" t="str">
        <f t="shared" si="338"/>
        <v/>
      </c>
      <c r="AN3255" t="str">
        <f t="shared" si="334"/>
        <v>Defensive</v>
      </c>
    </row>
    <row r="3256" spans="2:40" x14ac:dyDescent="0.2">
      <c r="B3256" t="str">
        <f t="shared" si="340"/>
        <v/>
      </c>
      <c r="U3256" s="8">
        <f t="shared" si="336"/>
        <v>2</v>
      </c>
      <c r="AD3256" t="str">
        <f t="shared" si="335"/>
        <v>o</v>
      </c>
      <c r="AE3256" t="str">
        <f t="shared" si="339"/>
        <v/>
      </c>
      <c r="AF3256" t="str">
        <f t="shared" si="337"/>
        <v/>
      </c>
      <c r="AG3256" t="str">
        <f t="shared" si="338"/>
        <v/>
      </c>
      <c r="AN3256" t="str">
        <f t="shared" si="334"/>
        <v>Defensive</v>
      </c>
    </row>
    <row r="3257" spans="2:40" x14ac:dyDescent="0.2">
      <c r="B3257" t="str">
        <f t="shared" si="340"/>
        <v/>
      </c>
      <c r="U3257" s="8">
        <f t="shared" si="336"/>
        <v>2</v>
      </c>
      <c r="AD3257" t="str">
        <f t="shared" si="335"/>
        <v>o</v>
      </c>
      <c r="AE3257" t="str">
        <f t="shared" si="339"/>
        <v/>
      </c>
      <c r="AF3257" t="str">
        <f t="shared" si="337"/>
        <v/>
      </c>
      <c r="AG3257" t="str">
        <f t="shared" si="338"/>
        <v/>
      </c>
      <c r="AN3257" t="str">
        <f t="shared" ref="AN3257:AN3320" si="341">IF(AND(AD3257="e",OR(AE3257="Save",AF3257="Turnover_Takeaway",AF3257="Play_Defensive")),"Defensive",IF(AND(AD3257="o",OR(AE3257="Save",AF3257="Turnover_Takeaway",AF3257="Play_Defensive")),"Offensive",IF(OR(AE3257="Deadice",AE3257="Stoppage",AE3257="Intermission"),"",IF(AD3257="e","Offensive",IF(AD3257="o","Defensive","")))))</f>
        <v>Defensive</v>
      </c>
    </row>
    <row r="3258" spans="2:40" x14ac:dyDescent="0.2">
      <c r="B3258" t="str">
        <f t="shared" si="340"/>
        <v/>
      </c>
      <c r="U3258" s="8">
        <f t="shared" si="336"/>
        <v>2</v>
      </c>
      <c r="AD3258" t="str">
        <f t="shared" si="335"/>
        <v>o</v>
      </c>
      <c r="AE3258" t="str">
        <f t="shared" si="339"/>
        <v/>
      </c>
      <c r="AF3258" t="str">
        <f t="shared" si="337"/>
        <v/>
      </c>
      <c r="AG3258" t="str">
        <f t="shared" si="338"/>
        <v/>
      </c>
      <c r="AN3258" t="str">
        <f t="shared" si="341"/>
        <v>Defensive</v>
      </c>
    </row>
    <row r="3259" spans="2:40" x14ac:dyDescent="0.2">
      <c r="B3259" t="str">
        <f t="shared" si="340"/>
        <v/>
      </c>
      <c r="U3259" s="8">
        <f t="shared" si="336"/>
        <v>2</v>
      </c>
      <c r="AD3259" t="str">
        <f t="shared" si="335"/>
        <v>o</v>
      </c>
      <c r="AE3259" t="str">
        <f t="shared" si="339"/>
        <v/>
      </c>
      <c r="AF3259" t="str">
        <f t="shared" si="337"/>
        <v/>
      </c>
      <c r="AG3259" t="str">
        <f t="shared" si="338"/>
        <v/>
      </c>
      <c r="AN3259" t="str">
        <f t="shared" si="341"/>
        <v>Defensive</v>
      </c>
    </row>
    <row r="3260" spans="2:40" x14ac:dyDescent="0.2">
      <c r="B3260" t="str">
        <f t="shared" si="340"/>
        <v/>
      </c>
      <c r="U3260" s="8">
        <f t="shared" si="336"/>
        <v>2</v>
      </c>
      <c r="AD3260" t="str">
        <f t="shared" si="335"/>
        <v>o</v>
      </c>
      <c r="AE3260" t="str">
        <f t="shared" si="339"/>
        <v/>
      </c>
      <c r="AF3260" t="str">
        <f t="shared" si="337"/>
        <v/>
      </c>
      <c r="AG3260" t="str">
        <f t="shared" si="338"/>
        <v/>
      </c>
      <c r="AN3260" t="str">
        <f t="shared" si="341"/>
        <v>Defensive</v>
      </c>
    </row>
    <row r="3261" spans="2:40" x14ac:dyDescent="0.2">
      <c r="B3261" t="str">
        <f t="shared" si="340"/>
        <v/>
      </c>
      <c r="U3261" s="8">
        <f t="shared" si="336"/>
        <v>2</v>
      </c>
      <c r="AD3261" t="str">
        <f t="shared" si="335"/>
        <v>o</v>
      </c>
      <c r="AE3261" t="str">
        <f t="shared" si="339"/>
        <v/>
      </c>
      <c r="AF3261" t="str">
        <f t="shared" si="337"/>
        <v/>
      </c>
      <c r="AG3261" t="str">
        <f t="shared" si="338"/>
        <v/>
      </c>
      <c r="AN3261" t="str">
        <f t="shared" si="341"/>
        <v>Defensive</v>
      </c>
    </row>
    <row r="3262" spans="2:40" x14ac:dyDescent="0.2">
      <c r="B3262" t="str">
        <f t="shared" si="340"/>
        <v/>
      </c>
      <c r="U3262" s="8">
        <f t="shared" si="336"/>
        <v>2</v>
      </c>
      <c r="AD3262" t="str">
        <f t="shared" si="335"/>
        <v>o</v>
      </c>
      <c r="AE3262" t="str">
        <f t="shared" si="339"/>
        <v/>
      </c>
      <c r="AF3262" t="str">
        <f t="shared" si="337"/>
        <v/>
      </c>
      <c r="AG3262" t="str">
        <f t="shared" si="338"/>
        <v/>
      </c>
      <c r="AN3262" t="str">
        <f t="shared" si="341"/>
        <v>Defensive</v>
      </c>
    </row>
    <row r="3263" spans="2:40" x14ac:dyDescent="0.2">
      <c r="B3263" t="str">
        <f t="shared" si="340"/>
        <v/>
      </c>
      <c r="U3263" s="8">
        <f t="shared" si="336"/>
        <v>2</v>
      </c>
      <c r="AD3263" t="str">
        <f t="shared" si="335"/>
        <v>o</v>
      </c>
      <c r="AE3263" t="str">
        <f t="shared" si="339"/>
        <v/>
      </c>
      <c r="AF3263" t="str">
        <f t="shared" si="337"/>
        <v/>
      </c>
      <c r="AG3263" t="str">
        <f t="shared" si="338"/>
        <v/>
      </c>
      <c r="AN3263" t="str">
        <f t="shared" si="341"/>
        <v>Defensive</v>
      </c>
    </row>
    <row r="3264" spans="2:40" x14ac:dyDescent="0.2">
      <c r="B3264" t="str">
        <f t="shared" si="340"/>
        <v/>
      </c>
      <c r="U3264" s="8">
        <f t="shared" si="336"/>
        <v>2</v>
      </c>
      <c r="AD3264" t="str">
        <f t="shared" si="335"/>
        <v>o</v>
      </c>
      <c r="AE3264" t="str">
        <f t="shared" si="339"/>
        <v/>
      </c>
      <c r="AF3264" t="str">
        <f t="shared" si="337"/>
        <v/>
      </c>
      <c r="AG3264" t="str">
        <f t="shared" si="338"/>
        <v/>
      </c>
      <c r="AN3264" t="str">
        <f t="shared" si="341"/>
        <v>Defensive</v>
      </c>
    </row>
    <row r="3265" spans="2:40" x14ac:dyDescent="0.2">
      <c r="B3265" t="str">
        <f t="shared" si="340"/>
        <v/>
      </c>
      <c r="U3265" s="8">
        <f t="shared" si="336"/>
        <v>2</v>
      </c>
      <c r="AD3265" t="str">
        <f t="shared" si="335"/>
        <v>o</v>
      </c>
      <c r="AE3265" t="str">
        <f t="shared" si="339"/>
        <v/>
      </c>
      <c r="AF3265" t="str">
        <f t="shared" si="337"/>
        <v/>
      </c>
      <c r="AG3265" t="str">
        <f t="shared" si="338"/>
        <v/>
      </c>
      <c r="AN3265" t="str">
        <f t="shared" si="341"/>
        <v>Defensive</v>
      </c>
    </row>
    <row r="3266" spans="2:40" x14ac:dyDescent="0.2">
      <c r="B3266" t="str">
        <f t="shared" si="340"/>
        <v/>
      </c>
      <c r="U3266" s="8">
        <f t="shared" si="336"/>
        <v>2</v>
      </c>
      <c r="AD3266" t="str">
        <f t="shared" ref="AD3266:AD3329" si="342">IF(K3266="x","",IF(K3266=1,"e","o"))</f>
        <v>o</v>
      </c>
      <c r="AE3266" t="str">
        <f t="shared" si="339"/>
        <v/>
      </c>
      <c r="AF3266" t="str">
        <f t="shared" si="337"/>
        <v/>
      </c>
      <c r="AG3266" t="str">
        <f t="shared" si="338"/>
        <v/>
      </c>
      <c r="AN3266" t="str">
        <f t="shared" si="341"/>
        <v>Defensive</v>
      </c>
    </row>
    <row r="3267" spans="2:40" x14ac:dyDescent="0.2">
      <c r="B3267" t="str">
        <f t="shared" si="340"/>
        <v/>
      </c>
      <c r="U3267" s="8">
        <f t="shared" ref="U3267:U3330" si="343">IF(M3267="Intermission",U3266+1,U3266)</f>
        <v>2</v>
      </c>
      <c r="AD3267" t="str">
        <f t="shared" si="342"/>
        <v>o</v>
      </c>
      <c r="AE3267" t="str">
        <f t="shared" si="339"/>
        <v/>
      </c>
      <c r="AF3267" t="str">
        <f t="shared" ref="AF3267:AF3330" si="344">IF(N3267&lt;&gt;"",N3267,IF($A3267=$A3266,AF3266,""))</f>
        <v/>
      </c>
      <c r="AG3267" t="str">
        <f t="shared" ref="AG3267:AG3330" si="345">IF(O3267&lt;&gt;"",O3267,IF($A3267=$A3266,AG3266,""))</f>
        <v/>
      </c>
      <c r="AN3267" t="str">
        <f t="shared" si="341"/>
        <v>Defensive</v>
      </c>
    </row>
    <row r="3268" spans="2:40" x14ac:dyDescent="0.2">
      <c r="B3268" t="str">
        <f t="shared" si="340"/>
        <v/>
      </c>
      <c r="U3268" s="8">
        <f t="shared" si="343"/>
        <v>2</v>
      </c>
      <c r="AD3268" t="str">
        <f t="shared" si="342"/>
        <v>o</v>
      </c>
      <c r="AE3268" t="str">
        <f t="shared" ref="AE3268:AE3331" si="346">IF(M3268&lt;&gt;"",M3268,IF($A3268=$A3267,AE3267,""))</f>
        <v/>
      </c>
      <c r="AF3268" t="str">
        <f t="shared" si="344"/>
        <v/>
      </c>
      <c r="AG3268" t="str">
        <f t="shared" si="345"/>
        <v/>
      </c>
      <c r="AN3268" t="str">
        <f t="shared" si="341"/>
        <v>Defensive</v>
      </c>
    </row>
    <row r="3269" spans="2:40" x14ac:dyDescent="0.2">
      <c r="B3269" t="str">
        <f t="shared" si="340"/>
        <v/>
      </c>
      <c r="U3269" s="8">
        <f t="shared" si="343"/>
        <v>2</v>
      </c>
      <c r="AD3269" t="str">
        <f t="shared" si="342"/>
        <v>o</v>
      </c>
      <c r="AE3269" t="str">
        <f t="shared" si="346"/>
        <v/>
      </c>
      <c r="AF3269" t="str">
        <f t="shared" si="344"/>
        <v/>
      </c>
      <c r="AG3269" t="str">
        <f t="shared" si="345"/>
        <v/>
      </c>
      <c r="AN3269" t="str">
        <f t="shared" si="341"/>
        <v>Defensive</v>
      </c>
    </row>
    <row r="3270" spans="2:40" x14ac:dyDescent="0.2">
      <c r="B3270" t="str">
        <f t="shared" si="340"/>
        <v/>
      </c>
      <c r="U3270" s="8">
        <f t="shared" si="343"/>
        <v>2</v>
      </c>
      <c r="AD3270" t="str">
        <f t="shared" si="342"/>
        <v>o</v>
      </c>
      <c r="AE3270" t="str">
        <f t="shared" si="346"/>
        <v/>
      </c>
      <c r="AF3270" t="str">
        <f t="shared" si="344"/>
        <v/>
      </c>
      <c r="AG3270" t="str">
        <f t="shared" si="345"/>
        <v/>
      </c>
      <c r="AN3270" t="str">
        <f t="shared" si="341"/>
        <v>Defensive</v>
      </c>
    </row>
    <row r="3271" spans="2:40" x14ac:dyDescent="0.2">
      <c r="B3271" t="str">
        <f t="shared" si="340"/>
        <v/>
      </c>
      <c r="U3271" s="8">
        <f t="shared" si="343"/>
        <v>2</v>
      </c>
      <c r="AD3271" t="str">
        <f t="shared" si="342"/>
        <v>o</v>
      </c>
      <c r="AE3271" t="str">
        <f t="shared" si="346"/>
        <v/>
      </c>
      <c r="AF3271" t="str">
        <f t="shared" si="344"/>
        <v/>
      </c>
      <c r="AG3271" t="str">
        <f t="shared" si="345"/>
        <v/>
      </c>
      <c r="AN3271" t="str">
        <f t="shared" si="341"/>
        <v>Defensive</v>
      </c>
    </row>
    <row r="3272" spans="2:40" x14ac:dyDescent="0.2">
      <c r="B3272" t="str">
        <f t="shared" si="340"/>
        <v/>
      </c>
      <c r="U3272" s="8">
        <f t="shared" si="343"/>
        <v>2</v>
      </c>
      <c r="AD3272" t="str">
        <f t="shared" si="342"/>
        <v>o</v>
      </c>
      <c r="AE3272" t="str">
        <f t="shared" si="346"/>
        <v/>
      </c>
      <c r="AF3272" t="str">
        <f t="shared" si="344"/>
        <v/>
      </c>
      <c r="AG3272" t="str">
        <f t="shared" si="345"/>
        <v/>
      </c>
      <c r="AN3272" t="str">
        <f t="shared" si="341"/>
        <v>Defensive</v>
      </c>
    </row>
    <row r="3273" spans="2:40" x14ac:dyDescent="0.2">
      <c r="B3273" t="str">
        <f t="shared" si="340"/>
        <v/>
      </c>
      <c r="U3273" s="8">
        <f t="shared" si="343"/>
        <v>2</v>
      </c>
      <c r="AD3273" t="str">
        <f t="shared" si="342"/>
        <v>o</v>
      </c>
      <c r="AE3273" t="str">
        <f t="shared" si="346"/>
        <v/>
      </c>
      <c r="AF3273" t="str">
        <f t="shared" si="344"/>
        <v/>
      </c>
      <c r="AG3273" t="str">
        <f t="shared" si="345"/>
        <v/>
      </c>
      <c r="AN3273" t="str">
        <f t="shared" si="341"/>
        <v>Defensive</v>
      </c>
    </row>
    <row r="3274" spans="2:40" x14ac:dyDescent="0.2">
      <c r="B3274" t="str">
        <f t="shared" si="340"/>
        <v/>
      </c>
      <c r="U3274" s="8">
        <f t="shared" si="343"/>
        <v>2</v>
      </c>
      <c r="AD3274" t="str">
        <f t="shared" si="342"/>
        <v>o</v>
      </c>
      <c r="AE3274" t="str">
        <f t="shared" si="346"/>
        <v/>
      </c>
      <c r="AF3274" t="str">
        <f t="shared" si="344"/>
        <v/>
      </c>
      <c r="AG3274" t="str">
        <f t="shared" si="345"/>
        <v/>
      </c>
      <c r="AN3274" t="str">
        <f t="shared" si="341"/>
        <v>Defensive</v>
      </c>
    </row>
    <row r="3275" spans="2:40" x14ac:dyDescent="0.2">
      <c r="B3275" t="str">
        <f t="shared" si="340"/>
        <v/>
      </c>
      <c r="U3275" s="8">
        <f t="shared" si="343"/>
        <v>2</v>
      </c>
      <c r="AD3275" t="str">
        <f t="shared" si="342"/>
        <v>o</v>
      </c>
      <c r="AE3275" t="str">
        <f t="shared" si="346"/>
        <v/>
      </c>
      <c r="AF3275" t="str">
        <f t="shared" si="344"/>
        <v/>
      </c>
      <c r="AG3275" t="str">
        <f t="shared" si="345"/>
        <v/>
      </c>
      <c r="AN3275" t="str">
        <f t="shared" si="341"/>
        <v>Defensive</v>
      </c>
    </row>
    <row r="3276" spans="2:40" x14ac:dyDescent="0.2">
      <c r="B3276" t="str">
        <f t="shared" si="340"/>
        <v/>
      </c>
      <c r="U3276" s="8">
        <f t="shared" si="343"/>
        <v>2</v>
      </c>
      <c r="AD3276" t="str">
        <f t="shared" si="342"/>
        <v>o</v>
      </c>
      <c r="AE3276" t="str">
        <f t="shared" si="346"/>
        <v/>
      </c>
      <c r="AF3276" t="str">
        <f t="shared" si="344"/>
        <v/>
      </c>
      <c r="AG3276" t="str">
        <f t="shared" si="345"/>
        <v/>
      </c>
      <c r="AN3276" t="str">
        <f t="shared" si="341"/>
        <v>Defensive</v>
      </c>
    </row>
    <row r="3277" spans="2:40" x14ac:dyDescent="0.2">
      <c r="B3277" t="str">
        <f t="shared" si="340"/>
        <v/>
      </c>
      <c r="U3277" s="8">
        <f t="shared" si="343"/>
        <v>2</v>
      </c>
      <c r="AD3277" t="str">
        <f t="shared" si="342"/>
        <v>o</v>
      </c>
      <c r="AE3277" t="str">
        <f t="shared" si="346"/>
        <v/>
      </c>
      <c r="AF3277" t="str">
        <f t="shared" si="344"/>
        <v/>
      </c>
      <c r="AG3277" t="str">
        <f t="shared" si="345"/>
        <v/>
      </c>
      <c r="AN3277" t="str">
        <f t="shared" si="341"/>
        <v>Defensive</v>
      </c>
    </row>
    <row r="3278" spans="2:40" x14ac:dyDescent="0.2">
      <c r="B3278" t="str">
        <f t="shared" si="340"/>
        <v/>
      </c>
      <c r="U3278" s="8">
        <f t="shared" si="343"/>
        <v>2</v>
      </c>
      <c r="AD3278" t="str">
        <f t="shared" si="342"/>
        <v>o</v>
      </c>
      <c r="AE3278" t="str">
        <f t="shared" si="346"/>
        <v/>
      </c>
      <c r="AF3278" t="str">
        <f t="shared" si="344"/>
        <v/>
      </c>
      <c r="AG3278" t="str">
        <f t="shared" si="345"/>
        <v/>
      </c>
      <c r="AN3278" t="str">
        <f t="shared" si="341"/>
        <v>Defensive</v>
      </c>
    </row>
    <row r="3279" spans="2:40" x14ac:dyDescent="0.2">
      <c r="B3279" t="str">
        <f t="shared" si="340"/>
        <v/>
      </c>
      <c r="U3279" s="8">
        <f t="shared" si="343"/>
        <v>2</v>
      </c>
      <c r="AD3279" t="str">
        <f t="shared" si="342"/>
        <v>o</v>
      </c>
      <c r="AE3279" t="str">
        <f t="shared" si="346"/>
        <v/>
      </c>
      <c r="AF3279" t="str">
        <f t="shared" si="344"/>
        <v/>
      </c>
      <c r="AG3279" t="str">
        <f t="shared" si="345"/>
        <v/>
      </c>
      <c r="AN3279" t="str">
        <f t="shared" si="341"/>
        <v>Defensive</v>
      </c>
    </row>
    <row r="3280" spans="2:40" x14ac:dyDescent="0.2">
      <c r="B3280" t="str">
        <f t="shared" si="340"/>
        <v/>
      </c>
      <c r="U3280" s="8">
        <f t="shared" si="343"/>
        <v>2</v>
      </c>
      <c r="AD3280" t="str">
        <f t="shared" si="342"/>
        <v>o</v>
      </c>
      <c r="AE3280" t="str">
        <f t="shared" si="346"/>
        <v/>
      </c>
      <c r="AF3280" t="str">
        <f t="shared" si="344"/>
        <v/>
      </c>
      <c r="AG3280" t="str">
        <f t="shared" si="345"/>
        <v/>
      </c>
      <c r="AN3280" t="str">
        <f t="shared" si="341"/>
        <v>Defensive</v>
      </c>
    </row>
    <row r="3281" spans="2:40" x14ac:dyDescent="0.2">
      <c r="B3281" t="str">
        <f t="shared" si="340"/>
        <v/>
      </c>
      <c r="U3281" s="8">
        <f t="shared" si="343"/>
        <v>2</v>
      </c>
      <c r="AD3281" t="str">
        <f t="shared" si="342"/>
        <v>o</v>
      </c>
      <c r="AE3281" t="str">
        <f t="shared" si="346"/>
        <v/>
      </c>
      <c r="AF3281" t="str">
        <f t="shared" si="344"/>
        <v/>
      </c>
      <c r="AG3281" t="str">
        <f t="shared" si="345"/>
        <v/>
      </c>
      <c r="AN3281" t="str">
        <f t="shared" si="341"/>
        <v>Defensive</v>
      </c>
    </row>
    <row r="3282" spans="2:40" x14ac:dyDescent="0.2">
      <c r="B3282" t="str">
        <f t="shared" si="340"/>
        <v/>
      </c>
      <c r="U3282" s="8">
        <f t="shared" si="343"/>
        <v>2</v>
      </c>
      <c r="AD3282" t="str">
        <f t="shared" si="342"/>
        <v>o</v>
      </c>
      <c r="AE3282" t="str">
        <f t="shared" si="346"/>
        <v/>
      </c>
      <c r="AF3282" t="str">
        <f t="shared" si="344"/>
        <v/>
      </c>
      <c r="AG3282" t="str">
        <f t="shared" si="345"/>
        <v/>
      </c>
      <c r="AN3282" t="str">
        <f t="shared" si="341"/>
        <v>Defensive</v>
      </c>
    </row>
    <row r="3283" spans="2:40" x14ac:dyDescent="0.2">
      <c r="B3283" t="str">
        <f t="shared" si="340"/>
        <v/>
      </c>
      <c r="U3283" s="8">
        <f t="shared" si="343"/>
        <v>2</v>
      </c>
      <c r="AD3283" t="str">
        <f t="shared" si="342"/>
        <v>o</v>
      </c>
      <c r="AE3283" t="str">
        <f t="shared" si="346"/>
        <v/>
      </c>
      <c r="AF3283" t="str">
        <f t="shared" si="344"/>
        <v/>
      </c>
      <c r="AG3283" t="str">
        <f t="shared" si="345"/>
        <v/>
      </c>
      <c r="AN3283" t="str">
        <f t="shared" si="341"/>
        <v>Defensive</v>
      </c>
    </row>
    <row r="3284" spans="2:40" x14ac:dyDescent="0.2">
      <c r="B3284" t="str">
        <f t="shared" si="340"/>
        <v/>
      </c>
      <c r="U3284" s="8">
        <f t="shared" si="343"/>
        <v>2</v>
      </c>
      <c r="AD3284" t="str">
        <f t="shared" si="342"/>
        <v>o</v>
      </c>
      <c r="AE3284" t="str">
        <f t="shared" si="346"/>
        <v/>
      </c>
      <c r="AF3284" t="str">
        <f t="shared" si="344"/>
        <v/>
      </c>
      <c r="AG3284" t="str">
        <f t="shared" si="345"/>
        <v/>
      </c>
      <c r="AN3284" t="str">
        <f t="shared" si="341"/>
        <v>Defensive</v>
      </c>
    </row>
    <row r="3285" spans="2:40" x14ac:dyDescent="0.2">
      <c r="B3285" t="str">
        <f t="shared" si="340"/>
        <v/>
      </c>
      <c r="U3285" s="8">
        <f t="shared" si="343"/>
        <v>2</v>
      </c>
      <c r="AD3285" t="str">
        <f t="shared" si="342"/>
        <v>o</v>
      </c>
      <c r="AE3285" t="str">
        <f t="shared" si="346"/>
        <v/>
      </c>
      <c r="AF3285" t="str">
        <f t="shared" si="344"/>
        <v/>
      </c>
      <c r="AG3285" t="str">
        <f t="shared" si="345"/>
        <v/>
      </c>
      <c r="AN3285" t="str">
        <f t="shared" si="341"/>
        <v>Defensive</v>
      </c>
    </row>
    <row r="3286" spans="2:40" x14ac:dyDescent="0.2">
      <c r="B3286" t="str">
        <f t="shared" si="340"/>
        <v/>
      </c>
      <c r="U3286" s="8">
        <f t="shared" si="343"/>
        <v>2</v>
      </c>
      <c r="AD3286" t="str">
        <f t="shared" si="342"/>
        <v>o</v>
      </c>
      <c r="AE3286" t="str">
        <f t="shared" si="346"/>
        <v/>
      </c>
      <c r="AF3286" t="str">
        <f t="shared" si="344"/>
        <v/>
      </c>
      <c r="AG3286" t="str">
        <f t="shared" si="345"/>
        <v/>
      </c>
      <c r="AN3286" t="str">
        <f t="shared" si="341"/>
        <v>Defensive</v>
      </c>
    </row>
    <row r="3287" spans="2:40" x14ac:dyDescent="0.2">
      <c r="B3287" t="str">
        <f t="shared" si="340"/>
        <v/>
      </c>
      <c r="U3287" s="8">
        <f t="shared" si="343"/>
        <v>2</v>
      </c>
      <c r="AD3287" t="str">
        <f t="shared" si="342"/>
        <v>o</v>
      </c>
      <c r="AE3287" t="str">
        <f t="shared" si="346"/>
        <v/>
      </c>
      <c r="AF3287" t="str">
        <f t="shared" si="344"/>
        <v/>
      </c>
      <c r="AG3287" t="str">
        <f t="shared" si="345"/>
        <v/>
      </c>
      <c r="AN3287" t="str">
        <f t="shared" si="341"/>
        <v>Defensive</v>
      </c>
    </row>
    <row r="3288" spans="2:40" x14ac:dyDescent="0.2">
      <c r="B3288" t="str">
        <f t="shared" si="340"/>
        <v/>
      </c>
      <c r="U3288" s="8">
        <f t="shared" si="343"/>
        <v>2</v>
      </c>
      <c r="AD3288" t="str">
        <f t="shared" si="342"/>
        <v>o</v>
      </c>
      <c r="AE3288" t="str">
        <f t="shared" si="346"/>
        <v/>
      </c>
      <c r="AF3288" t="str">
        <f t="shared" si="344"/>
        <v/>
      </c>
      <c r="AG3288" t="str">
        <f t="shared" si="345"/>
        <v/>
      </c>
      <c r="AN3288" t="str">
        <f t="shared" si="341"/>
        <v>Defensive</v>
      </c>
    </row>
    <row r="3289" spans="2:40" x14ac:dyDescent="0.2">
      <c r="B3289" t="str">
        <f t="shared" si="340"/>
        <v/>
      </c>
      <c r="U3289" s="8">
        <f t="shared" si="343"/>
        <v>2</v>
      </c>
      <c r="AD3289" t="str">
        <f t="shared" si="342"/>
        <v>o</v>
      </c>
      <c r="AE3289" t="str">
        <f t="shared" si="346"/>
        <v/>
      </c>
      <c r="AF3289" t="str">
        <f t="shared" si="344"/>
        <v/>
      </c>
      <c r="AG3289" t="str">
        <f t="shared" si="345"/>
        <v/>
      </c>
      <c r="AN3289" t="str">
        <f t="shared" si="341"/>
        <v>Defensive</v>
      </c>
    </row>
    <row r="3290" spans="2:40" x14ac:dyDescent="0.2">
      <c r="B3290" t="str">
        <f t="shared" si="340"/>
        <v/>
      </c>
      <c r="U3290" s="8">
        <f t="shared" si="343"/>
        <v>2</v>
      </c>
      <c r="AD3290" t="str">
        <f t="shared" si="342"/>
        <v>o</v>
      </c>
      <c r="AE3290" t="str">
        <f t="shared" si="346"/>
        <v/>
      </c>
      <c r="AF3290" t="str">
        <f t="shared" si="344"/>
        <v/>
      </c>
      <c r="AG3290" t="str">
        <f t="shared" si="345"/>
        <v/>
      </c>
      <c r="AN3290" t="str">
        <f t="shared" si="341"/>
        <v>Defensive</v>
      </c>
    </row>
    <row r="3291" spans="2:40" x14ac:dyDescent="0.2">
      <c r="B3291" t="str">
        <f t="shared" si="340"/>
        <v/>
      </c>
      <c r="U3291" s="8">
        <f t="shared" si="343"/>
        <v>2</v>
      </c>
      <c r="AD3291" t="str">
        <f t="shared" si="342"/>
        <v>o</v>
      </c>
      <c r="AE3291" t="str">
        <f t="shared" si="346"/>
        <v/>
      </c>
      <c r="AF3291" t="str">
        <f t="shared" si="344"/>
        <v/>
      </c>
      <c r="AG3291" t="str">
        <f t="shared" si="345"/>
        <v/>
      </c>
      <c r="AN3291" t="str">
        <f t="shared" si="341"/>
        <v>Defensive</v>
      </c>
    </row>
    <row r="3292" spans="2:40" x14ac:dyDescent="0.2">
      <c r="B3292" t="str">
        <f t="shared" si="340"/>
        <v/>
      </c>
      <c r="U3292" s="8">
        <f t="shared" si="343"/>
        <v>2</v>
      </c>
      <c r="AD3292" t="str">
        <f t="shared" si="342"/>
        <v>o</v>
      </c>
      <c r="AE3292" t="str">
        <f t="shared" si="346"/>
        <v/>
      </c>
      <c r="AF3292" t="str">
        <f t="shared" si="344"/>
        <v/>
      </c>
      <c r="AG3292" t="str">
        <f t="shared" si="345"/>
        <v/>
      </c>
      <c r="AN3292" t="str">
        <f t="shared" si="341"/>
        <v>Defensive</v>
      </c>
    </row>
    <row r="3293" spans="2:40" x14ac:dyDescent="0.2">
      <c r="B3293" t="str">
        <f t="shared" si="340"/>
        <v/>
      </c>
      <c r="U3293" s="8">
        <f t="shared" si="343"/>
        <v>2</v>
      </c>
      <c r="AD3293" t="str">
        <f t="shared" si="342"/>
        <v>o</v>
      </c>
      <c r="AE3293" t="str">
        <f t="shared" si="346"/>
        <v/>
      </c>
      <c r="AF3293" t="str">
        <f t="shared" si="344"/>
        <v/>
      </c>
      <c r="AG3293" t="str">
        <f t="shared" si="345"/>
        <v/>
      </c>
      <c r="AN3293" t="str">
        <f t="shared" si="341"/>
        <v>Defensive</v>
      </c>
    </row>
    <row r="3294" spans="2:40" x14ac:dyDescent="0.2">
      <c r="B3294" t="str">
        <f t="shared" si="340"/>
        <v/>
      </c>
      <c r="U3294" s="8">
        <f t="shared" si="343"/>
        <v>2</v>
      </c>
      <c r="AD3294" t="str">
        <f t="shared" si="342"/>
        <v>o</v>
      </c>
      <c r="AE3294" t="str">
        <f t="shared" si="346"/>
        <v/>
      </c>
      <c r="AF3294" t="str">
        <f t="shared" si="344"/>
        <v/>
      </c>
      <c r="AG3294" t="str">
        <f t="shared" si="345"/>
        <v/>
      </c>
      <c r="AN3294" t="str">
        <f t="shared" si="341"/>
        <v>Defensive</v>
      </c>
    </row>
    <row r="3295" spans="2:40" x14ac:dyDescent="0.2">
      <c r="B3295" t="str">
        <f t="shared" si="340"/>
        <v/>
      </c>
      <c r="U3295" s="8">
        <f t="shared" si="343"/>
        <v>2</v>
      </c>
      <c r="AD3295" t="str">
        <f t="shared" si="342"/>
        <v>o</v>
      </c>
      <c r="AE3295" t="str">
        <f t="shared" si="346"/>
        <v/>
      </c>
      <c r="AF3295" t="str">
        <f t="shared" si="344"/>
        <v/>
      </c>
      <c r="AG3295" t="str">
        <f t="shared" si="345"/>
        <v/>
      </c>
      <c r="AN3295" t="str">
        <f t="shared" si="341"/>
        <v>Defensive</v>
      </c>
    </row>
    <row r="3296" spans="2:40" x14ac:dyDescent="0.2">
      <c r="B3296" t="str">
        <f t="shared" si="340"/>
        <v/>
      </c>
      <c r="U3296" s="8">
        <f t="shared" si="343"/>
        <v>2</v>
      </c>
      <c r="AD3296" t="str">
        <f t="shared" si="342"/>
        <v>o</v>
      </c>
      <c r="AE3296" t="str">
        <f t="shared" si="346"/>
        <v/>
      </c>
      <c r="AF3296" t="str">
        <f t="shared" si="344"/>
        <v/>
      </c>
      <c r="AG3296" t="str">
        <f t="shared" si="345"/>
        <v/>
      </c>
      <c r="AN3296" t="str">
        <f t="shared" si="341"/>
        <v>Defensive</v>
      </c>
    </row>
    <row r="3297" spans="2:40" x14ac:dyDescent="0.2">
      <c r="B3297" t="str">
        <f t="shared" si="340"/>
        <v/>
      </c>
      <c r="U3297" s="8">
        <f t="shared" si="343"/>
        <v>2</v>
      </c>
      <c r="AD3297" t="str">
        <f t="shared" si="342"/>
        <v>o</v>
      </c>
      <c r="AE3297" t="str">
        <f t="shared" si="346"/>
        <v/>
      </c>
      <c r="AF3297" t="str">
        <f t="shared" si="344"/>
        <v/>
      </c>
      <c r="AG3297" t="str">
        <f t="shared" si="345"/>
        <v/>
      </c>
      <c r="AN3297" t="str">
        <f t="shared" si="341"/>
        <v>Defensive</v>
      </c>
    </row>
    <row r="3298" spans="2:40" x14ac:dyDescent="0.2">
      <c r="B3298" t="str">
        <f t="shared" si="340"/>
        <v/>
      </c>
      <c r="U3298" s="8">
        <f t="shared" si="343"/>
        <v>2</v>
      </c>
      <c r="AD3298" t="str">
        <f t="shared" si="342"/>
        <v>o</v>
      </c>
      <c r="AE3298" t="str">
        <f t="shared" si="346"/>
        <v/>
      </c>
      <c r="AF3298" t="str">
        <f t="shared" si="344"/>
        <v/>
      </c>
      <c r="AG3298" t="str">
        <f t="shared" si="345"/>
        <v/>
      </c>
      <c r="AN3298" t="str">
        <f t="shared" si="341"/>
        <v>Defensive</v>
      </c>
    </row>
    <row r="3299" spans="2:40" x14ac:dyDescent="0.2">
      <c r="B3299" t="str">
        <f t="shared" si="340"/>
        <v/>
      </c>
      <c r="U3299" s="8">
        <f t="shared" si="343"/>
        <v>2</v>
      </c>
      <c r="AD3299" t="str">
        <f t="shared" si="342"/>
        <v>o</v>
      </c>
      <c r="AE3299" t="str">
        <f t="shared" si="346"/>
        <v/>
      </c>
      <c r="AF3299" t="str">
        <f t="shared" si="344"/>
        <v/>
      </c>
      <c r="AG3299" t="str">
        <f t="shared" si="345"/>
        <v/>
      </c>
      <c r="AN3299" t="str">
        <f t="shared" si="341"/>
        <v>Defensive</v>
      </c>
    </row>
    <row r="3300" spans="2:40" x14ac:dyDescent="0.2">
      <c r="B3300" t="str">
        <f t="shared" si="340"/>
        <v/>
      </c>
      <c r="U3300" s="8">
        <f t="shared" si="343"/>
        <v>2</v>
      </c>
      <c r="AD3300" t="str">
        <f t="shared" si="342"/>
        <v>o</v>
      </c>
      <c r="AE3300" t="str">
        <f t="shared" si="346"/>
        <v/>
      </c>
      <c r="AF3300" t="str">
        <f t="shared" si="344"/>
        <v/>
      </c>
      <c r="AG3300" t="str">
        <f t="shared" si="345"/>
        <v/>
      </c>
      <c r="AN3300" t="str">
        <f t="shared" si="341"/>
        <v>Defensive</v>
      </c>
    </row>
    <row r="3301" spans="2:40" x14ac:dyDescent="0.2">
      <c r="B3301" t="str">
        <f t="shared" si="340"/>
        <v/>
      </c>
      <c r="U3301" s="8">
        <f t="shared" si="343"/>
        <v>2</v>
      </c>
      <c r="AD3301" t="str">
        <f t="shared" si="342"/>
        <v>o</v>
      </c>
      <c r="AE3301" t="str">
        <f t="shared" si="346"/>
        <v/>
      </c>
      <c r="AF3301" t="str">
        <f t="shared" si="344"/>
        <v/>
      </c>
      <c r="AG3301" t="str">
        <f t="shared" si="345"/>
        <v/>
      </c>
      <c r="AN3301" t="str">
        <f t="shared" si="341"/>
        <v>Defensive</v>
      </c>
    </row>
    <row r="3302" spans="2:40" x14ac:dyDescent="0.2">
      <c r="B3302" t="str">
        <f t="shared" si="340"/>
        <v/>
      </c>
      <c r="U3302" s="8">
        <f t="shared" si="343"/>
        <v>2</v>
      </c>
      <c r="AD3302" t="str">
        <f t="shared" si="342"/>
        <v>o</v>
      </c>
      <c r="AE3302" t="str">
        <f t="shared" si="346"/>
        <v/>
      </c>
      <c r="AF3302" t="str">
        <f t="shared" si="344"/>
        <v/>
      </c>
      <c r="AG3302" t="str">
        <f t="shared" si="345"/>
        <v/>
      </c>
      <c r="AN3302" t="str">
        <f t="shared" si="341"/>
        <v>Defensive</v>
      </c>
    </row>
    <row r="3303" spans="2:40" x14ac:dyDescent="0.2">
      <c r="B3303" t="str">
        <f t="shared" si="340"/>
        <v/>
      </c>
      <c r="U3303" s="8">
        <f t="shared" si="343"/>
        <v>2</v>
      </c>
      <c r="AD3303" t="str">
        <f t="shared" si="342"/>
        <v>o</v>
      </c>
      <c r="AE3303" t="str">
        <f t="shared" si="346"/>
        <v/>
      </c>
      <c r="AF3303" t="str">
        <f t="shared" si="344"/>
        <v/>
      </c>
      <c r="AG3303" t="str">
        <f t="shared" si="345"/>
        <v/>
      </c>
      <c r="AN3303" t="str">
        <f t="shared" si="341"/>
        <v>Defensive</v>
      </c>
    </row>
    <row r="3304" spans="2:40" x14ac:dyDescent="0.2">
      <c r="B3304" t="str">
        <f t="shared" si="340"/>
        <v/>
      </c>
      <c r="U3304" s="8">
        <f t="shared" si="343"/>
        <v>2</v>
      </c>
      <c r="AD3304" t="str">
        <f t="shared" si="342"/>
        <v>o</v>
      </c>
      <c r="AE3304" t="str">
        <f t="shared" si="346"/>
        <v/>
      </c>
      <c r="AF3304" t="str">
        <f t="shared" si="344"/>
        <v/>
      </c>
      <c r="AG3304" t="str">
        <f t="shared" si="345"/>
        <v/>
      </c>
      <c r="AN3304" t="str">
        <f t="shared" si="341"/>
        <v>Defensive</v>
      </c>
    </row>
    <row r="3305" spans="2:40" x14ac:dyDescent="0.2">
      <c r="B3305" t="str">
        <f t="shared" si="340"/>
        <v/>
      </c>
      <c r="U3305" s="8">
        <f t="shared" si="343"/>
        <v>2</v>
      </c>
      <c r="AD3305" t="str">
        <f t="shared" si="342"/>
        <v>o</v>
      </c>
      <c r="AE3305" t="str">
        <f t="shared" si="346"/>
        <v/>
      </c>
      <c r="AF3305" t="str">
        <f t="shared" si="344"/>
        <v/>
      </c>
      <c r="AG3305" t="str">
        <f t="shared" si="345"/>
        <v/>
      </c>
      <c r="AN3305" t="str">
        <f t="shared" si="341"/>
        <v>Defensive</v>
      </c>
    </row>
    <row r="3306" spans="2:40" x14ac:dyDescent="0.2">
      <c r="B3306" t="str">
        <f t="shared" si="340"/>
        <v/>
      </c>
      <c r="U3306" s="8">
        <f t="shared" si="343"/>
        <v>2</v>
      </c>
      <c r="AD3306" t="str">
        <f t="shared" si="342"/>
        <v>o</v>
      </c>
      <c r="AE3306" t="str">
        <f t="shared" si="346"/>
        <v/>
      </c>
      <c r="AF3306" t="str">
        <f t="shared" si="344"/>
        <v/>
      </c>
      <c r="AG3306" t="str">
        <f t="shared" si="345"/>
        <v/>
      </c>
      <c r="AN3306" t="str">
        <f t="shared" si="341"/>
        <v>Defensive</v>
      </c>
    </row>
    <row r="3307" spans="2:40" x14ac:dyDescent="0.2">
      <c r="B3307" t="str">
        <f t="shared" si="340"/>
        <v/>
      </c>
      <c r="U3307" s="8">
        <f t="shared" si="343"/>
        <v>2</v>
      </c>
      <c r="AD3307" t="str">
        <f t="shared" si="342"/>
        <v>o</v>
      </c>
      <c r="AE3307" t="str">
        <f t="shared" si="346"/>
        <v/>
      </c>
      <c r="AF3307" t="str">
        <f t="shared" si="344"/>
        <v/>
      </c>
      <c r="AG3307" t="str">
        <f t="shared" si="345"/>
        <v/>
      </c>
      <c r="AN3307" t="str">
        <f t="shared" si="341"/>
        <v>Defensive</v>
      </c>
    </row>
    <row r="3308" spans="2:40" x14ac:dyDescent="0.2">
      <c r="B3308" t="str">
        <f t="shared" si="340"/>
        <v/>
      </c>
      <c r="U3308" s="8">
        <f t="shared" si="343"/>
        <v>2</v>
      </c>
      <c r="AD3308" t="str">
        <f t="shared" si="342"/>
        <v>o</v>
      </c>
      <c r="AE3308" t="str">
        <f t="shared" si="346"/>
        <v/>
      </c>
      <c r="AF3308" t="str">
        <f t="shared" si="344"/>
        <v/>
      </c>
      <c r="AG3308" t="str">
        <f t="shared" si="345"/>
        <v/>
      </c>
      <c r="AN3308" t="str">
        <f t="shared" si="341"/>
        <v>Defensive</v>
      </c>
    </row>
    <row r="3309" spans="2:40" x14ac:dyDescent="0.2">
      <c r="B3309" t="str">
        <f t="shared" si="340"/>
        <v/>
      </c>
      <c r="U3309" s="8">
        <f t="shared" si="343"/>
        <v>2</v>
      </c>
      <c r="AD3309" t="str">
        <f t="shared" si="342"/>
        <v>o</v>
      </c>
      <c r="AE3309" t="str">
        <f t="shared" si="346"/>
        <v/>
      </c>
      <c r="AF3309" t="str">
        <f t="shared" si="344"/>
        <v/>
      </c>
      <c r="AG3309" t="str">
        <f t="shared" si="345"/>
        <v/>
      </c>
      <c r="AN3309" t="str">
        <f t="shared" si="341"/>
        <v>Defensive</v>
      </c>
    </row>
    <row r="3310" spans="2:40" x14ac:dyDescent="0.2">
      <c r="B3310" t="str">
        <f t="shared" si="340"/>
        <v/>
      </c>
      <c r="U3310" s="8">
        <f t="shared" si="343"/>
        <v>2</v>
      </c>
      <c r="AD3310" t="str">
        <f t="shared" si="342"/>
        <v>o</v>
      </c>
      <c r="AE3310" t="str">
        <f t="shared" si="346"/>
        <v/>
      </c>
      <c r="AF3310" t="str">
        <f t="shared" si="344"/>
        <v/>
      </c>
      <c r="AG3310" t="str">
        <f t="shared" si="345"/>
        <v/>
      </c>
      <c r="AN3310" t="str">
        <f t="shared" si="341"/>
        <v>Defensive</v>
      </c>
    </row>
    <row r="3311" spans="2:40" x14ac:dyDescent="0.2">
      <c r="B3311" t="str">
        <f t="shared" si="340"/>
        <v/>
      </c>
      <c r="U3311" s="8">
        <f t="shared" si="343"/>
        <v>2</v>
      </c>
      <c r="AD3311" t="str">
        <f t="shared" si="342"/>
        <v>o</v>
      </c>
      <c r="AE3311" t="str">
        <f t="shared" si="346"/>
        <v/>
      </c>
      <c r="AF3311" t="str">
        <f t="shared" si="344"/>
        <v/>
      </c>
      <c r="AG3311" t="str">
        <f t="shared" si="345"/>
        <v/>
      </c>
      <c r="AN3311" t="str">
        <f t="shared" si="341"/>
        <v>Defensive</v>
      </c>
    </row>
    <row r="3312" spans="2:40" x14ac:dyDescent="0.2">
      <c r="B3312" t="str">
        <f t="shared" ref="B3312:B3375" si="347">IF(A3312=A3311,B3311,"")</f>
        <v/>
      </c>
      <c r="U3312" s="8">
        <f t="shared" si="343"/>
        <v>2</v>
      </c>
      <c r="AD3312" t="str">
        <f t="shared" si="342"/>
        <v>o</v>
      </c>
      <c r="AE3312" t="str">
        <f t="shared" si="346"/>
        <v/>
      </c>
      <c r="AF3312" t="str">
        <f t="shared" si="344"/>
        <v/>
      </c>
      <c r="AG3312" t="str">
        <f t="shared" si="345"/>
        <v/>
      </c>
      <c r="AN3312" t="str">
        <f t="shared" si="341"/>
        <v>Defensive</v>
      </c>
    </row>
    <row r="3313" spans="2:40" x14ac:dyDescent="0.2">
      <c r="B3313" t="str">
        <f t="shared" si="347"/>
        <v/>
      </c>
      <c r="U3313" s="8">
        <f t="shared" si="343"/>
        <v>2</v>
      </c>
      <c r="AD3313" t="str">
        <f t="shared" si="342"/>
        <v>o</v>
      </c>
      <c r="AE3313" t="str">
        <f t="shared" si="346"/>
        <v/>
      </c>
      <c r="AF3313" t="str">
        <f t="shared" si="344"/>
        <v/>
      </c>
      <c r="AG3313" t="str">
        <f t="shared" si="345"/>
        <v/>
      </c>
      <c r="AN3313" t="str">
        <f t="shared" si="341"/>
        <v>Defensive</v>
      </c>
    </row>
    <row r="3314" spans="2:40" x14ac:dyDescent="0.2">
      <c r="B3314" t="str">
        <f t="shared" si="347"/>
        <v/>
      </c>
      <c r="U3314" s="8">
        <f t="shared" si="343"/>
        <v>2</v>
      </c>
      <c r="AD3314" t="str">
        <f t="shared" si="342"/>
        <v>o</v>
      </c>
      <c r="AE3314" t="str">
        <f t="shared" si="346"/>
        <v/>
      </c>
      <c r="AF3314" t="str">
        <f t="shared" si="344"/>
        <v/>
      </c>
      <c r="AG3314" t="str">
        <f t="shared" si="345"/>
        <v/>
      </c>
      <c r="AN3314" t="str">
        <f t="shared" si="341"/>
        <v>Defensive</v>
      </c>
    </row>
    <row r="3315" spans="2:40" x14ac:dyDescent="0.2">
      <c r="B3315" t="str">
        <f t="shared" si="347"/>
        <v/>
      </c>
      <c r="U3315" s="8">
        <f t="shared" si="343"/>
        <v>2</v>
      </c>
      <c r="AD3315" t="str">
        <f t="shared" si="342"/>
        <v>o</v>
      </c>
      <c r="AE3315" t="str">
        <f t="shared" si="346"/>
        <v/>
      </c>
      <c r="AF3315" t="str">
        <f t="shared" si="344"/>
        <v/>
      </c>
      <c r="AG3315" t="str">
        <f t="shared" si="345"/>
        <v/>
      </c>
      <c r="AN3315" t="str">
        <f t="shared" si="341"/>
        <v>Defensive</v>
      </c>
    </row>
    <row r="3316" spans="2:40" x14ac:dyDescent="0.2">
      <c r="B3316" t="str">
        <f t="shared" si="347"/>
        <v/>
      </c>
      <c r="U3316" s="8">
        <f t="shared" si="343"/>
        <v>2</v>
      </c>
      <c r="AD3316" t="str">
        <f t="shared" si="342"/>
        <v>o</v>
      </c>
      <c r="AE3316" t="str">
        <f t="shared" si="346"/>
        <v/>
      </c>
      <c r="AF3316" t="str">
        <f t="shared" si="344"/>
        <v/>
      </c>
      <c r="AG3316" t="str">
        <f t="shared" si="345"/>
        <v/>
      </c>
      <c r="AN3316" t="str">
        <f t="shared" si="341"/>
        <v>Defensive</v>
      </c>
    </row>
    <row r="3317" spans="2:40" x14ac:dyDescent="0.2">
      <c r="B3317" t="str">
        <f t="shared" si="347"/>
        <v/>
      </c>
      <c r="U3317" s="8">
        <f t="shared" si="343"/>
        <v>2</v>
      </c>
      <c r="AD3317" t="str">
        <f t="shared" si="342"/>
        <v>o</v>
      </c>
      <c r="AE3317" t="str">
        <f t="shared" si="346"/>
        <v/>
      </c>
      <c r="AF3317" t="str">
        <f t="shared" si="344"/>
        <v/>
      </c>
      <c r="AG3317" t="str">
        <f t="shared" si="345"/>
        <v/>
      </c>
      <c r="AN3317" t="str">
        <f t="shared" si="341"/>
        <v>Defensive</v>
      </c>
    </row>
    <row r="3318" spans="2:40" x14ac:dyDescent="0.2">
      <c r="B3318" t="str">
        <f t="shared" si="347"/>
        <v/>
      </c>
      <c r="U3318" s="8">
        <f t="shared" si="343"/>
        <v>2</v>
      </c>
      <c r="AD3318" t="str">
        <f t="shared" si="342"/>
        <v>o</v>
      </c>
      <c r="AE3318" t="str">
        <f t="shared" si="346"/>
        <v/>
      </c>
      <c r="AF3318" t="str">
        <f t="shared" si="344"/>
        <v/>
      </c>
      <c r="AG3318" t="str">
        <f t="shared" si="345"/>
        <v/>
      </c>
      <c r="AN3318" t="str">
        <f t="shared" si="341"/>
        <v>Defensive</v>
      </c>
    </row>
    <row r="3319" spans="2:40" x14ac:dyDescent="0.2">
      <c r="B3319" t="str">
        <f t="shared" si="347"/>
        <v/>
      </c>
      <c r="U3319" s="8">
        <f t="shared" si="343"/>
        <v>2</v>
      </c>
      <c r="AD3319" t="str">
        <f t="shared" si="342"/>
        <v>o</v>
      </c>
      <c r="AE3319" t="str">
        <f t="shared" si="346"/>
        <v/>
      </c>
      <c r="AF3319" t="str">
        <f t="shared" si="344"/>
        <v/>
      </c>
      <c r="AG3319" t="str">
        <f t="shared" si="345"/>
        <v/>
      </c>
      <c r="AN3319" t="str">
        <f t="shared" si="341"/>
        <v>Defensive</v>
      </c>
    </row>
    <row r="3320" spans="2:40" x14ac:dyDescent="0.2">
      <c r="B3320" t="str">
        <f t="shared" si="347"/>
        <v/>
      </c>
      <c r="U3320" s="8">
        <f t="shared" si="343"/>
        <v>2</v>
      </c>
      <c r="AD3320" t="str">
        <f t="shared" si="342"/>
        <v>o</v>
      </c>
      <c r="AE3320" t="str">
        <f t="shared" si="346"/>
        <v/>
      </c>
      <c r="AF3320" t="str">
        <f t="shared" si="344"/>
        <v/>
      </c>
      <c r="AG3320" t="str">
        <f t="shared" si="345"/>
        <v/>
      </c>
      <c r="AN3320" t="str">
        <f t="shared" si="341"/>
        <v>Defensive</v>
      </c>
    </row>
    <row r="3321" spans="2:40" x14ac:dyDescent="0.2">
      <c r="B3321" t="str">
        <f t="shared" si="347"/>
        <v/>
      </c>
      <c r="U3321" s="8">
        <f t="shared" si="343"/>
        <v>2</v>
      </c>
      <c r="AD3321" t="str">
        <f t="shared" si="342"/>
        <v>o</v>
      </c>
      <c r="AE3321" t="str">
        <f t="shared" si="346"/>
        <v/>
      </c>
      <c r="AF3321" t="str">
        <f t="shared" si="344"/>
        <v/>
      </c>
      <c r="AG3321" t="str">
        <f t="shared" si="345"/>
        <v/>
      </c>
      <c r="AN3321" t="str">
        <f t="shared" ref="AN3321:AN3384" si="348">IF(AND(AD3321="e",OR(AE3321="Save",AF3321="Turnover_Takeaway",AF3321="Play_Defensive")),"Defensive",IF(AND(AD3321="o",OR(AE3321="Save",AF3321="Turnover_Takeaway",AF3321="Play_Defensive")),"Offensive",IF(OR(AE3321="Deadice",AE3321="Stoppage",AE3321="Intermission"),"",IF(AD3321="e","Offensive",IF(AD3321="o","Defensive","")))))</f>
        <v>Defensive</v>
      </c>
    </row>
    <row r="3322" spans="2:40" x14ac:dyDescent="0.2">
      <c r="B3322" t="str">
        <f t="shared" si="347"/>
        <v/>
      </c>
      <c r="U3322" s="8">
        <f t="shared" si="343"/>
        <v>2</v>
      </c>
      <c r="AD3322" t="str">
        <f t="shared" si="342"/>
        <v>o</v>
      </c>
      <c r="AE3322" t="str">
        <f t="shared" si="346"/>
        <v/>
      </c>
      <c r="AF3322" t="str">
        <f t="shared" si="344"/>
        <v/>
      </c>
      <c r="AG3322" t="str">
        <f t="shared" si="345"/>
        <v/>
      </c>
      <c r="AN3322" t="str">
        <f t="shared" si="348"/>
        <v>Defensive</v>
      </c>
    </row>
    <row r="3323" spans="2:40" x14ac:dyDescent="0.2">
      <c r="B3323" t="str">
        <f t="shared" si="347"/>
        <v/>
      </c>
      <c r="U3323" s="8">
        <f t="shared" si="343"/>
        <v>2</v>
      </c>
      <c r="AD3323" t="str">
        <f t="shared" si="342"/>
        <v>o</v>
      </c>
      <c r="AE3323" t="str">
        <f t="shared" si="346"/>
        <v/>
      </c>
      <c r="AF3323" t="str">
        <f t="shared" si="344"/>
        <v/>
      </c>
      <c r="AG3323" t="str">
        <f t="shared" si="345"/>
        <v/>
      </c>
      <c r="AN3323" t="str">
        <f t="shared" si="348"/>
        <v>Defensive</v>
      </c>
    </row>
    <row r="3324" spans="2:40" x14ac:dyDescent="0.2">
      <c r="B3324" t="str">
        <f t="shared" si="347"/>
        <v/>
      </c>
      <c r="U3324" s="8">
        <f t="shared" si="343"/>
        <v>2</v>
      </c>
      <c r="AD3324" t="str">
        <f t="shared" si="342"/>
        <v>o</v>
      </c>
      <c r="AE3324" t="str">
        <f t="shared" si="346"/>
        <v/>
      </c>
      <c r="AF3324" t="str">
        <f t="shared" si="344"/>
        <v/>
      </c>
      <c r="AG3324" t="str">
        <f t="shared" si="345"/>
        <v/>
      </c>
      <c r="AN3324" t="str">
        <f t="shared" si="348"/>
        <v>Defensive</v>
      </c>
    </row>
    <row r="3325" spans="2:40" x14ac:dyDescent="0.2">
      <c r="B3325" t="str">
        <f t="shared" si="347"/>
        <v/>
      </c>
      <c r="U3325" s="8">
        <f t="shared" si="343"/>
        <v>2</v>
      </c>
      <c r="AD3325" t="str">
        <f t="shared" si="342"/>
        <v>o</v>
      </c>
      <c r="AE3325" t="str">
        <f t="shared" si="346"/>
        <v/>
      </c>
      <c r="AF3325" t="str">
        <f t="shared" si="344"/>
        <v/>
      </c>
      <c r="AG3325" t="str">
        <f t="shared" si="345"/>
        <v/>
      </c>
      <c r="AN3325" t="str">
        <f t="shared" si="348"/>
        <v>Defensive</v>
      </c>
    </row>
    <row r="3326" spans="2:40" x14ac:dyDescent="0.2">
      <c r="B3326" t="str">
        <f t="shared" si="347"/>
        <v/>
      </c>
      <c r="U3326" s="8">
        <f t="shared" si="343"/>
        <v>2</v>
      </c>
      <c r="AD3326" t="str">
        <f t="shared" si="342"/>
        <v>o</v>
      </c>
      <c r="AE3326" t="str">
        <f t="shared" si="346"/>
        <v/>
      </c>
      <c r="AF3326" t="str">
        <f t="shared" si="344"/>
        <v/>
      </c>
      <c r="AG3326" t="str">
        <f t="shared" si="345"/>
        <v/>
      </c>
      <c r="AN3326" t="str">
        <f t="shared" si="348"/>
        <v>Defensive</v>
      </c>
    </row>
    <row r="3327" spans="2:40" x14ac:dyDescent="0.2">
      <c r="B3327" t="str">
        <f t="shared" si="347"/>
        <v/>
      </c>
      <c r="U3327" s="8">
        <f t="shared" si="343"/>
        <v>2</v>
      </c>
      <c r="AD3327" t="str">
        <f t="shared" si="342"/>
        <v>o</v>
      </c>
      <c r="AE3327" t="str">
        <f t="shared" si="346"/>
        <v/>
      </c>
      <c r="AF3327" t="str">
        <f t="shared" si="344"/>
        <v/>
      </c>
      <c r="AG3327" t="str">
        <f t="shared" si="345"/>
        <v/>
      </c>
      <c r="AN3327" t="str">
        <f t="shared" si="348"/>
        <v>Defensive</v>
      </c>
    </row>
    <row r="3328" spans="2:40" x14ac:dyDescent="0.2">
      <c r="B3328" t="str">
        <f t="shared" si="347"/>
        <v/>
      </c>
      <c r="U3328" s="8">
        <f t="shared" si="343"/>
        <v>2</v>
      </c>
      <c r="AD3328" t="str">
        <f t="shared" si="342"/>
        <v>o</v>
      </c>
      <c r="AE3328" t="str">
        <f t="shared" si="346"/>
        <v/>
      </c>
      <c r="AF3328" t="str">
        <f t="shared" si="344"/>
        <v/>
      </c>
      <c r="AG3328" t="str">
        <f t="shared" si="345"/>
        <v/>
      </c>
      <c r="AN3328" t="str">
        <f t="shared" si="348"/>
        <v>Defensive</v>
      </c>
    </row>
    <row r="3329" spans="2:40" x14ac:dyDescent="0.2">
      <c r="B3329" t="str">
        <f t="shared" si="347"/>
        <v/>
      </c>
      <c r="U3329" s="8">
        <f t="shared" si="343"/>
        <v>2</v>
      </c>
      <c r="AD3329" t="str">
        <f t="shared" si="342"/>
        <v>o</v>
      </c>
      <c r="AE3329" t="str">
        <f t="shared" si="346"/>
        <v/>
      </c>
      <c r="AF3329" t="str">
        <f t="shared" si="344"/>
        <v/>
      </c>
      <c r="AG3329" t="str">
        <f t="shared" si="345"/>
        <v/>
      </c>
      <c r="AN3329" t="str">
        <f t="shared" si="348"/>
        <v>Defensive</v>
      </c>
    </row>
    <row r="3330" spans="2:40" x14ac:dyDescent="0.2">
      <c r="B3330" t="str">
        <f t="shared" si="347"/>
        <v/>
      </c>
      <c r="U3330" s="8">
        <f t="shared" si="343"/>
        <v>2</v>
      </c>
      <c r="AD3330" t="str">
        <f t="shared" ref="AD3330:AD3393" si="349">IF(K3330="x","",IF(K3330=1,"e","o"))</f>
        <v>o</v>
      </c>
      <c r="AE3330" t="str">
        <f t="shared" si="346"/>
        <v/>
      </c>
      <c r="AF3330" t="str">
        <f t="shared" si="344"/>
        <v/>
      </c>
      <c r="AG3330" t="str">
        <f t="shared" si="345"/>
        <v/>
      </c>
      <c r="AN3330" t="str">
        <f t="shared" si="348"/>
        <v>Defensive</v>
      </c>
    </row>
    <row r="3331" spans="2:40" x14ac:dyDescent="0.2">
      <c r="B3331" t="str">
        <f t="shared" si="347"/>
        <v/>
      </c>
      <c r="U3331" s="8">
        <f t="shared" ref="U3331:U3394" si="350">IF(M3331="Intermission",U3330+1,U3330)</f>
        <v>2</v>
      </c>
      <c r="AD3331" t="str">
        <f t="shared" si="349"/>
        <v>o</v>
      </c>
      <c r="AE3331" t="str">
        <f t="shared" si="346"/>
        <v/>
      </c>
      <c r="AF3331" t="str">
        <f t="shared" ref="AF3331:AF3394" si="351">IF(N3331&lt;&gt;"",N3331,IF($A3331=$A3330,AF3330,""))</f>
        <v/>
      </c>
      <c r="AG3331" t="str">
        <f t="shared" ref="AG3331:AG3394" si="352">IF(O3331&lt;&gt;"",O3331,IF($A3331=$A3330,AG3330,""))</f>
        <v/>
      </c>
      <c r="AN3331" t="str">
        <f t="shared" si="348"/>
        <v>Defensive</v>
      </c>
    </row>
    <row r="3332" spans="2:40" x14ac:dyDescent="0.2">
      <c r="B3332" t="str">
        <f t="shared" si="347"/>
        <v/>
      </c>
      <c r="U3332" s="8">
        <f t="shared" si="350"/>
        <v>2</v>
      </c>
      <c r="AD3332" t="str">
        <f t="shared" si="349"/>
        <v>o</v>
      </c>
      <c r="AE3332" t="str">
        <f t="shared" ref="AE3332:AE3395" si="353">IF(M3332&lt;&gt;"",M3332,IF($A3332=$A3331,AE3331,""))</f>
        <v/>
      </c>
      <c r="AF3332" t="str">
        <f t="shared" si="351"/>
        <v/>
      </c>
      <c r="AG3332" t="str">
        <f t="shared" si="352"/>
        <v/>
      </c>
      <c r="AN3332" t="str">
        <f t="shared" si="348"/>
        <v>Defensive</v>
      </c>
    </row>
    <row r="3333" spans="2:40" x14ac:dyDescent="0.2">
      <c r="B3333" t="str">
        <f t="shared" si="347"/>
        <v/>
      </c>
      <c r="U3333" s="8">
        <f t="shared" si="350"/>
        <v>2</v>
      </c>
      <c r="AD3333" t="str">
        <f t="shared" si="349"/>
        <v>o</v>
      </c>
      <c r="AE3333" t="str">
        <f t="shared" si="353"/>
        <v/>
      </c>
      <c r="AF3333" t="str">
        <f t="shared" si="351"/>
        <v/>
      </c>
      <c r="AG3333" t="str">
        <f t="shared" si="352"/>
        <v/>
      </c>
      <c r="AN3333" t="str">
        <f t="shared" si="348"/>
        <v>Defensive</v>
      </c>
    </row>
    <row r="3334" spans="2:40" x14ac:dyDescent="0.2">
      <c r="B3334" t="str">
        <f t="shared" si="347"/>
        <v/>
      </c>
      <c r="U3334" s="8">
        <f t="shared" si="350"/>
        <v>2</v>
      </c>
      <c r="AD3334" t="str">
        <f t="shared" si="349"/>
        <v>o</v>
      </c>
      <c r="AE3334" t="str">
        <f t="shared" si="353"/>
        <v/>
      </c>
      <c r="AF3334" t="str">
        <f t="shared" si="351"/>
        <v/>
      </c>
      <c r="AG3334" t="str">
        <f t="shared" si="352"/>
        <v/>
      </c>
      <c r="AN3334" t="str">
        <f t="shared" si="348"/>
        <v>Defensive</v>
      </c>
    </row>
    <row r="3335" spans="2:40" x14ac:dyDescent="0.2">
      <c r="B3335" t="str">
        <f t="shared" si="347"/>
        <v/>
      </c>
      <c r="U3335" s="8">
        <f t="shared" si="350"/>
        <v>2</v>
      </c>
      <c r="AD3335" t="str">
        <f t="shared" si="349"/>
        <v>o</v>
      </c>
      <c r="AE3335" t="str">
        <f t="shared" si="353"/>
        <v/>
      </c>
      <c r="AF3335" t="str">
        <f t="shared" si="351"/>
        <v/>
      </c>
      <c r="AG3335" t="str">
        <f t="shared" si="352"/>
        <v/>
      </c>
      <c r="AN3335" t="str">
        <f t="shared" si="348"/>
        <v>Defensive</v>
      </c>
    </row>
    <row r="3336" spans="2:40" x14ac:dyDescent="0.2">
      <c r="B3336" t="str">
        <f t="shared" si="347"/>
        <v/>
      </c>
      <c r="U3336" s="8">
        <f t="shared" si="350"/>
        <v>2</v>
      </c>
      <c r="AD3336" t="str">
        <f t="shared" si="349"/>
        <v>o</v>
      </c>
      <c r="AE3336" t="str">
        <f t="shared" si="353"/>
        <v/>
      </c>
      <c r="AF3336" t="str">
        <f t="shared" si="351"/>
        <v/>
      </c>
      <c r="AG3336" t="str">
        <f t="shared" si="352"/>
        <v/>
      </c>
      <c r="AN3336" t="str">
        <f t="shared" si="348"/>
        <v>Defensive</v>
      </c>
    </row>
    <row r="3337" spans="2:40" x14ac:dyDescent="0.2">
      <c r="B3337" t="str">
        <f t="shared" si="347"/>
        <v/>
      </c>
      <c r="U3337" s="8">
        <f t="shared" si="350"/>
        <v>2</v>
      </c>
      <c r="AD3337" t="str">
        <f t="shared" si="349"/>
        <v>o</v>
      </c>
      <c r="AE3337" t="str">
        <f t="shared" si="353"/>
        <v/>
      </c>
      <c r="AF3337" t="str">
        <f t="shared" si="351"/>
        <v/>
      </c>
      <c r="AG3337" t="str">
        <f t="shared" si="352"/>
        <v/>
      </c>
      <c r="AN3337" t="str">
        <f t="shared" si="348"/>
        <v>Defensive</v>
      </c>
    </row>
    <row r="3338" spans="2:40" x14ac:dyDescent="0.2">
      <c r="B3338" t="str">
        <f t="shared" si="347"/>
        <v/>
      </c>
      <c r="U3338" s="8">
        <f t="shared" si="350"/>
        <v>2</v>
      </c>
      <c r="AD3338" t="str">
        <f t="shared" si="349"/>
        <v>o</v>
      </c>
      <c r="AE3338" t="str">
        <f t="shared" si="353"/>
        <v/>
      </c>
      <c r="AF3338" t="str">
        <f t="shared" si="351"/>
        <v/>
      </c>
      <c r="AG3338" t="str">
        <f t="shared" si="352"/>
        <v/>
      </c>
      <c r="AN3338" t="str">
        <f t="shared" si="348"/>
        <v>Defensive</v>
      </c>
    </row>
    <row r="3339" spans="2:40" x14ac:dyDescent="0.2">
      <c r="B3339" t="str">
        <f t="shared" si="347"/>
        <v/>
      </c>
      <c r="U3339" s="8">
        <f t="shared" si="350"/>
        <v>2</v>
      </c>
      <c r="AD3339" t="str">
        <f t="shared" si="349"/>
        <v>o</v>
      </c>
      <c r="AE3339" t="str">
        <f t="shared" si="353"/>
        <v/>
      </c>
      <c r="AF3339" t="str">
        <f t="shared" si="351"/>
        <v/>
      </c>
      <c r="AG3339" t="str">
        <f t="shared" si="352"/>
        <v/>
      </c>
      <c r="AN3339" t="str">
        <f t="shared" si="348"/>
        <v>Defensive</v>
      </c>
    </row>
    <row r="3340" spans="2:40" x14ac:dyDescent="0.2">
      <c r="B3340" t="str">
        <f t="shared" si="347"/>
        <v/>
      </c>
      <c r="U3340" s="8">
        <f t="shared" si="350"/>
        <v>2</v>
      </c>
      <c r="AD3340" t="str">
        <f t="shared" si="349"/>
        <v>o</v>
      </c>
      <c r="AE3340" t="str">
        <f t="shared" si="353"/>
        <v/>
      </c>
      <c r="AF3340" t="str">
        <f t="shared" si="351"/>
        <v/>
      </c>
      <c r="AG3340" t="str">
        <f t="shared" si="352"/>
        <v/>
      </c>
      <c r="AN3340" t="str">
        <f t="shared" si="348"/>
        <v>Defensive</v>
      </c>
    </row>
    <row r="3341" spans="2:40" x14ac:dyDescent="0.2">
      <c r="B3341" t="str">
        <f t="shared" si="347"/>
        <v/>
      </c>
      <c r="U3341" s="8">
        <f t="shared" si="350"/>
        <v>2</v>
      </c>
      <c r="AD3341" t="str">
        <f t="shared" si="349"/>
        <v>o</v>
      </c>
      <c r="AE3341" t="str">
        <f t="shared" si="353"/>
        <v/>
      </c>
      <c r="AF3341" t="str">
        <f t="shared" si="351"/>
        <v/>
      </c>
      <c r="AG3341" t="str">
        <f t="shared" si="352"/>
        <v/>
      </c>
      <c r="AN3341" t="str">
        <f t="shared" si="348"/>
        <v>Defensive</v>
      </c>
    </row>
    <row r="3342" spans="2:40" x14ac:dyDescent="0.2">
      <c r="B3342" t="str">
        <f t="shared" si="347"/>
        <v/>
      </c>
      <c r="U3342" s="8">
        <f t="shared" si="350"/>
        <v>2</v>
      </c>
      <c r="AD3342" t="str">
        <f t="shared" si="349"/>
        <v>o</v>
      </c>
      <c r="AE3342" t="str">
        <f t="shared" si="353"/>
        <v/>
      </c>
      <c r="AF3342" t="str">
        <f t="shared" si="351"/>
        <v/>
      </c>
      <c r="AG3342" t="str">
        <f t="shared" si="352"/>
        <v/>
      </c>
      <c r="AN3342" t="str">
        <f t="shared" si="348"/>
        <v>Defensive</v>
      </c>
    </row>
    <row r="3343" spans="2:40" x14ac:dyDescent="0.2">
      <c r="B3343" t="str">
        <f t="shared" si="347"/>
        <v/>
      </c>
      <c r="U3343" s="8">
        <f t="shared" si="350"/>
        <v>2</v>
      </c>
      <c r="AD3343" t="str">
        <f t="shared" si="349"/>
        <v>o</v>
      </c>
      <c r="AE3343" t="str">
        <f t="shared" si="353"/>
        <v/>
      </c>
      <c r="AF3343" t="str">
        <f t="shared" si="351"/>
        <v/>
      </c>
      <c r="AG3343" t="str">
        <f t="shared" si="352"/>
        <v/>
      </c>
      <c r="AN3343" t="str">
        <f t="shared" si="348"/>
        <v>Defensive</v>
      </c>
    </row>
    <row r="3344" spans="2:40" x14ac:dyDescent="0.2">
      <c r="B3344" t="str">
        <f t="shared" si="347"/>
        <v/>
      </c>
      <c r="U3344" s="8">
        <f t="shared" si="350"/>
        <v>2</v>
      </c>
      <c r="AD3344" t="str">
        <f t="shared" si="349"/>
        <v>o</v>
      </c>
      <c r="AE3344" t="str">
        <f t="shared" si="353"/>
        <v/>
      </c>
      <c r="AF3344" t="str">
        <f t="shared" si="351"/>
        <v/>
      </c>
      <c r="AG3344" t="str">
        <f t="shared" si="352"/>
        <v/>
      </c>
      <c r="AN3344" t="str">
        <f t="shared" si="348"/>
        <v>Defensive</v>
      </c>
    </row>
    <row r="3345" spans="2:40" x14ac:dyDescent="0.2">
      <c r="B3345" t="str">
        <f t="shared" si="347"/>
        <v/>
      </c>
      <c r="U3345" s="8">
        <f t="shared" si="350"/>
        <v>2</v>
      </c>
      <c r="AD3345" t="str">
        <f t="shared" si="349"/>
        <v>o</v>
      </c>
      <c r="AE3345" t="str">
        <f t="shared" si="353"/>
        <v/>
      </c>
      <c r="AF3345" t="str">
        <f t="shared" si="351"/>
        <v/>
      </c>
      <c r="AG3345" t="str">
        <f t="shared" si="352"/>
        <v/>
      </c>
      <c r="AN3345" t="str">
        <f t="shared" si="348"/>
        <v>Defensive</v>
      </c>
    </row>
    <row r="3346" spans="2:40" x14ac:dyDescent="0.2">
      <c r="B3346" t="str">
        <f t="shared" si="347"/>
        <v/>
      </c>
      <c r="U3346" s="8">
        <f t="shared" si="350"/>
        <v>2</v>
      </c>
      <c r="AD3346" t="str">
        <f t="shared" si="349"/>
        <v>o</v>
      </c>
      <c r="AE3346" t="str">
        <f t="shared" si="353"/>
        <v/>
      </c>
      <c r="AF3346" t="str">
        <f t="shared" si="351"/>
        <v/>
      </c>
      <c r="AG3346" t="str">
        <f t="shared" si="352"/>
        <v/>
      </c>
      <c r="AN3346" t="str">
        <f t="shared" si="348"/>
        <v>Defensive</v>
      </c>
    </row>
    <row r="3347" spans="2:40" x14ac:dyDescent="0.2">
      <c r="B3347" t="str">
        <f t="shared" si="347"/>
        <v/>
      </c>
      <c r="U3347" s="8">
        <f t="shared" si="350"/>
        <v>2</v>
      </c>
      <c r="AD3347" t="str">
        <f t="shared" si="349"/>
        <v>o</v>
      </c>
      <c r="AE3347" t="str">
        <f t="shared" si="353"/>
        <v/>
      </c>
      <c r="AF3347" t="str">
        <f t="shared" si="351"/>
        <v/>
      </c>
      <c r="AG3347" t="str">
        <f t="shared" si="352"/>
        <v/>
      </c>
      <c r="AN3347" t="str">
        <f t="shared" si="348"/>
        <v>Defensive</v>
      </c>
    </row>
    <row r="3348" spans="2:40" x14ac:dyDescent="0.2">
      <c r="B3348" t="str">
        <f t="shared" si="347"/>
        <v/>
      </c>
      <c r="U3348" s="8">
        <f t="shared" si="350"/>
        <v>2</v>
      </c>
      <c r="AD3348" t="str">
        <f t="shared" si="349"/>
        <v>o</v>
      </c>
      <c r="AE3348" t="str">
        <f t="shared" si="353"/>
        <v/>
      </c>
      <c r="AF3348" t="str">
        <f t="shared" si="351"/>
        <v/>
      </c>
      <c r="AG3348" t="str">
        <f t="shared" si="352"/>
        <v/>
      </c>
      <c r="AN3348" t="str">
        <f t="shared" si="348"/>
        <v>Defensive</v>
      </c>
    </row>
    <row r="3349" spans="2:40" x14ac:dyDescent="0.2">
      <c r="B3349" t="str">
        <f t="shared" si="347"/>
        <v/>
      </c>
      <c r="U3349" s="8">
        <f t="shared" si="350"/>
        <v>2</v>
      </c>
      <c r="AD3349" t="str">
        <f t="shared" si="349"/>
        <v>o</v>
      </c>
      <c r="AE3349" t="str">
        <f t="shared" si="353"/>
        <v/>
      </c>
      <c r="AF3349" t="str">
        <f t="shared" si="351"/>
        <v/>
      </c>
      <c r="AG3349" t="str">
        <f t="shared" si="352"/>
        <v/>
      </c>
      <c r="AN3349" t="str">
        <f t="shared" si="348"/>
        <v>Defensive</v>
      </c>
    </row>
    <row r="3350" spans="2:40" x14ac:dyDescent="0.2">
      <c r="B3350" t="str">
        <f t="shared" si="347"/>
        <v/>
      </c>
      <c r="U3350" s="8">
        <f t="shared" si="350"/>
        <v>2</v>
      </c>
      <c r="AD3350" t="str">
        <f t="shared" si="349"/>
        <v>o</v>
      </c>
      <c r="AE3350" t="str">
        <f t="shared" si="353"/>
        <v/>
      </c>
      <c r="AF3350" t="str">
        <f t="shared" si="351"/>
        <v/>
      </c>
      <c r="AG3350" t="str">
        <f t="shared" si="352"/>
        <v/>
      </c>
      <c r="AN3350" t="str">
        <f t="shared" si="348"/>
        <v>Defensive</v>
      </c>
    </row>
    <row r="3351" spans="2:40" x14ac:dyDescent="0.2">
      <c r="B3351" t="str">
        <f t="shared" si="347"/>
        <v/>
      </c>
      <c r="U3351" s="8">
        <f t="shared" si="350"/>
        <v>2</v>
      </c>
      <c r="AD3351" t="str">
        <f t="shared" si="349"/>
        <v>o</v>
      </c>
      <c r="AE3351" t="str">
        <f t="shared" si="353"/>
        <v/>
      </c>
      <c r="AF3351" t="str">
        <f t="shared" si="351"/>
        <v/>
      </c>
      <c r="AG3351" t="str">
        <f t="shared" si="352"/>
        <v/>
      </c>
      <c r="AN3351" t="str">
        <f t="shared" si="348"/>
        <v>Defensive</v>
      </c>
    </row>
    <row r="3352" spans="2:40" x14ac:dyDescent="0.2">
      <c r="B3352" t="str">
        <f t="shared" si="347"/>
        <v/>
      </c>
      <c r="U3352" s="8">
        <f t="shared" si="350"/>
        <v>2</v>
      </c>
      <c r="AD3352" t="str">
        <f t="shared" si="349"/>
        <v>o</v>
      </c>
      <c r="AE3352" t="str">
        <f t="shared" si="353"/>
        <v/>
      </c>
      <c r="AF3352" t="str">
        <f t="shared" si="351"/>
        <v/>
      </c>
      <c r="AG3352" t="str">
        <f t="shared" si="352"/>
        <v/>
      </c>
      <c r="AN3352" t="str">
        <f t="shared" si="348"/>
        <v>Defensive</v>
      </c>
    </row>
    <row r="3353" spans="2:40" x14ac:dyDescent="0.2">
      <c r="B3353" t="str">
        <f t="shared" si="347"/>
        <v/>
      </c>
      <c r="U3353" s="8">
        <f t="shared" si="350"/>
        <v>2</v>
      </c>
      <c r="AD3353" t="str">
        <f t="shared" si="349"/>
        <v>o</v>
      </c>
      <c r="AE3353" t="str">
        <f t="shared" si="353"/>
        <v/>
      </c>
      <c r="AF3353" t="str">
        <f t="shared" si="351"/>
        <v/>
      </c>
      <c r="AG3353" t="str">
        <f t="shared" si="352"/>
        <v/>
      </c>
      <c r="AN3353" t="str">
        <f t="shared" si="348"/>
        <v>Defensive</v>
      </c>
    </row>
    <row r="3354" spans="2:40" x14ac:dyDescent="0.2">
      <c r="B3354" t="str">
        <f t="shared" si="347"/>
        <v/>
      </c>
      <c r="U3354" s="8">
        <f t="shared" si="350"/>
        <v>2</v>
      </c>
      <c r="AD3354" t="str">
        <f t="shared" si="349"/>
        <v>o</v>
      </c>
      <c r="AE3354" t="str">
        <f t="shared" si="353"/>
        <v/>
      </c>
      <c r="AF3354" t="str">
        <f t="shared" si="351"/>
        <v/>
      </c>
      <c r="AG3354" t="str">
        <f t="shared" si="352"/>
        <v/>
      </c>
      <c r="AN3354" t="str">
        <f t="shared" si="348"/>
        <v>Defensive</v>
      </c>
    </row>
    <row r="3355" spans="2:40" x14ac:dyDescent="0.2">
      <c r="B3355" t="str">
        <f t="shared" si="347"/>
        <v/>
      </c>
      <c r="U3355" s="8">
        <f t="shared" si="350"/>
        <v>2</v>
      </c>
      <c r="AD3355" t="str">
        <f t="shared" si="349"/>
        <v>o</v>
      </c>
      <c r="AE3355" t="str">
        <f t="shared" si="353"/>
        <v/>
      </c>
      <c r="AF3355" t="str">
        <f t="shared" si="351"/>
        <v/>
      </c>
      <c r="AG3355" t="str">
        <f t="shared" si="352"/>
        <v/>
      </c>
      <c r="AN3355" t="str">
        <f t="shared" si="348"/>
        <v>Defensive</v>
      </c>
    </row>
    <row r="3356" spans="2:40" x14ac:dyDescent="0.2">
      <c r="B3356" t="str">
        <f t="shared" si="347"/>
        <v/>
      </c>
      <c r="U3356" s="8">
        <f t="shared" si="350"/>
        <v>2</v>
      </c>
      <c r="AD3356" t="str">
        <f t="shared" si="349"/>
        <v>o</v>
      </c>
      <c r="AE3356" t="str">
        <f t="shared" si="353"/>
        <v/>
      </c>
      <c r="AF3356" t="str">
        <f t="shared" si="351"/>
        <v/>
      </c>
      <c r="AG3356" t="str">
        <f t="shared" si="352"/>
        <v/>
      </c>
      <c r="AN3356" t="str">
        <f t="shared" si="348"/>
        <v>Defensive</v>
      </c>
    </row>
    <row r="3357" spans="2:40" x14ac:dyDescent="0.2">
      <c r="B3357" t="str">
        <f t="shared" si="347"/>
        <v/>
      </c>
      <c r="U3357" s="8">
        <f t="shared" si="350"/>
        <v>2</v>
      </c>
      <c r="AD3357" t="str">
        <f t="shared" si="349"/>
        <v>o</v>
      </c>
      <c r="AE3357" t="str">
        <f t="shared" si="353"/>
        <v/>
      </c>
      <c r="AF3357" t="str">
        <f t="shared" si="351"/>
        <v/>
      </c>
      <c r="AG3357" t="str">
        <f t="shared" si="352"/>
        <v/>
      </c>
      <c r="AN3357" t="str">
        <f t="shared" si="348"/>
        <v>Defensive</v>
      </c>
    </row>
    <row r="3358" spans="2:40" x14ac:dyDescent="0.2">
      <c r="B3358" t="str">
        <f t="shared" si="347"/>
        <v/>
      </c>
      <c r="U3358" s="8">
        <f t="shared" si="350"/>
        <v>2</v>
      </c>
      <c r="AD3358" t="str">
        <f t="shared" si="349"/>
        <v>o</v>
      </c>
      <c r="AE3358" t="str">
        <f t="shared" si="353"/>
        <v/>
      </c>
      <c r="AF3358" t="str">
        <f t="shared" si="351"/>
        <v/>
      </c>
      <c r="AG3358" t="str">
        <f t="shared" si="352"/>
        <v/>
      </c>
      <c r="AN3358" t="str">
        <f t="shared" si="348"/>
        <v>Defensive</v>
      </c>
    </row>
    <row r="3359" spans="2:40" x14ac:dyDescent="0.2">
      <c r="B3359" t="str">
        <f t="shared" si="347"/>
        <v/>
      </c>
      <c r="U3359" s="8">
        <f t="shared" si="350"/>
        <v>2</v>
      </c>
      <c r="AD3359" t="str">
        <f t="shared" si="349"/>
        <v>o</v>
      </c>
      <c r="AE3359" t="str">
        <f t="shared" si="353"/>
        <v/>
      </c>
      <c r="AF3359" t="str">
        <f t="shared" si="351"/>
        <v/>
      </c>
      <c r="AG3359" t="str">
        <f t="shared" si="352"/>
        <v/>
      </c>
      <c r="AN3359" t="str">
        <f t="shared" si="348"/>
        <v>Defensive</v>
      </c>
    </row>
    <row r="3360" spans="2:40" x14ac:dyDescent="0.2">
      <c r="B3360" t="str">
        <f t="shared" si="347"/>
        <v/>
      </c>
      <c r="U3360" s="8">
        <f t="shared" si="350"/>
        <v>2</v>
      </c>
      <c r="AD3360" t="str">
        <f t="shared" si="349"/>
        <v>o</v>
      </c>
      <c r="AE3360" t="str">
        <f t="shared" si="353"/>
        <v/>
      </c>
      <c r="AF3360" t="str">
        <f t="shared" si="351"/>
        <v/>
      </c>
      <c r="AG3360" t="str">
        <f t="shared" si="352"/>
        <v/>
      </c>
      <c r="AN3360" t="str">
        <f t="shared" si="348"/>
        <v>Defensive</v>
      </c>
    </row>
    <row r="3361" spans="2:40" x14ac:dyDescent="0.2">
      <c r="B3361" t="str">
        <f t="shared" si="347"/>
        <v/>
      </c>
      <c r="U3361" s="8">
        <f t="shared" si="350"/>
        <v>2</v>
      </c>
      <c r="AD3361" t="str">
        <f t="shared" si="349"/>
        <v>o</v>
      </c>
      <c r="AE3361" t="str">
        <f t="shared" si="353"/>
        <v/>
      </c>
      <c r="AF3361" t="str">
        <f t="shared" si="351"/>
        <v/>
      </c>
      <c r="AG3361" t="str">
        <f t="shared" si="352"/>
        <v/>
      </c>
      <c r="AN3361" t="str">
        <f t="shared" si="348"/>
        <v>Defensive</v>
      </c>
    </row>
    <row r="3362" spans="2:40" x14ac:dyDescent="0.2">
      <c r="B3362" t="str">
        <f t="shared" si="347"/>
        <v/>
      </c>
      <c r="U3362" s="8">
        <f t="shared" si="350"/>
        <v>2</v>
      </c>
      <c r="AD3362" t="str">
        <f t="shared" si="349"/>
        <v>o</v>
      </c>
      <c r="AE3362" t="str">
        <f t="shared" si="353"/>
        <v/>
      </c>
      <c r="AF3362" t="str">
        <f t="shared" si="351"/>
        <v/>
      </c>
      <c r="AG3362" t="str">
        <f t="shared" si="352"/>
        <v/>
      </c>
      <c r="AN3362" t="str">
        <f t="shared" si="348"/>
        <v>Defensive</v>
      </c>
    </row>
    <row r="3363" spans="2:40" x14ac:dyDescent="0.2">
      <c r="B3363" t="str">
        <f t="shared" si="347"/>
        <v/>
      </c>
      <c r="U3363" s="8">
        <f t="shared" si="350"/>
        <v>2</v>
      </c>
      <c r="AD3363" t="str">
        <f t="shared" si="349"/>
        <v>o</v>
      </c>
      <c r="AE3363" t="str">
        <f t="shared" si="353"/>
        <v/>
      </c>
      <c r="AF3363" t="str">
        <f t="shared" si="351"/>
        <v/>
      </c>
      <c r="AG3363" t="str">
        <f t="shared" si="352"/>
        <v/>
      </c>
      <c r="AN3363" t="str">
        <f t="shared" si="348"/>
        <v>Defensive</v>
      </c>
    </row>
    <row r="3364" spans="2:40" x14ac:dyDescent="0.2">
      <c r="B3364" t="str">
        <f t="shared" si="347"/>
        <v/>
      </c>
      <c r="U3364" s="8">
        <f t="shared" si="350"/>
        <v>2</v>
      </c>
      <c r="AD3364" t="str">
        <f t="shared" si="349"/>
        <v>o</v>
      </c>
      <c r="AE3364" t="str">
        <f t="shared" si="353"/>
        <v/>
      </c>
      <c r="AF3364" t="str">
        <f t="shared" si="351"/>
        <v/>
      </c>
      <c r="AG3364" t="str">
        <f t="shared" si="352"/>
        <v/>
      </c>
      <c r="AN3364" t="str">
        <f t="shared" si="348"/>
        <v>Defensive</v>
      </c>
    </row>
    <row r="3365" spans="2:40" x14ac:dyDescent="0.2">
      <c r="B3365" t="str">
        <f t="shared" si="347"/>
        <v/>
      </c>
      <c r="U3365" s="8">
        <f t="shared" si="350"/>
        <v>2</v>
      </c>
      <c r="AD3365" t="str">
        <f t="shared" si="349"/>
        <v>o</v>
      </c>
      <c r="AE3365" t="str">
        <f t="shared" si="353"/>
        <v/>
      </c>
      <c r="AF3365" t="str">
        <f t="shared" si="351"/>
        <v/>
      </c>
      <c r="AG3365" t="str">
        <f t="shared" si="352"/>
        <v/>
      </c>
      <c r="AN3365" t="str">
        <f t="shared" si="348"/>
        <v>Defensive</v>
      </c>
    </row>
    <row r="3366" spans="2:40" x14ac:dyDescent="0.2">
      <c r="B3366" t="str">
        <f t="shared" si="347"/>
        <v/>
      </c>
      <c r="U3366" s="8">
        <f t="shared" si="350"/>
        <v>2</v>
      </c>
      <c r="AD3366" t="str">
        <f t="shared" si="349"/>
        <v>o</v>
      </c>
      <c r="AE3366" t="str">
        <f t="shared" si="353"/>
        <v/>
      </c>
      <c r="AF3366" t="str">
        <f t="shared" si="351"/>
        <v/>
      </c>
      <c r="AG3366" t="str">
        <f t="shared" si="352"/>
        <v/>
      </c>
      <c r="AN3366" t="str">
        <f t="shared" si="348"/>
        <v>Defensive</v>
      </c>
    </row>
    <row r="3367" spans="2:40" x14ac:dyDescent="0.2">
      <c r="B3367" t="str">
        <f t="shared" si="347"/>
        <v/>
      </c>
      <c r="U3367" s="8">
        <f t="shared" si="350"/>
        <v>2</v>
      </c>
      <c r="AD3367" t="str">
        <f t="shared" si="349"/>
        <v>o</v>
      </c>
      <c r="AE3367" t="str">
        <f t="shared" si="353"/>
        <v/>
      </c>
      <c r="AF3367" t="str">
        <f t="shared" si="351"/>
        <v/>
      </c>
      <c r="AG3367" t="str">
        <f t="shared" si="352"/>
        <v/>
      </c>
      <c r="AN3367" t="str">
        <f t="shared" si="348"/>
        <v>Defensive</v>
      </c>
    </row>
    <row r="3368" spans="2:40" x14ac:dyDescent="0.2">
      <c r="B3368" t="str">
        <f t="shared" si="347"/>
        <v/>
      </c>
      <c r="U3368" s="8">
        <f t="shared" si="350"/>
        <v>2</v>
      </c>
      <c r="AD3368" t="str">
        <f t="shared" si="349"/>
        <v>o</v>
      </c>
      <c r="AE3368" t="str">
        <f t="shared" si="353"/>
        <v/>
      </c>
      <c r="AF3368" t="str">
        <f t="shared" si="351"/>
        <v/>
      </c>
      <c r="AG3368" t="str">
        <f t="shared" si="352"/>
        <v/>
      </c>
      <c r="AN3368" t="str">
        <f t="shared" si="348"/>
        <v>Defensive</v>
      </c>
    </row>
    <row r="3369" spans="2:40" x14ac:dyDescent="0.2">
      <c r="B3369" t="str">
        <f t="shared" si="347"/>
        <v/>
      </c>
      <c r="U3369" s="8">
        <f t="shared" si="350"/>
        <v>2</v>
      </c>
      <c r="AD3369" t="str">
        <f t="shared" si="349"/>
        <v>o</v>
      </c>
      <c r="AE3369" t="str">
        <f t="shared" si="353"/>
        <v/>
      </c>
      <c r="AF3369" t="str">
        <f t="shared" si="351"/>
        <v/>
      </c>
      <c r="AG3369" t="str">
        <f t="shared" si="352"/>
        <v/>
      </c>
      <c r="AN3369" t="str">
        <f t="shared" si="348"/>
        <v>Defensive</v>
      </c>
    </row>
    <row r="3370" spans="2:40" x14ac:dyDescent="0.2">
      <c r="B3370" t="str">
        <f t="shared" si="347"/>
        <v/>
      </c>
      <c r="U3370" s="8">
        <f t="shared" si="350"/>
        <v>2</v>
      </c>
      <c r="AD3370" t="str">
        <f t="shared" si="349"/>
        <v>o</v>
      </c>
      <c r="AE3370" t="str">
        <f t="shared" si="353"/>
        <v/>
      </c>
      <c r="AF3370" t="str">
        <f t="shared" si="351"/>
        <v/>
      </c>
      <c r="AG3370" t="str">
        <f t="shared" si="352"/>
        <v/>
      </c>
      <c r="AN3370" t="str">
        <f t="shared" si="348"/>
        <v>Defensive</v>
      </c>
    </row>
    <row r="3371" spans="2:40" x14ac:dyDescent="0.2">
      <c r="B3371" t="str">
        <f t="shared" si="347"/>
        <v/>
      </c>
      <c r="U3371" s="8">
        <f t="shared" si="350"/>
        <v>2</v>
      </c>
      <c r="AD3371" t="str">
        <f t="shared" si="349"/>
        <v>o</v>
      </c>
      <c r="AE3371" t="str">
        <f t="shared" si="353"/>
        <v/>
      </c>
      <c r="AF3371" t="str">
        <f t="shared" si="351"/>
        <v/>
      </c>
      <c r="AG3371" t="str">
        <f t="shared" si="352"/>
        <v/>
      </c>
      <c r="AN3371" t="str">
        <f t="shared" si="348"/>
        <v>Defensive</v>
      </c>
    </row>
    <row r="3372" spans="2:40" x14ac:dyDescent="0.2">
      <c r="B3372" t="str">
        <f t="shared" si="347"/>
        <v/>
      </c>
      <c r="U3372" s="8">
        <f t="shared" si="350"/>
        <v>2</v>
      </c>
      <c r="AD3372" t="str">
        <f t="shared" si="349"/>
        <v>o</v>
      </c>
      <c r="AE3372" t="str">
        <f t="shared" si="353"/>
        <v/>
      </c>
      <c r="AF3372" t="str">
        <f t="shared" si="351"/>
        <v/>
      </c>
      <c r="AG3372" t="str">
        <f t="shared" si="352"/>
        <v/>
      </c>
      <c r="AN3372" t="str">
        <f t="shared" si="348"/>
        <v>Defensive</v>
      </c>
    </row>
    <row r="3373" spans="2:40" x14ac:dyDescent="0.2">
      <c r="B3373" t="str">
        <f t="shared" si="347"/>
        <v/>
      </c>
      <c r="U3373" s="8">
        <f t="shared" si="350"/>
        <v>2</v>
      </c>
      <c r="AD3373" t="str">
        <f t="shared" si="349"/>
        <v>o</v>
      </c>
      <c r="AE3373" t="str">
        <f t="shared" si="353"/>
        <v/>
      </c>
      <c r="AF3373" t="str">
        <f t="shared" si="351"/>
        <v/>
      </c>
      <c r="AG3373" t="str">
        <f t="shared" si="352"/>
        <v/>
      </c>
      <c r="AN3373" t="str">
        <f t="shared" si="348"/>
        <v>Defensive</v>
      </c>
    </row>
    <row r="3374" spans="2:40" x14ac:dyDescent="0.2">
      <c r="B3374" t="str">
        <f t="shared" si="347"/>
        <v/>
      </c>
      <c r="U3374" s="8">
        <f t="shared" si="350"/>
        <v>2</v>
      </c>
      <c r="AD3374" t="str">
        <f t="shared" si="349"/>
        <v>o</v>
      </c>
      <c r="AE3374" t="str">
        <f t="shared" si="353"/>
        <v/>
      </c>
      <c r="AF3374" t="str">
        <f t="shared" si="351"/>
        <v/>
      </c>
      <c r="AG3374" t="str">
        <f t="shared" si="352"/>
        <v/>
      </c>
      <c r="AN3374" t="str">
        <f t="shared" si="348"/>
        <v>Defensive</v>
      </c>
    </row>
    <row r="3375" spans="2:40" x14ac:dyDescent="0.2">
      <c r="B3375" t="str">
        <f t="shared" si="347"/>
        <v/>
      </c>
      <c r="U3375" s="8">
        <f t="shared" si="350"/>
        <v>2</v>
      </c>
      <c r="AD3375" t="str">
        <f t="shared" si="349"/>
        <v>o</v>
      </c>
      <c r="AE3375" t="str">
        <f t="shared" si="353"/>
        <v/>
      </c>
      <c r="AF3375" t="str">
        <f t="shared" si="351"/>
        <v/>
      </c>
      <c r="AG3375" t="str">
        <f t="shared" si="352"/>
        <v/>
      </c>
      <c r="AN3375" t="str">
        <f t="shared" si="348"/>
        <v>Defensive</v>
      </c>
    </row>
    <row r="3376" spans="2:40" x14ac:dyDescent="0.2">
      <c r="B3376" t="str">
        <f t="shared" ref="B3376:B3439" si="354">IF(A3376=A3375,B3375,"")</f>
        <v/>
      </c>
      <c r="U3376" s="8">
        <f t="shared" si="350"/>
        <v>2</v>
      </c>
      <c r="AD3376" t="str">
        <f t="shared" si="349"/>
        <v>o</v>
      </c>
      <c r="AE3376" t="str">
        <f t="shared" si="353"/>
        <v/>
      </c>
      <c r="AF3376" t="str">
        <f t="shared" si="351"/>
        <v/>
      </c>
      <c r="AG3376" t="str">
        <f t="shared" si="352"/>
        <v/>
      </c>
      <c r="AN3376" t="str">
        <f t="shared" si="348"/>
        <v>Defensive</v>
      </c>
    </row>
    <row r="3377" spans="2:40" x14ac:dyDescent="0.2">
      <c r="B3377" t="str">
        <f t="shared" si="354"/>
        <v/>
      </c>
      <c r="U3377" s="8">
        <f t="shared" si="350"/>
        <v>2</v>
      </c>
      <c r="AD3377" t="str">
        <f t="shared" si="349"/>
        <v>o</v>
      </c>
      <c r="AE3377" t="str">
        <f t="shared" si="353"/>
        <v/>
      </c>
      <c r="AF3377" t="str">
        <f t="shared" si="351"/>
        <v/>
      </c>
      <c r="AG3377" t="str">
        <f t="shared" si="352"/>
        <v/>
      </c>
      <c r="AN3377" t="str">
        <f t="shared" si="348"/>
        <v>Defensive</v>
      </c>
    </row>
    <row r="3378" spans="2:40" x14ac:dyDescent="0.2">
      <c r="B3378" t="str">
        <f t="shared" si="354"/>
        <v/>
      </c>
      <c r="U3378" s="8">
        <f t="shared" si="350"/>
        <v>2</v>
      </c>
      <c r="AD3378" t="str">
        <f t="shared" si="349"/>
        <v>o</v>
      </c>
      <c r="AE3378" t="str">
        <f t="shared" si="353"/>
        <v/>
      </c>
      <c r="AF3378" t="str">
        <f t="shared" si="351"/>
        <v/>
      </c>
      <c r="AG3378" t="str">
        <f t="shared" si="352"/>
        <v/>
      </c>
      <c r="AN3378" t="str">
        <f t="shared" si="348"/>
        <v>Defensive</v>
      </c>
    </row>
    <row r="3379" spans="2:40" x14ac:dyDescent="0.2">
      <c r="B3379" t="str">
        <f t="shared" si="354"/>
        <v/>
      </c>
      <c r="U3379" s="8">
        <f t="shared" si="350"/>
        <v>2</v>
      </c>
      <c r="AD3379" t="str">
        <f t="shared" si="349"/>
        <v>o</v>
      </c>
      <c r="AE3379" t="str">
        <f t="shared" si="353"/>
        <v/>
      </c>
      <c r="AF3379" t="str">
        <f t="shared" si="351"/>
        <v/>
      </c>
      <c r="AG3379" t="str">
        <f t="shared" si="352"/>
        <v/>
      </c>
      <c r="AN3379" t="str">
        <f t="shared" si="348"/>
        <v>Defensive</v>
      </c>
    </row>
    <row r="3380" spans="2:40" x14ac:dyDescent="0.2">
      <c r="B3380" t="str">
        <f t="shared" si="354"/>
        <v/>
      </c>
      <c r="U3380" s="8">
        <f t="shared" si="350"/>
        <v>2</v>
      </c>
      <c r="AD3380" t="str">
        <f t="shared" si="349"/>
        <v>o</v>
      </c>
      <c r="AE3380" t="str">
        <f t="shared" si="353"/>
        <v/>
      </c>
      <c r="AF3380" t="str">
        <f t="shared" si="351"/>
        <v/>
      </c>
      <c r="AG3380" t="str">
        <f t="shared" si="352"/>
        <v/>
      </c>
      <c r="AN3380" t="str">
        <f t="shared" si="348"/>
        <v>Defensive</v>
      </c>
    </row>
    <row r="3381" spans="2:40" x14ac:dyDescent="0.2">
      <c r="B3381" t="str">
        <f t="shared" si="354"/>
        <v/>
      </c>
      <c r="U3381" s="8">
        <f t="shared" si="350"/>
        <v>2</v>
      </c>
      <c r="AD3381" t="str">
        <f t="shared" si="349"/>
        <v>o</v>
      </c>
      <c r="AE3381" t="str">
        <f t="shared" si="353"/>
        <v/>
      </c>
      <c r="AF3381" t="str">
        <f t="shared" si="351"/>
        <v/>
      </c>
      <c r="AG3381" t="str">
        <f t="shared" si="352"/>
        <v/>
      </c>
      <c r="AN3381" t="str">
        <f t="shared" si="348"/>
        <v>Defensive</v>
      </c>
    </row>
    <row r="3382" spans="2:40" x14ac:dyDescent="0.2">
      <c r="B3382" t="str">
        <f t="shared" si="354"/>
        <v/>
      </c>
      <c r="U3382" s="8">
        <f t="shared" si="350"/>
        <v>2</v>
      </c>
      <c r="AD3382" t="str">
        <f t="shared" si="349"/>
        <v>o</v>
      </c>
      <c r="AE3382" t="str">
        <f t="shared" si="353"/>
        <v/>
      </c>
      <c r="AF3382" t="str">
        <f t="shared" si="351"/>
        <v/>
      </c>
      <c r="AG3382" t="str">
        <f t="shared" si="352"/>
        <v/>
      </c>
      <c r="AN3382" t="str">
        <f t="shared" si="348"/>
        <v>Defensive</v>
      </c>
    </row>
    <row r="3383" spans="2:40" x14ac:dyDescent="0.2">
      <c r="B3383" t="str">
        <f t="shared" si="354"/>
        <v/>
      </c>
      <c r="U3383" s="8">
        <f t="shared" si="350"/>
        <v>2</v>
      </c>
      <c r="AD3383" t="str">
        <f t="shared" si="349"/>
        <v>o</v>
      </c>
      <c r="AE3383" t="str">
        <f t="shared" si="353"/>
        <v/>
      </c>
      <c r="AF3383" t="str">
        <f t="shared" si="351"/>
        <v/>
      </c>
      <c r="AG3383" t="str">
        <f t="shared" si="352"/>
        <v/>
      </c>
      <c r="AN3383" t="str">
        <f t="shared" si="348"/>
        <v>Defensive</v>
      </c>
    </row>
    <row r="3384" spans="2:40" x14ac:dyDescent="0.2">
      <c r="B3384" t="str">
        <f t="shared" si="354"/>
        <v/>
      </c>
      <c r="U3384" s="8">
        <f t="shared" si="350"/>
        <v>2</v>
      </c>
      <c r="AD3384" t="str">
        <f t="shared" si="349"/>
        <v>o</v>
      </c>
      <c r="AE3384" t="str">
        <f t="shared" si="353"/>
        <v/>
      </c>
      <c r="AF3384" t="str">
        <f t="shared" si="351"/>
        <v/>
      </c>
      <c r="AG3384" t="str">
        <f t="shared" si="352"/>
        <v/>
      </c>
      <c r="AN3384" t="str">
        <f t="shared" si="348"/>
        <v>Defensive</v>
      </c>
    </row>
    <row r="3385" spans="2:40" x14ac:dyDescent="0.2">
      <c r="B3385" t="str">
        <f t="shared" si="354"/>
        <v/>
      </c>
      <c r="U3385" s="8">
        <f t="shared" si="350"/>
        <v>2</v>
      </c>
      <c r="AD3385" t="str">
        <f t="shared" si="349"/>
        <v>o</v>
      </c>
      <c r="AE3385" t="str">
        <f t="shared" si="353"/>
        <v/>
      </c>
      <c r="AF3385" t="str">
        <f t="shared" si="351"/>
        <v/>
      </c>
      <c r="AG3385" t="str">
        <f t="shared" si="352"/>
        <v/>
      </c>
      <c r="AN3385" t="str">
        <f t="shared" ref="AN3385:AN3448" si="355">IF(AND(AD3385="e",OR(AE3385="Save",AF3385="Turnover_Takeaway",AF3385="Play_Defensive")),"Defensive",IF(AND(AD3385="o",OR(AE3385="Save",AF3385="Turnover_Takeaway",AF3385="Play_Defensive")),"Offensive",IF(OR(AE3385="Deadice",AE3385="Stoppage",AE3385="Intermission"),"",IF(AD3385="e","Offensive",IF(AD3385="o","Defensive","")))))</f>
        <v>Defensive</v>
      </c>
    </row>
    <row r="3386" spans="2:40" x14ac:dyDescent="0.2">
      <c r="B3386" t="str">
        <f t="shared" si="354"/>
        <v/>
      </c>
      <c r="U3386" s="8">
        <f t="shared" si="350"/>
        <v>2</v>
      </c>
      <c r="AD3386" t="str">
        <f t="shared" si="349"/>
        <v>o</v>
      </c>
      <c r="AE3386" t="str">
        <f t="shared" si="353"/>
        <v/>
      </c>
      <c r="AF3386" t="str">
        <f t="shared" si="351"/>
        <v/>
      </c>
      <c r="AG3386" t="str">
        <f t="shared" si="352"/>
        <v/>
      </c>
      <c r="AN3386" t="str">
        <f t="shared" si="355"/>
        <v>Defensive</v>
      </c>
    </row>
    <row r="3387" spans="2:40" x14ac:dyDescent="0.2">
      <c r="B3387" t="str">
        <f t="shared" si="354"/>
        <v/>
      </c>
      <c r="U3387" s="8">
        <f t="shared" si="350"/>
        <v>2</v>
      </c>
      <c r="AD3387" t="str">
        <f t="shared" si="349"/>
        <v>o</v>
      </c>
      <c r="AE3387" t="str">
        <f t="shared" si="353"/>
        <v/>
      </c>
      <c r="AF3387" t="str">
        <f t="shared" si="351"/>
        <v/>
      </c>
      <c r="AG3387" t="str">
        <f t="shared" si="352"/>
        <v/>
      </c>
      <c r="AN3387" t="str">
        <f t="shared" si="355"/>
        <v>Defensive</v>
      </c>
    </row>
    <row r="3388" spans="2:40" x14ac:dyDescent="0.2">
      <c r="B3388" t="str">
        <f t="shared" si="354"/>
        <v/>
      </c>
      <c r="U3388" s="8">
        <f t="shared" si="350"/>
        <v>2</v>
      </c>
      <c r="AD3388" t="str">
        <f t="shared" si="349"/>
        <v>o</v>
      </c>
      <c r="AE3388" t="str">
        <f t="shared" si="353"/>
        <v/>
      </c>
      <c r="AF3388" t="str">
        <f t="shared" si="351"/>
        <v/>
      </c>
      <c r="AG3388" t="str">
        <f t="shared" si="352"/>
        <v/>
      </c>
      <c r="AN3388" t="str">
        <f t="shared" si="355"/>
        <v>Defensive</v>
      </c>
    </row>
    <row r="3389" spans="2:40" x14ac:dyDescent="0.2">
      <c r="B3389" t="str">
        <f t="shared" si="354"/>
        <v/>
      </c>
      <c r="U3389" s="8">
        <f t="shared" si="350"/>
        <v>2</v>
      </c>
      <c r="AD3389" t="str">
        <f t="shared" si="349"/>
        <v>o</v>
      </c>
      <c r="AE3389" t="str">
        <f t="shared" si="353"/>
        <v/>
      </c>
      <c r="AF3389" t="str">
        <f t="shared" si="351"/>
        <v/>
      </c>
      <c r="AG3389" t="str">
        <f t="shared" si="352"/>
        <v/>
      </c>
      <c r="AN3389" t="str">
        <f t="shared" si="355"/>
        <v>Defensive</v>
      </c>
    </row>
    <row r="3390" spans="2:40" x14ac:dyDescent="0.2">
      <c r="B3390" t="str">
        <f t="shared" si="354"/>
        <v/>
      </c>
      <c r="U3390" s="8">
        <f t="shared" si="350"/>
        <v>2</v>
      </c>
      <c r="AD3390" t="str">
        <f t="shared" si="349"/>
        <v>o</v>
      </c>
      <c r="AE3390" t="str">
        <f t="shared" si="353"/>
        <v/>
      </c>
      <c r="AF3390" t="str">
        <f t="shared" si="351"/>
        <v/>
      </c>
      <c r="AG3390" t="str">
        <f t="shared" si="352"/>
        <v/>
      </c>
      <c r="AN3390" t="str">
        <f t="shared" si="355"/>
        <v>Defensive</v>
      </c>
    </row>
    <row r="3391" spans="2:40" x14ac:dyDescent="0.2">
      <c r="B3391" t="str">
        <f t="shared" si="354"/>
        <v/>
      </c>
      <c r="U3391" s="8">
        <f t="shared" si="350"/>
        <v>2</v>
      </c>
      <c r="AD3391" t="str">
        <f t="shared" si="349"/>
        <v>o</v>
      </c>
      <c r="AE3391" t="str">
        <f t="shared" si="353"/>
        <v/>
      </c>
      <c r="AF3391" t="str">
        <f t="shared" si="351"/>
        <v/>
      </c>
      <c r="AG3391" t="str">
        <f t="shared" si="352"/>
        <v/>
      </c>
      <c r="AN3391" t="str">
        <f t="shared" si="355"/>
        <v>Defensive</v>
      </c>
    </row>
    <row r="3392" spans="2:40" x14ac:dyDescent="0.2">
      <c r="B3392" t="str">
        <f t="shared" si="354"/>
        <v/>
      </c>
      <c r="U3392" s="8">
        <f t="shared" si="350"/>
        <v>2</v>
      </c>
      <c r="AD3392" t="str">
        <f t="shared" si="349"/>
        <v>o</v>
      </c>
      <c r="AE3392" t="str">
        <f t="shared" si="353"/>
        <v/>
      </c>
      <c r="AF3392" t="str">
        <f t="shared" si="351"/>
        <v/>
      </c>
      <c r="AG3392" t="str">
        <f t="shared" si="352"/>
        <v/>
      </c>
      <c r="AN3392" t="str">
        <f t="shared" si="355"/>
        <v>Defensive</v>
      </c>
    </row>
    <row r="3393" spans="2:40" x14ac:dyDescent="0.2">
      <c r="B3393" t="str">
        <f t="shared" si="354"/>
        <v/>
      </c>
      <c r="U3393" s="8">
        <f t="shared" si="350"/>
        <v>2</v>
      </c>
      <c r="AD3393" t="str">
        <f t="shared" si="349"/>
        <v>o</v>
      </c>
      <c r="AE3393" t="str">
        <f t="shared" si="353"/>
        <v/>
      </c>
      <c r="AF3393" t="str">
        <f t="shared" si="351"/>
        <v/>
      </c>
      <c r="AG3393" t="str">
        <f t="shared" si="352"/>
        <v/>
      </c>
      <c r="AN3393" t="str">
        <f t="shared" si="355"/>
        <v>Defensive</v>
      </c>
    </row>
    <row r="3394" spans="2:40" x14ac:dyDescent="0.2">
      <c r="B3394" t="str">
        <f t="shared" si="354"/>
        <v/>
      </c>
      <c r="U3394" s="8">
        <f t="shared" si="350"/>
        <v>2</v>
      </c>
      <c r="AD3394" t="str">
        <f t="shared" ref="AD3394:AD3457" si="356">IF(K3394="x","",IF(K3394=1,"e","o"))</f>
        <v>o</v>
      </c>
      <c r="AE3394" t="str">
        <f t="shared" si="353"/>
        <v/>
      </c>
      <c r="AF3394" t="str">
        <f t="shared" si="351"/>
        <v/>
      </c>
      <c r="AG3394" t="str">
        <f t="shared" si="352"/>
        <v/>
      </c>
      <c r="AN3394" t="str">
        <f t="shared" si="355"/>
        <v>Defensive</v>
      </c>
    </row>
    <row r="3395" spans="2:40" x14ac:dyDescent="0.2">
      <c r="B3395" t="str">
        <f t="shared" si="354"/>
        <v/>
      </c>
      <c r="U3395" s="8">
        <f t="shared" ref="U3395:U3458" si="357">IF(M3395="Intermission",U3394+1,U3394)</f>
        <v>2</v>
      </c>
      <c r="AD3395" t="str">
        <f t="shared" si="356"/>
        <v>o</v>
      </c>
      <c r="AE3395" t="str">
        <f t="shared" si="353"/>
        <v/>
      </c>
      <c r="AF3395" t="str">
        <f t="shared" ref="AF3395:AF3458" si="358">IF(N3395&lt;&gt;"",N3395,IF($A3395=$A3394,AF3394,""))</f>
        <v/>
      </c>
      <c r="AG3395" t="str">
        <f t="shared" ref="AG3395:AG3458" si="359">IF(O3395&lt;&gt;"",O3395,IF($A3395=$A3394,AG3394,""))</f>
        <v/>
      </c>
      <c r="AN3395" t="str">
        <f t="shared" si="355"/>
        <v>Defensive</v>
      </c>
    </row>
    <row r="3396" spans="2:40" x14ac:dyDescent="0.2">
      <c r="B3396" t="str">
        <f t="shared" si="354"/>
        <v/>
      </c>
      <c r="U3396" s="8">
        <f t="shared" si="357"/>
        <v>2</v>
      </c>
      <c r="AD3396" t="str">
        <f t="shared" si="356"/>
        <v>o</v>
      </c>
      <c r="AE3396" t="str">
        <f t="shared" ref="AE3396:AE3459" si="360">IF(M3396&lt;&gt;"",M3396,IF($A3396=$A3395,AE3395,""))</f>
        <v/>
      </c>
      <c r="AF3396" t="str">
        <f t="shared" si="358"/>
        <v/>
      </c>
      <c r="AG3396" t="str">
        <f t="shared" si="359"/>
        <v/>
      </c>
      <c r="AN3396" t="str">
        <f t="shared" si="355"/>
        <v>Defensive</v>
      </c>
    </row>
    <row r="3397" spans="2:40" x14ac:dyDescent="0.2">
      <c r="B3397" t="str">
        <f t="shared" si="354"/>
        <v/>
      </c>
      <c r="U3397" s="8">
        <f t="shared" si="357"/>
        <v>2</v>
      </c>
      <c r="AD3397" t="str">
        <f t="shared" si="356"/>
        <v>o</v>
      </c>
      <c r="AE3397" t="str">
        <f t="shared" si="360"/>
        <v/>
      </c>
      <c r="AF3397" t="str">
        <f t="shared" si="358"/>
        <v/>
      </c>
      <c r="AG3397" t="str">
        <f t="shared" si="359"/>
        <v/>
      </c>
      <c r="AN3397" t="str">
        <f t="shared" si="355"/>
        <v>Defensive</v>
      </c>
    </row>
    <row r="3398" spans="2:40" x14ac:dyDescent="0.2">
      <c r="B3398" t="str">
        <f t="shared" si="354"/>
        <v/>
      </c>
      <c r="U3398" s="8">
        <f t="shared" si="357"/>
        <v>2</v>
      </c>
      <c r="AD3398" t="str">
        <f t="shared" si="356"/>
        <v>o</v>
      </c>
      <c r="AE3398" t="str">
        <f t="shared" si="360"/>
        <v/>
      </c>
      <c r="AF3398" t="str">
        <f t="shared" si="358"/>
        <v/>
      </c>
      <c r="AG3398" t="str">
        <f t="shared" si="359"/>
        <v/>
      </c>
      <c r="AN3398" t="str">
        <f t="shared" si="355"/>
        <v>Defensive</v>
      </c>
    </row>
    <row r="3399" spans="2:40" x14ac:dyDescent="0.2">
      <c r="B3399" t="str">
        <f t="shared" si="354"/>
        <v/>
      </c>
      <c r="U3399" s="8">
        <f t="shared" si="357"/>
        <v>2</v>
      </c>
      <c r="AD3399" t="str">
        <f t="shared" si="356"/>
        <v>o</v>
      </c>
      <c r="AE3399" t="str">
        <f t="shared" si="360"/>
        <v/>
      </c>
      <c r="AF3399" t="str">
        <f t="shared" si="358"/>
        <v/>
      </c>
      <c r="AG3399" t="str">
        <f t="shared" si="359"/>
        <v/>
      </c>
      <c r="AN3399" t="str">
        <f t="shared" si="355"/>
        <v>Defensive</v>
      </c>
    </row>
    <row r="3400" spans="2:40" x14ac:dyDescent="0.2">
      <c r="B3400" t="str">
        <f t="shared" si="354"/>
        <v/>
      </c>
      <c r="U3400" s="8">
        <f t="shared" si="357"/>
        <v>2</v>
      </c>
      <c r="AD3400" t="str">
        <f t="shared" si="356"/>
        <v>o</v>
      </c>
      <c r="AE3400" t="str">
        <f t="shared" si="360"/>
        <v/>
      </c>
      <c r="AF3400" t="str">
        <f t="shared" si="358"/>
        <v/>
      </c>
      <c r="AG3400" t="str">
        <f t="shared" si="359"/>
        <v/>
      </c>
      <c r="AN3400" t="str">
        <f t="shared" si="355"/>
        <v>Defensive</v>
      </c>
    </row>
    <row r="3401" spans="2:40" x14ac:dyDescent="0.2">
      <c r="B3401" t="str">
        <f t="shared" si="354"/>
        <v/>
      </c>
      <c r="U3401" s="8">
        <f t="shared" si="357"/>
        <v>2</v>
      </c>
      <c r="AD3401" t="str">
        <f t="shared" si="356"/>
        <v>o</v>
      </c>
      <c r="AE3401" t="str">
        <f t="shared" si="360"/>
        <v/>
      </c>
      <c r="AF3401" t="str">
        <f t="shared" si="358"/>
        <v/>
      </c>
      <c r="AG3401" t="str">
        <f t="shared" si="359"/>
        <v/>
      </c>
      <c r="AN3401" t="str">
        <f t="shared" si="355"/>
        <v>Defensive</v>
      </c>
    </row>
    <row r="3402" spans="2:40" x14ac:dyDescent="0.2">
      <c r="B3402" t="str">
        <f t="shared" si="354"/>
        <v/>
      </c>
      <c r="U3402" s="8">
        <f t="shared" si="357"/>
        <v>2</v>
      </c>
      <c r="AD3402" t="str">
        <f t="shared" si="356"/>
        <v>o</v>
      </c>
      <c r="AE3402" t="str">
        <f t="shared" si="360"/>
        <v/>
      </c>
      <c r="AF3402" t="str">
        <f t="shared" si="358"/>
        <v/>
      </c>
      <c r="AG3402" t="str">
        <f t="shared" si="359"/>
        <v/>
      </c>
      <c r="AN3402" t="str">
        <f t="shared" si="355"/>
        <v>Defensive</v>
      </c>
    </row>
    <row r="3403" spans="2:40" x14ac:dyDescent="0.2">
      <c r="B3403" t="str">
        <f t="shared" si="354"/>
        <v/>
      </c>
      <c r="U3403" s="8">
        <f t="shared" si="357"/>
        <v>2</v>
      </c>
      <c r="AD3403" t="str">
        <f t="shared" si="356"/>
        <v>o</v>
      </c>
      <c r="AE3403" t="str">
        <f t="shared" si="360"/>
        <v/>
      </c>
      <c r="AF3403" t="str">
        <f t="shared" si="358"/>
        <v/>
      </c>
      <c r="AG3403" t="str">
        <f t="shared" si="359"/>
        <v/>
      </c>
      <c r="AN3403" t="str">
        <f t="shared" si="355"/>
        <v>Defensive</v>
      </c>
    </row>
    <row r="3404" spans="2:40" x14ac:dyDescent="0.2">
      <c r="B3404" t="str">
        <f t="shared" si="354"/>
        <v/>
      </c>
      <c r="U3404" s="8">
        <f t="shared" si="357"/>
        <v>2</v>
      </c>
      <c r="AD3404" t="str">
        <f t="shared" si="356"/>
        <v>o</v>
      </c>
      <c r="AE3404" t="str">
        <f t="shared" si="360"/>
        <v/>
      </c>
      <c r="AF3404" t="str">
        <f t="shared" si="358"/>
        <v/>
      </c>
      <c r="AG3404" t="str">
        <f t="shared" si="359"/>
        <v/>
      </c>
      <c r="AN3404" t="str">
        <f t="shared" si="355"/>
        <v>Defensive</v>
      </c>
    </row>
    <row r="3405" spans="2:40" x14ac:dyDescent="0.2">
      <c r="B3405" t="str">
        <f t="shared" si="354"/>
        <v/>
      </c>
      <c r="U3405" s="8">
        <f t="shared" si="357"/>
        <v>2</v>
      </c>
      <c r="AD3405" t="str">
        <f t="shared" si="356"/>
        <v>o</v>
      </c>
      <c r="AE3405" t="str">
        <f t="shared" si="360"/>
        <v/>
      </c>
      <c r="AF3405" t="str">
        <f t="shared" si="358"/>
        <v/>
      </c>
      <c r="AG3405" t="str">
        <f t="shared" si="359"/>
        <v/>
      </c>
      <c r="AN3405" t="str">
        <f t="shared" si="355"/>
        <v>Defensive</v>
      </c>
    </row>
    <row r="3406" spans="2:40" x14ac:dyDescent="0.2">
      <c r="B3406" t="str">
        <f t="shared" si="354"/>
        <v/>
      </c>
      <c r="U3406" s="8">
        <f t="shared" si="357"/>
        <v>2</v>
      </c>
      <c r="AD3406" t="str">
        <f t="shared" si="356"/>
        <v>o</v>
      </c>
      <c r="AE3406" t="str">
        <f t="shared" si="360"/>
        <v/>
      </c>
      <c r="AF3406" t="str">
        <f t="shared" si="358"/>
        <v/>
      </c>
      <c r="AG3406" t="str">
        <f t="shared" si="359"/>
        <v/>
      </c>
      <c r="AN3406" t="str">
        <f t="shared" si="355"/>
        <v>Defensive</v>
      </c>
    </row>
    <row r="3407" spans="2:40" x14ac:dyDescent="0.2">
      <c r="B3407" t="str">
        <f t="shared" si="354"/>
        <v/>
      </c>
      <c r="U3407" s="8">
        <f t="shared" si="357"/>
        <v>2</v>
      </c>
      <c r="AD3407" t="str">
        <f t="shared" si="356"/>
        <v>o</v>
      </c>
      <c r="AE3407" t="str">
        <f t="shared" si="360"/>
        <v/>
      </c>
      <c r="AF3407" t="str">
        <f t="shared" si="358"/>
        <v/>
      </c>
      <c r="AG3407" t="str">
        <f t="shared" si="359"/>
        <v/>
      </c>
      <c r="AN3407" t="str">
        <f t="shared" si="355"/>
        <v>Defensive</v>
      </c>
    </row>
    <row r="3408" spans="2:40" x14ac:dyDescent="0.2">
      <c r="B3408" t="str">
        <f t="shared" si="354"/>
        <v/>
      </c>
      <c r="U3408" s="8">
        <f t="shared" si="357"/>
        <v>2</v>
      </c>
      <c r="AD3408" t="str">
        <f t="shared" si="356"/>
        <v>o</v>
      </c>
      <c r="AE3408" t="str">
        <f t="shared" si="360"/>
        <v/>
      </c>
      <c r="AF3408" t="str">
        <f t="shared" si="358"/>
        <v/>
      </c>
      <c r="AG3408" t="str">
        <f t="shared" si="359"/>
        <v/>
      </c>
      <c r="AN3408" t="str">
        <f t="shared" si="355"/>
        <v>Defensive</v>
      </c>
    </row>
    <row r="3409" spans="2:40" x14ac:dyDescent="0.2">
      <c r="B3409" t="str">
        <f t="shared" si="354"/>
        <v/>
      </c>
      <c r="U3409" s="8">
        <f t="shared" si="357"/>
        <v>2</v>
      </c>
      <c r="AD3409" t="str">
        <f t="shared" si="356"/>
        <v>o</v>
      </c>
      <c r="AE3409" t="str">
        <f t="shared" si="360"/>
        <v/>
      </c>
      <c r="AF3409" t="str">
        <f t="shared" si="358"/>
        <v/>
      </c>
      <c r="AG3409" t="str">
        <f t="shared" si="359"/>
        <v/>
      </c>
      <c r="AN3409" t="str">
        <f t="shared" si="355"/>
        <v>Defensive</v>
      </c>
    </row>
    <row r="3410" spans="2:40" x14ac:dyDescent="0.2">
      <c r="B3410" t="str">
        <f t="shared" si="354"/>
        <v/>
      </c>
      <c r="U3410" s="8">
        <f t="shared" si="357"/>
        <v>2</v>
      </c>
      <c r="AD3410" t="str">
        <f t="shared" si="356"/>
        <v>o</v>
      </c>
      <c r="AE3410" t="str">
        <f t="shared" si="360"/>
        <v/>
      </c>
      <c r="AF3410" t="str">
        <f t="shared" si="358"/>
        <v/>
      </c>
      <c r="AG3410" t="str">
        <f t="shared" si="359"/>
        <v/>
      </c>
      <c r="AN3410" t="str">
        <f t="shared" si="355"/>
        <v>Defensive</v>
      </c>
    </row>
    <row r="3411" spans="2:40" x14ac:dyDescent="0.2">
      <c r="B3411" t="str">
        <f t="shared" si="354"/>
        <v/>
      </c>
      <c r="U3411" s="8">
        <f t="shared" si="357"/>
        <v>2</v>
      </c>
      <c r="AD3411" t="str">
        <f t="shared" si="356"/>
        <v>o</v>
      </c>
      <c r="AE3411" t="str">
        <f t="shared" si="360"/>
        <v/>
      </c>
      <c r="AF3411" t="str">
        <f t="shared" si="358"/>
        <v/>
      </c>
      <c r="AG3411" t="str">
        <f t="shared" si="359"/>
        <v/>
      </c>
      <c r="AN3411" t="str">
        <f t="shared" si="355"/>
        <v>Defensive</v>
      </c>
    </row>
    <row r="3412" spans="2:40" x14ac:dyDescent="0.2">
      <c r="B3412" t="str">
        <f t="shared" si="354"/>
        <v/>
      </c>
      <c r="U3412" s="8">
        <f t="shared" si="357"/>
        <v>2</v>
      </c>
      <c r="AD3412" t="str">
        <f t="shared" si="356"/>
        <v>o</v>
      </c>
      <c r="AE3412" t="str">
        <f t="shared" si="360"/>
        <v/>
      </c>
      <c r="AF3412" t="str">
        <f t="shared" si="358"/>
        <v/>
      </c>
      <c r="AG3412" t="str">
        <f t="shared" si="359"/>
        <v/>
      </c>
      <c r="AN3412" t="str">
        <f t="shared" si="355"/>
        <v>Defensive</v>
      </c>
    </row>
    <row r="3413" spans="2:40" x14ac:dyDescent="0.2">
      <c r="B3413" t="str">
        <f t="shared" si="354"/>
        <v/>
      </c>
      <c r="U3413" s="8">
        <f t="shared" si="357"/>
        <v>2</v>
      </c>
      <c r="AD3413" t="str">
        <f t="shared" si="356"/>
        <v>o</v>
      </c>
      <c r="AE3413" t="str">
        <f t="shared" si="360"/>
        <v/>
      </c>
      <c r="AF3413" t="str">
        <f t="shared" si="358"/>
        <v/>
      </c>
      <c r="AG3413" t="str">
        <f t="shared" si="359"/>
        <v/>
      </c>
      <c r="AN3413" t="str">
        <f t="shared" si="355"/>
        <v>Defensive</v>
      </c>
    </row>
    <row r="3414" spans="2:40" x14ac:dyDescent="0.2">
      <c r="B3414" t="str">
        <f t="shared" si="354"/>
        <v/>
      </c>
      <c r="U3414" s="8">
        <f t="shared" si="357"/>
        <v>2</v>
      </c>
      <c r="AD3414" t="str">
        <f t="shared" si="356"/>
        <v>o</v>
      </c>
      <c r="AE3414" t="str">
        <f t="shared" si="360"/>
        <v/>
      </c>
      <c r="AF3414" t="str">
        <f t="shared" si="358"/>
        <v/>
      </c>
      <c r="AG3414" t="str">
        <f t="shared" si="359"/>
        <v/>
      </c>
      <c r="AN3414" t="str">
        <f t="shared" si="355"/>
        <v>Defensive</v>
      </c>
    </row>
    <row r="3415" spans="2:40" x14ac:dyDescent="0.2">
      <c r="B3415" t="str">
        <f t="shared" si="354"/>
        <v/>
      </c>
      <c r="U3415" s="8">
        <f t="shared" si="357"/>
        <v>2</v>
      </c>
      <c r="AD3415" t="str">
        <f t="shared" si="356"/>
        <v>o</v>
      </c>
      <c r="AE3415" t="str">
        <f t="shared" si="360"/>
        <v/>
      </c>
      <c r="AF3415" t="str">
        <f t="shared" si="358"/>
        <v/>
      </c>
      <c r="AG3415" t="str">
        <f t="shared" si="359"/>
        <v/>
      </c>
      <c r="AN3415" t="str">
        <f t="shared" si="355"/>
        <v>Defensive</v>
      </c>
    </row>
    <row r="3416" spans="2:40" x14ac:dyDescent="0.2">
      <c r="B3416" t="str">
        <f t="shared" si="354"/>
        <v/>
      </c>
      <c r="U3416" s="8">
        <f t="shared" si="357"/>
        <v>2</v>
      </c>
      <c r="AD3416" t="str">
        <f t="shared" si="356"/>
        <v>o</v>
      </c>
      <c r="AE3416" t="str">
        <f t="shared" si="360"/>
        <v/>
      </c>
      <c r="AF3416" t="str">
        <f t="shared" si="358"/>
        <v/>
      </c>
      <c r="AG3416" t="str">
        <f t="shared" si="359"/>
        <v/>
      </c>
      <c r="AN3416" t="str">
        <f t="shared" si="355"/>
        <v>Defensive</v>
      </c>
    </row>
    <row r="3417" spans="2:40" x14ac:dyDescent="0.2">
      <c r="B3417" t="str">
        <f t="shared" si="354"/>
        <v/>
      </c>
      <c r="U3417" s="8">
        <f t="shared" si="357"/>
        <v>2</v>
      </c>
      <c r="AD3417" t="str">
        <f t="shared" si="356"/>
        <v>o</v>
      </c>
      <c r="AE3417" t="str">
        <f t="shared" si="360"/>
        <v/>
      </c>
      <c r="AF3417" t="str">
        <f t="shared" si="358"/>
        <v/>
      </c>
      <c r="AG3417" t="str">
        <f t="shared" si="359"/>
        <v/>
      </c>
      <c r="AN3417" t="str">
        <f t="shared" si="355"/>
        <v>Defensive</v>
      </c>
    </row>
    <row r="3418" spans="2:40" x14ac:dyDescent="0.2">
      <c r="B3418" t="str">
        <f t="shared" si="354"/>
        <v/>
      </c>
      <c r="U3418" s="8">
        <f t="shared" si="357"/>
        <v>2</v>
      </c>
      <c r="AD3418" t="str">
        <f t="shared" si="356"/>
        <v>o</v>
      </c>
      <c r="AE3418" t="str">
        <f t="shared" si="360"/>
        <v/>
      </c>
      <c r="AF3418" t="str">
        <f t="shared" si="358"/>
        <v/>
      </c>
      <c r="AG3418" t="str">
        <f t="shared" si="359"/>
        <v/>
      </c>
      <c r="AN3418" t="str">
        <f t="shared" si="355"/>
        <v>Defensive</v>
      </c>
    </row>
    <row r="3419" spans="2:40" x14ac:dyDescent="0.2">
      <c r="B3419" t="str">
        <f t="shared" si="354"/>
        <v/>
      </c>
      <c r="U3419" s="8">
        <f t="shared" si="357"/>
        <v>2</v>
      </c>
      <c r="AD3419" t="str">
        <f t="shared" si="356"/>
        <v>o</v>
      </c>
      <c r="AE3419" t="str">
        <f t="shared" si="360"/>
        <v/>
      </c>
      <c r="AF3419" t="str">
        <f t="shared" si="358"/>
        <v/>
      </c>
      <c r="AG3419" t="str">
        <f t="shared" si="359"/>
        <v/>
      </c>
      <c r="AN3419" t="str">
        <f t="shared" si="355"/>
        <v>Defensive</v>
      </c>
    </row>
    <row r="3420" spans="2:40" x14ac:dyDescent="0.2">
      <c r="B3420" t="str">
        <f t="shared" si="354"/>
        <v/>
      </c>
      <c r="U3420" s="8">
        <f t="shared" si="357"/>
        <v>2</v>
      </c>
      <c r="AD3420" t="str">
        <f t="shared" si="356"/>
        <v>o</v>
      </c>
      <c r="AE3420" t="str">
        <f t="shared" si="360"/>
        <v/>
      </c>
      <c r="AF3420" t="str">
        <f t="shared" si="358"/>
        <v/>
      </c>
      <c r="AG3420" t="str">
        <f t="shared" si="359"/>
        <v/>
      </c>
      <c r="AN3420" t="str">
        <f t="shared" si="355"/>
        <v>Defensive</v>
      </c>
    </row>
    <row r="3421" spans="2:40" x14ac:dyDescent="0.2">
      <c r="B3421" t="str">
        <f t="shared" si="354"/>
        <v/>
      </c>
      <c r="U3421" s="8">
        <f t="shared" si="357"/>
        <v>2</v>
      </c>
      <c r="AD3421" t="str">
        <f t="shared" si="356"/>
        <v>o</v>
      </c>
      <c r="AE3421" t="str">
        <f t="shared" si="360"/>
        <v/>
      </c>
      <c r="AF3421" t="str">
        <f t="shared" si="358"/>
        <v/>
      </c>
      <c r="AG3421" t="str">
        <f t="shared" si="359"/>
        <v/>
      </c>
      <c r="AN3421" t="str">
        <f t="shared" si="355"/>
        <v>Defensive</v>
      </c>
    </row>
    <row r="3422" spans="2:40" x14ac:dyDescent="0.2">
      <c r="B3422" t="str">
        <f t="shared" si="354"/>
        <v/>
      </c>
      <c r="U3422" s="8">
        <f t="shared" si="357"/>
        <v>2</v>
      </c>
      <c r="AD3422" t="str">
        <f t="shared" si="356"/>
        <v>o</v>
      </c>
      <c r="AE3422" t="str">
        <f t="shared" si="360"/>
        <v/>
      </c>
      <c r="AF3422" t="str">
        <f t="shared" si="358"/>
        <v/>
      </c>
      <c r="AG3422" t="str">
        <f t="shared" si="359"/>
        <v/>
      </c>
      <c r="AN3422" t="str">
        <f t="shared" si="355"/>
        <v>Defensive</v>
      </c>
    </row>
    <row r="3423" spans="2:40" x14ac:dyDescent="0.2">
      <c r="B3423" t="str">
        <f t="shared" si="354"/>
        <v/>
      </c>
      <c r="U3423" s="8">
        <f t="shared" si="357"/>
        <v>2</v>
      </c>
      <c r="AD3423" t="str">
        <f t="shared" si="356"/>
        <v>o</v>
      </c>
      <c r="AE3423" t="str">
        <f t="shared" si="360"/>
        <v/>
      </c>
      <c r="AF3423" t="str">
        <f t="shared" si="358"/>
        <v/>
      </c>
      <c r="AG3423" t="str">
        <f t="shared" si="359"/>
        <v/>
      </c>
      <c r="AN3423" t="str">
        <f t="shared" si="355"/>
        <v>Defensive</v>
      </c>
    </row>
    <row r="3424" spans="2:40" x14ac:dyDescent="0.2">
      <c r="B3424" t="str">
        <f t="shared" si="354"/>
        <v/>
      </c>
      <c r="U3424" s="8">
        <f t="shared" si="357"/>
        <v>2</v>
      </c>
      <c r="AD3424" t="str">
        <f t="shared" si="356"/>
        <v>o</v>
      </c>
      <c r="AE3424" t="str">
        <f t="shared" si="360"/>
        <v/>
      </c>
      <c r="AF3424" t="str">
        <f t="shared" si="358"/>
        <v/>
      </c>
      <c r="AG3424" t="str">
        <f t="shared" si="359"/>
        <v/>
      </c>
      <c r="AN3424" t="str">
        <f t="shared" si="355"/>
        <v>Defensive</v>
      </c>
    </row>
    <row r="3425" spans="2:40" x14ac:dyDescent="0.2">
      <c r="B3425" t="str">
        <f t="shared" si="354"/>
        <v/>
      </c>
      <c r="U3425" s="8">
        <f t="shared" si="357"/>
        <v>2</v>
      </c>
      <c r="AD3425" t="str">
        <f t="shared" si="356"/>
        <v>o</v>
      </c>
      <c r="AE3425" t="str">
        <f t="shared" si="360"/>
        <v/>
      </c>
      <c r="AF3425" t="str">
        <f t="shared" si="358"/>
        <v/>
      </c>
      <c r="AG3425" t="str">
        <f t="shared" si="359"/>
        <v/>
      </c>
      <c r="AN3425" t="str">
        <f t="shared" si="355"/>
        <v>Defensive</v>
      </c>
    </row>
    <row r="3426" spans="2:40" x14ac:dyDescent="0.2">
      <c r="B3426" t="str">
        <f t="shared" si="354"/>
        <v/>
      </c>
      <c r="U3426" s="8">
        <f t="shared" si="357"/>
        <v>2</v>
      </c>
      <c r="AD3426" t="str">
        <f t="shared" si="356"/>
        <v>o</v>
      </c>
      <c r="AE3426" t="str">
        <f t="shared" si="360"/>
        <v/>
      </c>
      <c r="AF3426" t="str">
        <f t="shared" si="358"/>
        <v/>
      </c>
      <c r="AG3426" t="str">
        <f t="shared" si="359"/>
        <v/>
      </c>
      <c r="AN3426" t="str">
        <f t="shared" si="355"/>
        <v>Defensive</v>
      </c>
    </row>
    <row r="3427" spans="2:40" x14ac:dyDescent="0.2">
      <c r="B3427" t="str">
        <f t="shared" si="354"/>
        <v/>
      </c>
      <c r="U3427" s="8">
        <f t="shared" si="357"/>
        <v>2</v>
      </c>
      <c r="AD3427" t="str">
        <f t="shared" si="356"/>
        <v>o</v>
      </c>
      <c r="AE3427" t="str">
        <f t="shared" si="360"/>
        <v/>
      </c>
      <c r="AF3427" t="str">
        <f t="shared" si="358"/>
        <v/>
      </c>
      <c r="AG3427" t="str">
        <f t="shared" si="359"/>
        <v/>
      </c>
      <c r="AN3427" t="str">
        <f t="shared" si="355"/>
        <v>Defensive</v>
      </c>
    </row>
    <row r="3428" spans="2:40" x14ac:dyDescent="0.2">
      <c r="B3428" t="str">
        <f t="shared" si="354"/>
        <v/>
      </c>
      <c r="U3428" s="8">
        <f t="shared" si="357"/>
        <v>2</v>
      </c>
      <c r="AD3428" t="str">
        <f t="shared" si="356"/>
        <v>o</v>
      </c>
      <c r="AE3428" t="str">
        <f t="shared" si="360"/>
        <v/>
      </c>
      <c r="AF3428" t="str">
        <f t="shared" si="358"/>
        <v/>
      </c>
      <c r="AG3428" t="str">
        <f t="shared" si="359"/>
        <v/>
      </c>
      <c r="AN3428" t="str">
        <f t="shared" si="355"/>
        <v>Defensive</v>
      </c>
    </row>
    <row r="3429" spans="2:40" x14ac:dyDescent="0.2">
      <c r="B3429" t="str">
        <f t="shared" si="354"/>
        <v/>
      </c>
      <c r="U3429" s="8">
        <f t="shared" si="357"/>
        <v>2</v>
      </c>
      <c r="AD3429" t="str">
        <f t="shared" si="356"/>
        <v>o</v>
      </c>
      <c r="AE3429" t="str">
        <f t="shared" si="360"/>
        <v/>
      </c>
      <c r="AF3429" t="str">
        <f t="shared" si="358"/>
        <v/>
      </c>
      <c r="AG3429" t="str">
        <f t="shared" si="359"/>
        <v/>
      </c>
      <c r="AN3429" t="str">
        <f t="shared" si="355"/>
        <v>Defensive</v>
      </c>
    </row>
    <row r="3430" spans="2:40" x14ac:dyDescent="0.2">
      <c r="B3430" t="str">
        <f t="shared" si="354"/>
        <v/>
      </c>
      <c r="U3430" s="8">
        <f t="shared" si="357"/>
        <v>2</v>
      </c>
      <c r="AD3430" t="str">
        <f t="shared" si="356"/>
        <v>o</v>
      </c>
      <c r="AE3430" t="str">
        <f t="shared" si="360"/>
        <v/>
      </c>
      <c r="AF3430" t="str">
        <f t="shared" si="358"/>
        <v/>
      </c>
      <c r="AG3430" t="str">
        <f t="shared" si="359"/>
        <v/>
      </c>
      <c r="AN3430" t="str">
        <f t="shared" si="355"/>
        <v>Defensive</v>
      </c>
    </row>
    <row r="3431" spans="2:40" x14ac:dyDescent="0.2">
      <c r="B3431" t="str">
        <f t="shared" si="354"/>
        <v/>
      </c>
      <c r="U3431" s="8">
        <f t="shared" si="357"/>
        <v>2</v>
      </c>
      <c r="AD3431" t="str">
        <f t="shared" si="356"/>
        <v>o</v>
      </c>
      <c r="AE3431" t="str">
        <f t="shared" si="360"/>
        <v/>
      </c>
      <c r="AF3431" t="str">
        <f t="shared" si="358"/>
        <v/>
      </c>
      <c r="AG3431" t="str">
        <f t="shared" si="359"/>
        <v/>
      </c>
      <c r="AN3431" t="str">
        <f t="shared" si="355"/>
        <v>Defensive</v>
      </c>
    </row>
    <row r="3432" spans="2:40" x14ac:dyDescent="0.2">
      <c r="B3432" t="str">
        <f t="shared" si="354"/>
        <v/>
      </c>
      <c r="U3432" s="8">
        <f t="shared" si="357"/>
        <v>2</v>
      </c>
      <c r="AD3432" t="str">
        <f t="shared" si="356"/>
        <v>o</v>
      </c>
      <c r="AE3432" t="str">
        <f t="shared" si="360"/>
        <v/>
      </c>
      <c r="AF3432" t="str">
        <f t="shared" si="358"/>
        <v/>
      </c>
      <c r="AG3432" t="str">
        <f t="shared" si="359"/>
        <v/>
      </c>
      <c r="AN3432" t="str">
        <f t="shared" si="355"/>
        <v>Defensive</v>
      </c>
    </row>
    <row r="3433" spans="2:40" x14ac:dyDescent="0.2">
      <c r="B3433" t="str">
        <f t="shared" si="354"/>
        <v/>
      </c>
      <c r="U3433" s="8">
        <f t="shared" si="357"/>
        <v>2</v>
      </c>
      <c r="AD3433" t="str">
        <f t="shared" si="356"/>
        <v>o</v>
      </c>
      <c r="AE3433" t="str">
        <f t="shared" si="360"/>
        <v/>
      </c>
      <c r="AF3433" t="str">
        <f t="shared" si="358"/>
        <v/>
      </c>
      <c r="AG3433" t="str">
        <f t="shared" si="359"/>
        <v/>
      </c>
      <c r="AN3433" t="str">
        <f t="shared" si="355"/>
        <v>Defensive</v>
      </c>
    </row>
    <row r="3434" spans="2:40" x14ac:dyDescent="0.2">
      <c r="B3434" t="str">
        <f t="shared" si="354"/>
        <v/>
      </c>
      <c r="U3434" s="8">
        <f t="shared" si="357"/>
        <v>2</v>
      </c>
      <c r="AD3434" t="str">
        <f t="shared" si="356"/>
        <v>o</v>
      </c>
      <c r="AE3434" t="str">
        <f t="shared" si="360"/>
        <v/>
      </c>
      <c r="AF3434" t="str">
        <f t="shared" si="358"/>
        <v/>
      </c>
      <c r="AG3434" t="str">
        <f t="shared" si="359"/>
        <v/>
      </c>
      <c r="AN3434" t="str">
        <f t="shared" si="355"/>
        <v>Defensive</v>
      </c>
    </row>
    <row r="3435" spans="2:40" x14ac:dyDescent="0.2">
      <c r="B3435" t="str">
        <f t="shared" si="354"/>
        <v/>
      </c>
      <c r="U3435" s="8">
        <f t="shared" si="357"/>
        <v>2</v>
      </c>
      <c r="AD3435" t="str">
        <f t="shared" si="356"/>
        <v>o</v>
      </c>
      <c r="AE3435" t="str">
        <f t="shared" si="360"/>
        <v/>
      </c>
      <c r="AF3435" t="str">
        <f t="shared" si="358"/>
        <v/>
      </c>
      <c r="AG3435" t="str">
        <f t="shared" si="359"/>
        <v/>
      </c>
      <c r="AN3435" t="str">
        <f t="shared" si="355"/>
        <v>Defensive</v>
      </c>
    </row>
    <row r="3436" spans="2:40" x14ac:dyDescent="0.2">
      <c r="B3436" t="str">
        <f t="shared" si="354"/>
        <v/>
      </c>
      <c r="U3436" s="8">
        <f t="shared" si="357"/>
        <v>2</v>
      </c>
      <c r="AD3436" t="str">
        <f t="shared" si="356"/>
        <v>o</v>
      </c>
      <c r="AE3436" t="str">
        <f t="shared" si="360"/>
        <v/>
      </c>
      <c r="AF3436" t="str">
        <f t="shared" si="358"/>
        <v/>
      </c>
      <c r="AG3436" t="str">
        <f t="shared" si="359"/>
        <v/>
      </c>
      <c r="AN3436" t="str">
        <f t="shared" si="355"/>
        <v>Defensive</v>
      </c>
    </row>
    <row r="3437" spans="2:40" x14ac:dyDescent="0.2">
      <c r="B3437" t="str">
        <f t="shared" si="354"/>
        <v/>
      </c>
      <c r="U3437" s="8">
        <f t="shared" si="357"/>
        <v>2</v>
      </c>
      <c r="AD3437" t="str">
        <f t="shared" si="356"/>
        <v>o</v>
      </c>
      <c r="AE3437" t="str">
        <f t="shared" si="360"/>
        <v/>
      </c>
      <c r="AF3437" t="str">
        <f t="shared" si="358"/>
        <v/>
      </c>
      <c r="AG3437" t="str">
        <f t="shared" si="359"/>
        <v/>
      </c>
      <c r="AN3437" t="str">
        <f t="shared" si="355"/>
        <v>Defensive</v>
      </c>
    </row>
    <row r="3438" spans="2:40" x14ac:dyDescent="0.2">
      <c r="B3438" t="str">
        <f t="shared" si="354"/>
        <v/>
      </c>
      <c r="U3438" s="8">
        <f t="shared" si="357"/>
        <v>2</v>
      </c>
      <c r="AD3438" t="str">
        <f t="shared" si="356"/>
        <v>o</v>
      </c>
      <c r="AE3438" t="str">
        <f t="shared" si="360"/>
        <v/>
      </c>
      <c r="AF3438" t="str">
        <f t="shared" si="358"/>
        <v/>
      </c>
      <c r="AG3438" t="str">
        <f t="shared" si="359"/>
        <v/>
      </c>
      <c r="AN3438" t="str">
        <f t="shared" si="355"/>
        <v>Defensive</v>
      </c>
    </row>
    <row r="3439" spans="2:40" x14ac:dyDescent="0.2">
      <c r="B3439" t="str">
        <f t="shared" si="354"/>
        <v/>
      </c>
      <c r="U3439" s="8">
        <f t="shared" si="357"/>
        <v>2</v>
      </c>
      <c r="AD3439" t="str">
        <f t="shared" si="356"/>
        <v>o</v>
      </c>
      <c r="AE3439" t="str">
        <f t="shared" si="360"/>
        <v/>
      </c>
      <c r="AF3439" t="str">
        <f t="shared" si="358"/>
        <v/>
      </c>
      <c r="AG3439" t="str">
        <f t="shared" si="359"/>
        <v/>
      </c>
      <c r="AN3439" t="str">
        <f t="shared" si="355"/>
        <v>Defensive</v>
      </c>
    </row>
    <row r="3440" spans="2:40" x14ac:dyDescent="0.2">
      <c r="B3440" t="str">
        <f t="shared" ref="B3440:B3503" si="361">IF(A3440=A3439,B3439,"")</f>
        <v/>
      </c>
      <c r="U3440" s="8">
        <f t="shared" si="357"/>
        <v>2</v>
      </c>
      <c r="AD3440" t="str">
        <f t="shared" si="356"/>
        <v>o</v>
      </c>
      <c r="AE3440" t="str">
        <f t="shared" si="360"/>
        <v/>
      </c>
      <c r="AF3440" t="str">
        <f t="shared" si="358"/>
        <v/>
      </c>
      <c r="AG3440" t="str">
        <f t="shared" si="359"/>
        <v/>
      </c>
      <c r="AN3440" t="str">
        <f t="shared" si="355"/>
        <v>Defensive</v>
      </c>
    </row>
    <row r="3441" spans="2:40" x14ac:dyDescent="0.2">
      <c r="B3441" t="str">
        <f t="shared" si="361"/>
        <v/>
      </c>
      <c r="U3441" s="8">
        <f t="shared" si="357"/>
        <v>2</v>
      </c>
      <c r="AD3441" t="str">
        <f t="shared" si="356"/>
        <v>o</v>
      </c>
      <c r="AE3441" t="str">
        <f t="shared" si="360"/>
        <v/>
      </c>
      <c r="AF3441" t="str">
        <f t="shared" si="358"/>
        <v/>
      </c>
      <c r="AG3441" t="str">
        <f t="shared" si="359"/>
        <v/>
      </c>
      <c r="AN3441" t="str">
        <f t="shared" si="355"/>
        <v>Defensive</v>
      </c>
    </row>
    <row r="3442" spans="2:40" x14ac:dyDescent="0.2">
      <c r="B3442" t="str">
        <f t="shared" si="361"/>
        <v/>
      </c>
      <c r="U3442" s="8">
        <f t="shared" si="357"/>
        <v>2</v>
      </c>
      <c r="AD3442" t="str">
        <f t="shared" si="356"/>
        <v>o</v>
      </c>
      <c r="AE3442" t="str">
        <f t="shared" si="360"/>
        <v/>
      </c>
      <c r="AF3442" t="str">
        <f t="shared" si="358"/>
        <v/>
      </c>
      <c r="AG3442" t="str">
        <f t="shared" si="359"/>
        <v/>
      </c>
      <c r="AN3442" t="str">
        <f t="shared" si="355"/>
        <v>Defensive</v>
      </c>
    </row>
    <row r="3443" spans="2:40" x14ac:dyDescent="0.2">
      <c r="B3443" t="str">
        <f t="shared" si="361"/>
        <v/>
      </c>
      <c r="U3443" s="8">
        <f t="shared" si="357"/>
        <v>2</v>
      </c>
      <c r="AD3443" t="str">
        <f t="shared" si="356"/>
        <v>o</v>
      </c>
      <c r="AE3443" t="str">
        <f t="shared" si="360"/>
        <v/>
      </c>
      <c r="AF3443" t="str">
        <f t="shared" si="358"/>
        <v/>
      </c>
      <c r="AG3443" t="str">
        <f t="shared" si="359"/>
        <v/>
      </c>
      <c r="AN3443" t="str">
        <f t="shared" si="355"/>
        <v>Defensive</v>
      </c>
    </row>
    <row r="3444" spans="2:40" x14ac:dyDescent="0.2">
      <c r="B3444" t="str">
        <f t="shared" si="361"/>
        <v/>
      </c>
      <c r="U3444" s="8">
        <f t="shared" si="357"/>
        <v>2</v>
      </c>
      <c r="AD3444" t="str">
        <f t="shared" si="356"/>
        <v>o</v>
      </c>
      <c r="AE3444" t="str">
        <f t="shared" si="360"/>
        <v/>
      </c>
      <c r="AF3444" t="str">
        <f t="shared" si="358"/>
        <v/>
      </c>
      <c r="AG3444" t="str">
        <f t="shared" si="359"/>
        <v/>
      </c>
      <c r="AN3444" t="str">
        <f t="shared" si="355"/>
        <v>Defensive</v>
      </c>
    </row>
    <row r="3445" spans="2:40" x14ac:dyDescent="0.2">
      <c r="B3445" t="str">
        <f t="shared" si="361"/>
        <v/>
      </c>
      <c r="U3445" s="8">
        <f t="shared" si="357"/>
        <v>2</v>
      </c>
      <c r="AD3445" t="str">
        <f t="shared" si="356"/>
        <v>o</v>
      </c>
      <c r="AE3445" t="str">
        <f t="shared" si="360"/>
        <v/>
      </c>
      <c r="AF3445" t="str">
        <f t="shared" si="358"/>
        <v/>
      </c>
      <c r="AG3445" t="str">
        <f t="shared" si="359"/>
        <v/>
      </c>
      <c r="AN3445" t="str">
        <f t="shared" si="355"/>
        <v>Defensive</v>
      </c>
    </row>
    <row r="3446" spans="2:40" x14ac:dyDescent="0.2">
      <c r="B3446" t="str">
        <f t="shared" si="361"/>
        <v/>
      </c>
      <c r="U3446" s="8">
        <f t="shared" si="357"/>
        <v>2</v>
      </c>
      <c r="AD3446" t="str">
        <f t="shared" si="356"/>
        <v>o</v>
      </c>
      <c r="AE3446" t="str">
        <f t="shared" si="360"/>
        <v/>
      </c>
      <c r="AF3446" t="str">
        <f t="shared" si="358"/>
        <v/>
      </c>
      <c r="AG3446" t="str">
        <f t="shared" si="359"/>
        <v/>
      </c>
      <c r="AN3446" t="str">
        <f t="shared" si="355"/>
        <v>Defensive</v>
      </c>
    </row>
    <row r="3447" spans="2:40" x14ac:dyDescent="0.2">
      <c r="B3447" t="str">
        <f t="shared" si="361"/>
        <v/>
      </c>
      <c r="U3447" s="8">
        <f t="shared" si="357"/>
        <v>2</v>
      </c>
      <c r="AD3447" t="str">
        <f t="shared" si="356"/>
        <v>o</v>
      </c>
      <c r="AE3447" t="str">
        <f t="shared" si="360"/>
        <v/>
      </c>
      <c r="AF3447" t="str">
        <f t="shared" si="358"/>
        <v/>
      </c>
      <c r="AG3447" t="str">
        <f t="shared" si="359"/>
        <v/>
      </c>
      <c r="AN3447" t="str">
        <f t="shared" si="355"/>
        <v>Defensive</v>
      </c>
    </row>
    <row r="3448" spans="2:40" x14ac:dyDescent="0.2">
      <c r="B3448" t="str">
        <f t="shared" si="361"/>
        <v/>
      </c>
      <c r="U3448" s="8">
        <f t="shared" si="357"/>
        <v>2</v>
      </c>
      <c r="AD3448" t="str">
        <f t="shared" si="356"/>
        <v>o</v>
      </c>
      <c r="AE3448" t="str">
        <f t="shared" si="360"/>
        <v/>
      </c>
      <c r="AF3448" t="str">
        <f t="shared" si="358"/>
        <v/>
      </c>
      <c r="AG3448" t="str">
        <f t="shared" si="359"/>
        <v/>
      </c>
      <c r="AN3448" t="str">
        <f t="shared" si="355"/>
        <v>Defensive</v>
      </c>
    </row>
    <row r="3449" spans="2:40" x14ac:dyDescent="0.2">
      <c r="B3449" t="str">
        <f t="shared" si="361"/>
        <v/>
      </c>
      <c r="U3449" s="8">
        <f t="shared" si="357"/>
        <v>2</v>
      </c>
      <c r="AD3449" t="str">
        <f t="shared" si="356"/>
        <v>o</v>
      </c>
      <c r="AE3449" t="str">
        <f t="shared" si="360"/>
        <v/>
      </c>
      <c r="AF3449" t="str">
        <f t="shared" si="358"/>
        <v/>
      </c>
      <c r="AG3449" t="str">
        <f t="shared" si="359"/>
        <v/>
      </c>
      <c r="AN3449" t="str">
        <f t="shared" ref="AN3449:AN3512" si="362">IF(AND(AD3449="e",OR(AE3449="Save",AF3449="Turnover_Takeaway",AF3449="Play_Defensive")),"Defensive",IF(AND(AD3449="o",OR(AE3449="Save",AF3449="Turnover_Takeaway",AF3449="Play_Defensive")),"Offensive",IF(OR(AE3449="Deadice",AE3449="Stoppage",AE3449="Intermission"),"",IF(AD3449="e","Offensive",IF(AD3449="o","Defensive","")))))</f>
        <v>Defensive</v>
      </c>
    </row>
    <row r="3450" spans="2:40" x14ac:dyDescent="0.2">
      <c r="B3450" t="str">
        <f t="shared" si="361"/>
        <v/>
      </c>
      <c r="U3450" s="8">
        <f t="shared" si="357"/>
        <v>2</v>
      </c>
      <c r="AD3450" t="str">
        <f t="shared" si="356"/>
        <v>o</v>
      </c>
      <c r="AE3450" t="str">
        <f t="shared" si="360"/>
        <v/>
      </c>
      <c r="AF3450" t="str">
        <f t="shared" si="358"/>
        <v/>
      </c>
      <c r="AG3450" t="str">
        <f t="shared" si="359"/>
        <v/>
      </c>
      <c r="AN3450" t="str">
        <f t="shared" si="362"/>
        <v>Defensive</v>
      </c>
    </row>
    <row r="3451" spans="2:40" x14ac:dyDescent="0.2">
      <c r="B3451" t="str">
        <f t="shared" si="361"/>
        <v/>
      </c>
      <c r="U3451" s="8">
        <f t="shared" si="357"/>
        <v>2</v>
      </c>
      <c r="AD3451" t="str">
        <f t="shared" si="356"/>
        <v>o</v>
      </c>
      <c r="AE3451" t="str">
        <f t="shared" si="360"/>
        <v/>
      </c>
      <c r="AF3451" t="str">
        <f t="shared" si="358"/>
        <v/>
      </c>
      <c r="AG3451" t="str">
        <f t="shared" si="359"/>
        <v/>
      </c>
      <c r="AN3451" t="str">
        <f t="shared" si="362"/>
        <v>Defensive</v>
      </c>
    </row>
    <row r="3452" spans="2:40" x14ac:dyDescent="0.2">
      <c r="B3452" t="str">
        <f t="shared" si="361"/>
        <v/>
      </c>
      <c r="U3452" s="8">
        <f t="shared" si="357"/>
        <v>2</v>
      </c>
      <c r="AD3452" t="str">
        <f t="shared" si="356"/>
        <v>o</v>
      </c>
      <c r="AE3452" t="str">
        <f t="shared" si="360"/>
        <v/>
      </c>
      <c r="AF3452" t="str">
        <f t="shared" si="358"/>
        <v/>
      </c>
      <c r="AG3452" t="str">
        <f t="shared" si="359"/>
        <v/>
      </c>
      <c r="AN3452" t="str">
        <f t="shared" si="362"/>
        <v>Defensive</v>
      </c>
    </row>
    <row r="3453" spans="2:40" x14ac:dyDescent="0.2">
      <c r="B3453" t="str">
        <f t="shared" si="361"/>
        <v/>
      </c>
      <c r="U3453" s="8">
        <f t="shared" si="357"/>
        <v>2</v>
      </c>
      <c r="AD3453" t="str">
        <f t="shared" si="356"/>
        <v>o</v>
      </c>
      <c r="AE3453" t="str">
        <f t="shared" si="360"/>
        <v/>
      </c>
      <c r="AF3453" t="str">
        <f t="shared" si="358"/>
        <v/>
      </c>
      <c r="AG3453" t="str">
        <f t="shared" si="359"/>
        <v/>
      </c>
      <c r="AN3453" t="str">
        <f t="shared" si="362"/>
        <v>Defensive</v>
      </c>
    </row>
    <row r="3454" spans="2:40" x14ac:dyDescent="0.2">
      <c r="B3454" t="str">
        <f t="shared" si="361"/>
        <v/>
      </c>
      <c r="U3454" s="8">
        <f t="shared" si="357"/>
        <v>2</v>
      </c>
      <c r="AD3454" t="str">
        <f t="shared" si="356"/>
        <v>o</v>
      </c>
      <c r="AE3454" t="str">
        <f t="shared" si="360"/>
        <v/>
      </c>
      <c r="AF3454" t="str">
        <f t="shared" si="358"/>
        <v/>
      </c>
      <c r="AG3454" t="str">
        <f t="shared" si="359"/>
        <v/>
      </c>
      <c r="AN3454" t="str">
        <f t="shared" si="362"/>
        <v>Defensive</v>
      </c>
    </row>
    <row r="3455" spans="2:40" x14ac:dyDescent="0.2">
      <c r="B3455" t="str">
        <f t="shared" si="361"/>
        <v/>
      </c>
      <c r="U3455" s="8">
        <f t="shared" si="357"/>
        <v>2</v>
      </c>
      <c r="AD3455" t="str">
        <f t="shared" si="356"/>
        <v>o</v>
      </c>
      <c r="AE3455" t="str">
        <f t="shared" si="360"/>
        <v/>
      </c>
      <c r="AF3455" t="str">
        <f t="shared" si="358"/>
        <v/>
      </c>
      <c r="AG3455" t="str">
        <f t="shared" si="359"/>
        <v/>
      </c>
      <c r="AN3455" t="str">
        <f t="shared" si="362"/>
        <v>Defensive</v>
      </c>
    </row>
    <row r="3456" spans="2:40" x14ac:dyDescent="0.2">
      <c r="B3456" t="str">
        <f t="shared" si="361"/>
        <v/>
      </c>
      <c r="U3456" s="8">
        <f t="shared" si="357"/>
        <v>2</v>
      </c>
      <c r="AD3456" t="str">
        <f t="shared" si="356"/>
        <v>o</v>
      </c>
      <c r="AE3456" t="str">
        <f t="shared" si="360"/>
        <v/>
      </c>
      <c r="AF3456" t="str">
        <f t="shared" si="358"/>
        <v/>
      </c>
      <c r="AG3456" t="str">
        <f t="shared" si="359"/>
        <v/>
      </c>
      <c r="AN3456" t="str">
        <f t="shared" si="362"/>
        <v>Defensive</v>
      </c>
    </row>
    <row r="3457" spans="2:40" x14ac:dyDescent="0.2">
      <c r="B3457" t="str">
        <f t="shared" si="361"/>
        <v/>
      </c>
      <c r="U3457" s="8">
        <f t="shared" si="357"/>
        <v>2</v>
      </c>
      <c r="AD3457" t="str">
        <f t="shared" si="356"/>
        <v>o</v>
      </c>
      <c r="AE3457" t="str">
        <f t="shared" si="360"/>
        <v/>
      </c>
      <c r="AF3457" t="str">
        <f t="shared" si="358"/>
        <v/>
      </c>
      <c r="AG3457" t="str">
        <f t="shared" si="359"/>
        <v/>
      </c>
      <c r="AN3457" t="str">
        <f t="shared" si="362"/>
        <v>Defensive</v>
      </c>
    </row>
    <row r="3458" spans="2:40" x14ac:dyDescent="0.2">
      <c r="B3458" t="str">
        <f t="shared" si="361"/>
        <v/>
      </c>
      <c r="U3458" s="8">
        <f t="shared" si="357"/>
        <v>2</v>
      </c>
      <c r="AD3458" t="str">
        <f t="shared" ref="AD3458:AD3521" si="363">IF(K3458="x","",IF(K3458=1,"e","o"))</f>
        <v>o</v>
      </c>
      <c r="AE3458" t="str">
        <f t="shared" si="360"/>
        <v/>
      </c>
      <c r="AF3458" t="str">
        <f t="shared" si="358"/>
        <v/>
      </c>
      <c r="AG3458" t="str">
        <f t="shared" si="359"/>
        <v/>
      </c>
      <c r="AN3458" t="str">
        <f t="shared" si="362"/>
        <v>Defensive</v>
      </c>
    </row>
    <row r="3459" spans="2:40" x14ac:dyDescent="0.2">
      <c r="B3459" t="str">
        <f t="shared" si="361"/>
        <v/>
      </c>
      <c r="U3459" s="8">
        <f t="shared" ref="U3459:U3522" si="364">IF(M3459="Intermission",U3458+1,U3458)</f>
        <v>2</v>
      </c>
      <c r="AD3459" t="str">
        <f t="shared" si="363"/>
        <v>o</v>
      </c>
      <c r="AE3459" t="str">
        <f t="shared" si="360"/>
        <v/>
      </c>
      <c r="AF3459" t="str">
        <f t="shared" ref="AF3459:AF3522" si="365">IF(N3459&lt;&gt;"",N3459,IF($A3459=$A3458,AF3458,""))</f>
        <v/>
      </c>
      <c r="AG3459" t="str">
        <f t="shared" ref="AG3459:AG3522" si="366">IF(O3459&lt;&gt;"",O3459,IF($A3459=$A3458,AG3458,""))</f>
        <v/>
      </c>
      <c r="AN3459" t="str">
        <f t="shared" si="362"/>
        <v>Defensive</v>
      </c>
    </row>
    <row r="3460" spans="2:40" x14ac:dyDescent="0.2">
      <c r="B3460" t="str">
        <f t="shared" si="361"/>
        <v/>
      </c>
      <c r="U3460" s="8">
        <f t="shared" si="364"/>
        <v>2</v>
      </c>
      <c r="AD3460" t="str">
        <f t="shared" si="363"/>
        <v>o</v>
      </c>
      <c r="AE3460" t="str">
        <f t="shared" ref="AE3460:AE3523" si="367">IF(M3460&lt;&gt;"",M3460,IF($A3460=$A3459,AE3459,""))</f>
        <v/>
      </c>
      <c r="AF3460" t="str">
        <f t="shared" si="365"/>
        <v/>
      </c>
      <c r="AG3460" t="str">
        <f t="shared" si="366"/>
        <v/>
      </c>
      <c r="AN3460" t="str">
        <f t="shared" si="362"/>
        <v>Defensive</v>
      </c>
    </row>
    <row r="3461" spans="2:40" x14ac:dyDescent="0.2">
      <c r="B3461" t="str">
        <f t="shared" si="361"/>
        <v/>
      </c>
      <c r="U3461" s="8">
        <f t="shared" si="364"/>
        <v>2</v>
      </c>
      <c r="AD3461" t="str">
        <f t="shared" si="363"/>
        <v>o</v>
      </c>
      <c r="AE3461" t="str">
        <f t="shared" si="367"/>
        <v/>
      </c>
      <c r="AF3461" t="str">
        <f t="shared" si="365"/>
        <v/>
      </c>
      <c r="AG3461" t="str">
        <f t="shared" si="366"/>
        <v/>
      </c>
      <c r="AN3461" t="str">
        <f t="shared" si="362"/>
        <v>Defensive</v>
      </c>
    </row>
    <row r="3462" spans="2:40" x14ac:dyDescent="0.2">
      <c r="B3462" t="str">
        <f t="shared" si="361"/>
        <v/>
      </c>
      <c r="U3462" s="8">
        <f t="shared" si="364"/>
        <v>2</v>
      </c>
      <c r="AD3462" t="str">
        <f t="shared" si="363"/>
        <v>o</v>
      </c>
      <c r="AE3462" t="str">
        <f t="shared" si="367"/>
        <v/>
      </c>
      <c r="AF3462" t="str">
        <f t="shared" si="365"/>
        <v/>
      </c>
      <c r="AG3462" t="str">
        <f t="shared" si="366"/>
        <v/>
      </c>
      <c r="AN3462" t="str">
        <f t="shared" si="362"/>
        <v>Defensive</v>
      </c>
    </row>
    <row r="3463" spans="2:40" x14ac:dyDescent="0.2">
      <c r="B3463" t="str">
        <f t="shared" si="361"/>
        <v/>
      </c>
      <c r="U3463" s="8">
        <f t="shared" si="364"/>
        <v>2</v>
      </c>
      <c r="AD3463" t="str">
        <f t="shared" si="363"/>
        <v>o</v>
      </c>
      <c r="AE3463" t="str">
        <f t="shared" si="367"/>
        <v/>
      </c>
      <c r="AF3463" t="str">
        <f t="shared" si="365"/>
        <v/>
      </c>
      <c r="AG3463" t="str">
        <f t="shared" si="366"/>
        <v/>
      </c>
      <c r="AN3463" t="str">
        <f t="shared" si="362"/>
        <v>Defensive</v>
      </c>
    </row>
    <row r="3464" spans="2:40" x14ac:dyDescent="0.2">
      <c r="B3464" t="str">
        <f t="shared" si="361"/>
        <v/>
      </c>
      <c r="U3464" s="8">
        <f t="shared" si="364"/>
        <v>2</v>
      </c>
      <c r="AD3464" t="str">
        <f t="shared" si="363"/>
        <v>o</v>
      </c>
      <c r="AE3464" t="str">
        <f t="shared" si="367"/>
        <v/>
      </c>
      <c r="AF3464" t="str">
        <f t="shared" si="365"/>
        <v/>
      </c>
      <c r="AG3464" t="str">
        <f t="shared" si="366"/>
        <v/>
      </c>
      <c r="AN3464" t="str">
        <f t="shared" si="362"/>
        <v>Defensive</v>
      </c>
    </row>
    <row r="3465" spans="2:40" x14ac:dyDescent="0.2">
      <c r="B3465" t="str">
        <f t="shared" si="361"/>
        <v/>
      </c>
      <c r="U3465" s="8">
        <f t="shared" si="364"/>
        <v>2</v>
      </c>
      <c r="AD3465" t="str">
        <f t="shared" si="363"/>
        <v>o</v>
      </c>
      <c r="AE3465" t="str">
        <f t="shared" si="367"/>
        <v/>
      </c>
      <c r="AF3465" t="str">
        <f t="shared" si="365"/>
        <v/>
      </c>
      <c r="AG3465" t="str">
        <f t="shared" si="366"/>
        <v/>
      </c>
      <c r="AN3465" t="str">
        <f t="shared" si="362"/>
        <v>Defensive</v>
      </c>
    </row>
    <row r="3466" spans="2:40" x14ac:dyDescent="0.2">
      <c r="B3466" t="str">
        <f t="shared" si="361"/>
        <v/>
      </c>
      <c r="U3466" s="8">
        <f t="shared" si="364"/>
        <v>2</v>
      </c>
      <c r="AD3466" t="str">
        <f t="shared" si="363"/>
        <v>o</v>
      </c>
      <c r="AE3466" t="str">
        <f t="shared" si="367"/>
        <v/>
      </c>
      <c r="AF3466" t="str">
        <f t="shared" si="365"/>
        <v/>
      </c>
      <c r="AG3466" t="str">
        <f t="shared" si="366"/>
        <v/>
      </c>
      <c r="AN3466" t="str">
        <f t="shared" si="362"/>
        <v>Defensive</v>
      </c>
    </row>
    <row r="3467" spans="2:40" x14ac:dyDescent="0.2">
      <c r="B3467" t="str">
        <f t="shared" si="361"/>
        <v/>
      </c>
      <c r="U3467" s="8">
        <f t="shared" si="364"/>
        <v>2</v>
      </c>
      <c r="AD3467" t="str">
        <f t="shared" si="363"/>
        <v>o</v>
      </c>
      <c r="AE3467" t="str">
        <f t="shared" si="367"/>
        <v/>
      </c>
      <c r="AF3467" t="str">
        <f t="shared" si="365"/>
        <v/>
      </c>
      <c r="AG3467" t="str">
        <f t="shared" si="366"/>
        <v/>
      </c>
      <c r="AN3467" t="str">
        <f t="shared" si="362"/>
        <v>Defensive</v>
      </c>
    </row>
    <row r="3468" spans="2:40" x14ac:dyDescent="0.2">
      <c r="B3468" t="str">
        <f t="shared" si="361"/>
        <v/>
      </c>
      <c r="U3468" s="8">
        <f t="shared" si="364"/>
        <v>2</v>
      </c>
      <c r="AD3468" t="str">
        <f t="shared" si="363"/>
        <v>o</v>
      </c>
      <c r="AE3468" t="str">
        <f t="shared" si="367"/>
        <v/>
      </c>
      <c r="AF3468" t="str">
        <f t="shared" si="365"/>
        <v/>
      </c>
      <c r="AG3468" t="str">
        <f t="shared" si="366"/>
        <v/>
      </c>
      <c r="AN3468" t="str">
        <f t="shared" si="362"/>
        <v>Defensive</v>
      </c>
    </row>
    <row r="3469" spans="2:40" x14ac:dyDescent="0.2">
      <c r="B3469" t="str">
        <f t="shared" si="361"/>
        <v/>
      </c>
      <c r="U3469" s="8">
        <f t="shared" si="364"/>
        <v>2</v>
      </c>
      <c r="AD3469" t="str">
        <f t="shared" si="363"/>
        <v>o</v>
      </c>
      <c r="AE3469" t="str">
        <f t="shared" si="367"/>
        <v/>
      </c>
      <c r="AF3469" t="str">
        <f t="shared" si="365"/>
        <v/>
      </c>
      <c r="AG3469" t="str">
        <f t="shared" si="366"/>
        <v/>
      </c>
      <c r="AN3469" t="str">
        <f t="shared" si="362"/>
        <v>Defensive</v>
      </c>
    </row>
    <row r="3470" spans="2:40" x14ac:dyDescent="0.2">
      <c r="B3470" t="str">
        <f t="shared" si="361"/>
        <v/>
      </c>
      <c r="U3470" s="8">
        <f t="shared" si="364"/>
        <v>2</v>
      </c>
      <c r="AD3470" t="str">
        <f t="shared" si="363"/>
        <v>o</v>
      </c>
      <c r="AE3470" t="str">
        <f t="shared" si="367"/>
        <v/>
      </c>
      <c r="AF3470" t="str">
        <f t="shared" si="365"/>
        <v/>
      </c>
      <c r="AG3470" t="str">
        <f t="shared" si="366"/>
        <v/>
      </c>
      <c r="AN3470" t="str">
        <f t="shared" si="362"/>
        <v>Defensive</v>
      </c>
    </row>
    <row r="3471" spans="2:40" x14ac:dyDescent="0.2">
      <c r="B3471" t="str">
        <f t="shared" si="361"/>
        <v/>
      </c>
      <c r="U3471" s="8">
        <f t="shared" si="364"/>
        <v>2</v>
      </c>
      <c r="AD3471" t="str">
        <f t="shared" si="363"/>
        <v>o</v>
      </c>
      <c r="AE3471" t="str">
        <f t="shared" si="367"/>
        <v/>
      </c>
      <c r="AF3471" t="str">
        <f t="shared" si="365"/>
        <v/>
      </c>
      <c r="AG3471" t="str">
        <f t="shared" si="366"/>
        <v/>
      </c>
      <c r="AN3471" t="str">
        <f t="shared" si="362"/>
        <v>Defensive</v>
      </c>
    </row>
    <row r="3472" spans="2:40" x14ac:dyDescent="0.2">
      <c r="B3472" t="str">
        <f t="shared" si="361"/>
        <v/>
      </c>
      <c r="U3472" s="8">
        <f t="shared" si="364"/>
        <v>2</v>
      </c>
      <c r="AD3472" t="str">
        <f t="shared" si="363"/>
        <v>o</v>
      </c>
      <c r="AE3472" t="str">
        <f t="shared" si="367"/>
        <v/>
      </c>
      <c r="AF3472" t="str">
        <f t="shared" si="365"/>
        <v/>
      </c>
      <c r="AG3472" t="str">
        <f t="shared" si="366"/>
        <v/>
      </c>
      <c r="AN3472" t="str">
        <f t="shared" si="362"/>
        <v>Defensive</v>
      </c>
    </row>
    <row r="3473" spans="2:40" x14ac:dyDescent="0.2">
      <c r="B3473" t="str">
        <f t="shared" si="361"/>
        <v/>
      </c>
      <c r="U3473" s="8">
        <f t="shared" si="364"/>
        <v>2</v>
      </c>
      <c r="AD3473" t="str">
        <f t="shared" si="363"/>
        <v>o</v>
      </c>
      <c r="AE3473" t="str">
        <f t="shared" si="367"/>
        <v/>
      </c>
      <c r="AF3473" t="str">
        <f t="shared" si="365"/>
        <v/>
      </c>
      <c r="AG3473" t="str">
        <f t="shared" si="366"/>
        <v/>
      </c>
      <c r="AN3473" t="str">
        <f t="shared" si="362"/>
        <v>Defensive</v>
      </c>
    </row>
    <row r="3474" spans="2:40" x14ac:dyDescent="0.2">
      <c r="B3474" t="str">
        <f t="shared" si="361"/>
        <v/>
      </c>
      <c r="U3474" s="8">
        <f t="shared" si="364"/>
        <v>2</v>
      </c>
      <c r="AD3474" t="str">
        <f t="shared" si="363"/>
        <v>o</v>
      </c>
      <c r="AE3474" t="str">
        <f t="shared" si="367"/>
        <v/>
      </c>
      <c r="AF3474" t="str">
        <f t="shared" si="365"/>
        <v/>
      </c>
      <c r="AG3474" t="str">
        <f t="shared" si="366"/>
        <v/>
      </c>
      <c r="AN3474" t="str">
        <f t="shared" si="362"/>
        <v>Defensive</v>
      </c>
    </row>
    <row r="3475" spans="2:40" x14ac:dyDescent="0.2">
      <c r="B3475" t="str">
        <f t="shared" si="361"/>
        <v/>
      </c>
      <c r="U3475" s="8">
        <f t="shared" si="364"/>
        <v>2</v>
      </c>
      <c r="AD3475" t="str">
        <f t="shared" si="363"/>
        <v>o</v>
      </c>
      <c r="AE3475" t="str">
        <f t="shared" si="367"/>
        <v/>
      </c>
      <c r="AF3475" t="str">
        <f t="shared" si="365"/>
        <v/>
      </c>
      <c r="AG3475" t="str">
        <f t="shared" si="366"/>
        <v/>
      </c>
      <c r="AN3475" t="str">
        <f t="shared" si="362"/>
        <v>Defensive</v>
      </c>
    </row>
    <row r="3476" spans="2:40" x14ac:dyDescent="0.2">
      <c r="B3476" t="str">
        <f t="shared" si="361"/>
        <v/>
      </c>
      <c r="U3476" s="8">
        <f t="shared" si="364"/>
        <v>2</v>
      </c>
      <c r="AD3476" t="str">
        <f t="shared" si="363"/>
        <v>o</v>
      </c>
      <c r="AE3476" t="str">
        <f t="shared" si="367"/>
        <v/>
      </c>
      <c r="AF3476" t="str">
        <f t="shared" si="365"/>
        <v/>
      </c>
      <c r="AG3476" t="str">
        <f t="shared" si="366"/>
        <v/>
      </c>
      <c r="AN3476" t="str">
        <f t="shared" si="362"/>
        <v>Defensive</v>
      </c>
    </row>
    <row r="3477" spans="2:40" x14ac:dyDescent="0.2">
      <c r="B3477" t="str">
        <f t="shared" si="361"/>
        <v/>
      </c>
      <c r="U3477" s="8">
        <f t="shared" si="364"/>
        <v>2</v>
      </c>
      <c r="AD3477" t="str">
        <f t="shared" si="363"/>
        <v>o</v>
      </c>
      <c r="AE3477" t="str">
        <f t="shared" si="367"/>
        <v/>
      </c>
      <c r="AF3477" t="str">
        <f t="shared" si="365"/>
        <v/>
      </c>
      <c r="AG3477" t="str">
        <f t="shared" si="366"/>
        <v/>
      </c>
      <c r="AN3477" t="str">
        <f t="shared" si="362"/>
        <v>Defensive</v>
      </c>
    </row>
    <row r="3478" spans="2:40" x14ac:dyDescent="0.2">
      <c r="B3478" t="str">
        <f t="shared" si="361"/>
        <v/>
      </c>
      <c r="U3478" s="8">
        <f t="shared" si="364"/>
        <v>2</v>
      </c>
      <c r="AD3478" t="str">
        <f t="shared" si="363"/>
        <v>o</v>
      </c>
      <c r="AE3478" t="str">
        <f t="shared" si="367"/>
        <v/>
      </c>
      <c r="AF3478" t="str">
        <f t="shared" si="365"/>
        <v/>
      </c>
      <c r="AG3478" t="str">
        <f t="shared" si="366"/>
        <v/>
      </c>
      <c r="AN3478" t="str">
        <f t="shared" si="362"/>
        <v>Defensive</v>
      </c>
    </row>
    <row r="3479" spans="2:40" x14ac:dyDescent="0.2">
      <c r="B3479" t="str">
        <f t="shared" si="361"/>
        <v/>
      </c>
      <c r="U3479" s="8">
        <f t="shared" si="364"/>
        <v>2</v>
      </c>
      <c r="AD3479" t="str">
        <f t="shared" si="363"/>
        <v>o</v>
      </c>
      <c r="AE3479" t="str">
        <f t="shared" si="367"/>
        <v/>
      </c>
      <c r="AF3479" t="str">
        <f t="shared" si="365"/>
        <v/>
      </c>
      <c r="AG3479" t="str">
        <f t="shared" si="366"/>
        <v/>
      </c>
      <c r="AN3479" t="str">
        <f t="shared" si="362"/>
        <v>Defensive</v>
      </c>
    </row>
    <row r="3480" spans="2:40" x14ac:dyDescent="0.2">
      <c r="B3480" t="str">
        <f t="shared" si="361"/>
        <v/>
      </c>
      <c r="U3480" s="8">
        <f t="shared" si="364"/>
        <v>2</v>
      </c>
      <c r="AD3480" t="str">
        <f t="shared" si="363"/>
        <v>o</v>
      </c>
      <c r="AE3480" t="str">
        <f t="shared" si="367"/>
        <v/>
      </c>
      <c r="AF3480" t="str">
        <f t="shared" si="365"/>
        <v/>
      </c>
      <c r="AG3480" t="str">
        <f t="shared" si="366"/>
        <v/>
      </c>
      <c r="AN3480" t="str">
        <f t="shared" si="362"/>
        <v>Defensive</v>
      </c>
    </row>
    <row r="3481" spans="2:40" x14ac:dyDescent="0.2">
      <c r="B3481" t="str">
        <f t="shared" si="361"/>
        <v/>
      </c>
      <c r="U3481" s="8">
        <f t="shared" si="364"/>
        <v>2</v>
      </c>
      <c r="AD3481" t="str">
        <f t="shared" si="363"/>
        <v>o</v>
      </c>
      <c r="AE3481" t="str">
        <f t="shared" si="367"/>
        <v/>
      </c>
      <c r="AF3481" t="str">
        <f t="shared" si="365"/>
        <v/>
      </c>
      <c r="AG3481" t="str">
        <f t="shared" si="366"/>
        <v/>
      </c>
      <c r="AN3481" t="str">
        <f t="shared" si="362"/>
        <v>Defensive</v>
      </c>
    </row>
    <row r="3482" spans="2:40" x14ac:dyDescent="0.2">
      <c r="B3482" t="str">
        <f t="shared" si="361"/>
        <v/>
      </c>
      <c r="U3482" s="8">
        <f t="shared" si="364"/>
        <v>2</v>
      </c>
      <c r="AD3482" t="str">
        <f t="shared" si="363"/>
        <v>o</v>
      </c>
      <c r="AE3482" t="str">
        <f t="shared" si="367"/>
        <v/>
      </c>
      <c r="AF3482" t="str">
        <f t="shared" si="365"/>
        <v/>
      </c>
      <c r="AG3482" t="str">
        <f t="shared" si="366"/>
        <v/>
      </c>
      <c r="AN3482" t="str">
        <f t="shared" si="362"/>
        <v>Defensive</v>
      </c>
    </row>
    <row r="3483" spans="2:40" x14ac:dyDescent="0.2">
      <c r="B3483" t="str">
        <f t="shared" si="361"/>
        <v/>
      </c>
      <c r="U3483" s="8">
        <f t="shared" si="364"/>
        <v>2</v>
      </c>
      <c r="AD3483" t="str">
        <f t="shared" si="363"/>
        <v>o</v>
      </c>
      <c r="AE3483" t="str">
        <f t="shared" si="367"/>
        <v/>
      </c>
      <c r="AF3483" t="str">
        <f t="shared" si="365"/>
        <v/>
      </c>
      <c r="AG3483" t="str">
        <f t="shared" si="366"/>
        <v/>
      </c>
      <c r="AN3483" t="str">
        <f t="shared" si="362"/>
        <v>Defensive</v>
      </c>
    </row>
    <row r="3484" spans="2:40" x14ac:dyDescent="0.2">
      <c r="B3484" t="str">
        <f t="shared" si="361"/>
        <v/>
      </c>
      <c r="U3484" s="8">
        <f t="shared" si="364"/>
        <v>2</v>
      </c>
      <c r="AD3484" t="str">
        <f t="shared" si="363"/>
        <v>o</v>
      </c>
      <c r="AE3484" t="str">
        <f t="shared" si="367"/>
        <v/>
      </c>
      <c r="AF3484" t="str">
        <f t="shared" si="365"/>
        <v/>
      </c>
      <c r="AG3484" t="str">
        <f t="shared" si="366"/>
        <v/>
      </c>
      <c r="AN3484" t="str">
        <f t="shared" si="362"/>
        <v>Defensive</v>
      </c>
    </row>
    <row r="3485" spans="2:40" x14ac:dyDescent="0.2">
      <c r="B3485" t="str">
        <f t="shared" si="361"/>
        <v/>
      </c>
      <c r="U3485" s="8">
        <f t="shared" si="364"/>
        <v>2</v>
      </c>
      <c r="AD3485" t="str">
        <f t="shared" si="363"/>
        <v>o</v>
      </c>
      <c r="AE3485" t="str">
        <f t="shared" si="367"/>
        <v/>
      </c>
      <c r="AF3485" t="str">
        <f t="shared" si="365"/>
        <v/>
      </c>
      <c r="AG3485" t="str">
        <f t="shared" si="366"/>
        <v/>
      </c>
      <c r="AN3485" t="str">
        <f t="shared" si="362"/>
        <v>Defensive</v>
      </c>
    </row>
    <row r="3486" spans="2:40" x14ac:dyDescent="0.2">
      <c r="B3486" t="str">
        <f t="shared" si="361"/>
        <v/>
      </c>
      <c r="U3486" s="8">
        <f t="shared" si="364"/>
        <v>2</v>
      </c>
      <c r="AD3486" t="str">
        <f t="shared" si="363"/>
        <v>o</v>
      </c>
      <c r="AE3486" t="str">
        <f t="shared" si="367"/>
        <v/>
      </c>
      <c r="AF3486" t="str">
        <f t="shared" si="365"/>
        <v/>
      </c>
      <c r="AG3486" t="str">
        <f t="shared" si="366"/>
        <v/>
      </c>
      <c r="AN3486" t="str">
        <f t="shared" si="362"/>
        <v>Defensive</v>
      </c>
    </row>
    <row r="3487" spans="2:40" x14ac:dyDescent="0.2">
      <c r="B3487" t="str">
        <f t="shared" si="361"/>
        <v/>
      </c>
      <c r="U3487" s="8">
        <f t="shared" si="364"/>
        <v>2</v>
      </c>
      <c r="AD3487" t="str">
        <f t="shared" si="363"/>
        <v>o</v>
      </c>
      <c r="AE3487" t="str">
        <f t="shared" si="367"/>
        <v/>
      </c>
      <c r="AF3487" t="str">
        <f t="shared" si="365"/>
        <v/>
      </c>
      <c r="AG3487" t="str">
        <f t="shared" si="366"/>
        <v/>
      </c>
      <c r="AN3487" t="str">
        <f t="shared" si="362"/>
        <v>Defensive</v>
      </c>
    </row>
    <row r="3488" spans="2:40" x14ac:dyDescent="0.2">
      <c r="B3488" t="str">
        <f t="shared" si="361"/>
        <v/>
      </c>
      <c r="U3488" s="8">
        <f t="shared" si="364"/>
        <v>2</v>
      </c>
      <c r="AD3488" t="str">
        <f t="shared" si="363"/>
        <v>o</v>
      </c>
      <c r="AE3488" t="str">
        <f t="shared" si="367"/>
        <v/>
      </c>
      <c r="AF3488" t="str">
        <f t="shared" si="365"/>
        <v/>
      </c>
      <c r="AG3488" t="str">
        <f t="shared" si="366"/>
        <v/>
      </c>
      <c r="AN3488" t="str">
        <f t="shared" si="362"/>
        <v>Defensive</v>
      </c>
    </row>
    <row r="3489" spans="2:40" x14ac:dyDescent="0.2">
      <c r="B3489" t="str">
        <f t="shared" si="361"/>
        <v/>
      </c>
      <c r="U3489" s="8">
        <f t="shared" si="364"/>
        <v>2</v>
      </c>
      <c r="AD3489" t="str">
        <f t="shared" si="363"/>
        <v>o</v>
      </c>
      <c r="AE3489" t="str">
        <f t="shared" si="367"/>
        <v/>
      </c>
      <c r="AF3489" t="str">
        <f t="shared" si="365"/>
        <v/>
      </c>
      <c r="AG3489" t="str">
        <f t="shared" si="366"/>
        <v/>
      </c>
      <c r="AN3489" t="str">
        <f t="shared" si="362"/>
        <v>Defensive</v>
      </c>
    </row>
    <row r="3490" spans="2:40" x14ac:dyDescent="0.2">
      <c r="B3490" t="str">
        <f t="shared" si="361"/>
        <v/>
      </c>
      <c r="U3490" s="8">
        <f t="shared" si="364"/>
        <v>2</v>
      </c>
      <c r="AD3490" t="str">
        <f t="shared" si="363"/>
        <v>o</v>
      </c>
      <c r="AE3490" t="str">
        <f t="shared" si="367"/>
        <v/>
      </c>
      <c r="AF3490" t="str">
        <f t="shared" si="365"/>
        <v/>
      </c>
      <c r="AG3490" t="str">
        <f t="shared" si="366"/>
        <v/>
      </c>
      <c r="AN3490" t="str">
        <f t="shared" si="362"/>
        <v>Defensive</v>
      </c>
    </row>
    <row r="3491" spans="2:40" x14ac:dyDescent="0.2">
      <c r="B3491" t="str">
        <f t="shared" si="361"/>
        <v/>
      </c>
      <c r="U3491" s="8">
        <f t="shared" si="364"/>
        <v>2</v>
      </c>
      <c r="AD3491" t="str">
        <f t="shared" si="363"/>
        <v>o</v>
      </c>
      <c r="AE3491" t="str">
        <f t="shared" si="367"/>
        <v/>
      </c>
      <c r="AF3491" t="str">
        <f t="shared" si="365"/>
        <v/>
      </c>
      <c r="AG3491" t="str">
        <f t="shared" si="366"/>
        <v/>
      </c>
      <c r="AN3491" t="str">
        <f t="shared" si="362"/>
        <v>Defensive</v>
      </c>
    </row>
    <row r="3492" spans="2:40" x14ac:dyDescent="0.2">
      <c r="B3492" t="str">
        <f t="shared" si="361"/>
        <v/>
      </c>
      <c r="U3492" s="8">
        <f t="shared" si="364"/>
        <v>2</v>
      </c>
      <c r="AD3492" t="str">
        <f t="shared" si="363"/>
        <v>o</v>
      </c>
      <c r="AE3492" t="str">
        <f t="shared" si="367"/>
        <v/>
      </c>
      <c r="AF3492" t="str">
        <f t="shared" si="365"/>
        <v/>
      </c>
      <c r="AG3492" t="str">
        <f t="shared" si="366"/>
        <v/>
      </c>
      <c r="AN3492" t="str">
        <f t="shared" si="362"/>
        <v>Defensive</v>
      </c>
    </row>
    <row r="3493" spans="2:40" x14ac:dyDescent="0.2">
      <c r="B3493" t="str">
        <f t="shared" si="361"/>
        <v/>
      </c>
      <c r="U3493" s="8">
        <f t="shared" si="364"/>
        <v>2</v>
      </c>
      <c r="AD3493" t="str">
        <f t="shared" si="363"/>
        <v>o</v>
      </c>
      <c r="AE3493" t="str">
        <f t="shared" si="367"/>
        <v/>
      </c>
      <c r="AF3493" t="str">
        <f t="shared" si="365"/>
        <v/>
      </c>
      <c r="AG3493" t="str">
        <f t="shared" si="366"/>
        <v/>
      </c>
      <c r="AN3493" t="str">
        <f t="shared" si="362"/>
        <v>Defensive</v>
      </c>
    </row>
    <row r="3494" spans="2:40" x14ac:dyDescent="0.2">
      <c r="B3494" t="str">
        <f t="shared" si="361"/>
        <v/>
      </c>
      <c r="U3494" s="8">
        <f t="shared" si="364"/>
        <v>2</v>
      </c>
      <c r="AD3494" t="str">
        <f t="shared" si="363"/>
        <v>o</v>
      </c>
      <c r="AE3494" t="str">
        <f t="shared" si="367"/>
        <v/>
      </c>
      <c r="AF3494" t="str">
        <f t="shared" si="365"/>
        <v/>
      </c>
      <c r="AG3494" t="str">
        <f t="shared" si="366"/>
        <v/>
      </c>
      <c r="AN3494" t="str">
        <f t="shared" si="362"/>
        <v>Defensive</v>
      </c>
    </row>
    <row r="3495" spans="2:40" x14ac:dyDescent="0.2">
      <c r="B3495" t="str">
        <f t="shared" si="361"/>
        <v/>
      </c>
      <c r="U3495" s="8">
        <f t="shared" si="364"/>
        <v>2</v>
      </c>
      <c r="AD3495" t="str">
        <f t="shared" si="363"/>
        <v>o</v>
      </c>
      <c r="AE3495" t="str">
        <f t="shared" si="367"/>
        <v/>
      </c>
      <c r="AF3495" t="str">
        <f t="shared" si="365"/>
        <v/>
      </c>
      <c r="AG3495" t="str">
        <f t="shared" si="366"/>
        <v/>
      </c>
      <c r="AN3495" t="str">
        <f t="shared" si="362"/>
        <v>Defensive</v>
      </c>
    </row>
    <row r="3496" spans="2:40" x14ac:dyDescent="0.2">
      <c r="B3496" t="str">
        <f t="shared" si="361"/>
        <v/>
      </c>
      <c r="U3496" s="8">
        <f t="shared" si="364"/>
        <v>2</v>
      </c>
      <c r="AD3496" t="str">
        <f t="shared" si="363"/>
        <v>o</v>
      </c>
      <c r="AE3496" t="str">
        <f t="shared" si="367"/>
        <v/>
      </c>
      <c r="AF3496" t="str">
        <f t="shared" si="365"/>
        <v/>
      </c>
      <c r="AG3496" t="str">
        <f t="shared" si="366"/>
        <v/>
      </c>
      <c r="AN3496" t="str">
        <f t="shared" si="362"/>
        <v>Defensive</v>
      </c>
    </row>
    <row r="3497" spans="2:40" x14ac:dyDescent="0.2">
      <c r="B3497" t="str">
        <f t="shared" si="361"/>
        <v/>
      </c>
      <c r="U3497" s="8">
        <f t="shared" si="364"/>
        <v>2</v>
      </c>
      <c r="AD3497" t="str">
        <f t="shared" si="363"/>
        <v>o</v>
      </c>
      <c r="AE3497" t="str">
        <f t="shared" si="367"/>
        <v/>
      </c>
      <c r="AF3497" t="str">
        <f t="shared" si="365"/>
        <v/>
      </c>
      <c r="AG3497" t="str">
        <f t="shared" si="366"/>
        <v/>
      </c>
      <c r="AN3497" t="str">
        <f t="shared" si="362"/>
        <v>Defensive</v>
      </c>
    </row>
    <row r="3498" spans="2:40" x14ac:dyDescent="0.2">
      <c r="B3498" t="str">
        <f t="shared" si="361"/>
        <v/>
      </c>
      <c r="U3498" s="8">
        <f t="shared" si="364"/>
        <v>2</v>
      </c>
      <c r="AD3498" t="str">
        <f t="shared" si="363"/>
        <v>o</v>
      </c>
      <c r="AE3498" t="str">
        <f t="shared" si="367"/>
        <v/>
      </c>
      <c r="AF3498" t="str">
        <f t="shared" si="365"/>
        <v/>
      </c>
      <c r="AG3498" t="str">
        <f t="shared" si="366"/>
        <v/>
      </c>
      <c r="AN3498" t="str">
        <f t="shared" si="362"/>
        <v>Defensive</v>
      </c>
    </row>
    <row r="3499" spans="2:40" x14ac:dyDescent="0.2">
      <c r="B3499" t="str">
        <f t="shared" si="361"/>
        <v/>
      </c>
      <c r="U3499" s="8">
        <f t="shared" si="364"/>
        <v>2</v>
      </c>
      <c r="AD3499" t="str">
        <f t="shared" si="363"/>
        <v>o</v>
      </c>
      <c r="AE3499" t="str">
        <f t="shared" si="367"/>
        <v/>
      </c>
      <c r="AF3499" t="str">
        <f t="shared" si="365"/>
        <v/>
      </c>
      <c r="AG3499" t="str">
        <f t="shared" si="366"/>
        <v/>
      </c>
      <c r="AN3499" t="str">
        <f t="shared" si="362"/>
        <v>Defensive</v>
      </c>
    </row>
    <row r="3500" spans="2:40" x14ac:dyDescent="0.2">
      <c r="B3500" t="str">
        <f t="shared" si="361"/>
        <v/>
      </c>
      <c r="U3500" s="8">
        <f t="shared" si="364"/>
        <v>2</v>
      </c>
      <c r="AD3500" t="str">
        <f t="shared" si="363"/>
        <v>o</v>
      </c>
      <c r="AE3500" t="str">
        <f t="shared" si="367"/>
        <v/>
      </c>
      <c r="AF3500" t="str">
        <f t="shared" si="365"/>
        <v/>
      </c>
      <c r="AG3500" t="str">
        <f t="shared" si="366"/>
        <v/>
      </c>
      <c r="AN3500" t="str">
        <f t="shared" si="362"/>
        <v>Defensive</v>
      </c>
    </row>
    <row r="3501" spans="2:40" x14ac:dyDescent="0.2">
      <c r="B3501" t="str">
        <f t="shared" si="361"/>
        <v/>
      </c>
      <c r="U3501" s="8">
        <f t="shared" si="364"/>
        <v>2</v>
      </c>
      <c r="AD3501" t="str">
        <f t="shared" si="363"/>
        <v>o</v>
      </c>
      <c r="AE3501" t="str">
        <f t="shared" si="367"/>
        <v/>
      </c>
      <c r="AF3501" t="str">
        <f t="shared" si="365"/>
        <v/>
      </c>
      <c r="AG3501" t="str">
        <f t="shared" si="366"/>
        <v/>
      </c>
      <c r="AN3501" t="str">
        <f t="shared" si="362"/>
        <v>Defensive</v>
      </c>
    </row>
    <row r="3502" spans="2:40" x14ac:dyDescent="0.2">
      <c r="B3502" t="str">
        <f t="shared" si="361"/>
        <v/>
      </c>
      <c r="U3502" s="8">
        <f t="shared" si="364"/>
        <v>2</v>
      </c>
      <c r="AD3502" t="str">
        <f t="shared" si="363"/>
        <v>o</v>
      </c>
      <c r="AE3502" t="str">
        <f t="shared" si="367"/>
        <v/>
      </c>
      <c r="AF3502" t="str">
        <f t="shared" si="365"/>
        <v/>
      </c>
      <c r="AG3502" t="str">
        <f t="shared" si="366"/>
        <v/>
      </c>
      <c r="AN3502" t="str">
        <f t="shared" si="362"/>
        <v>Defensive</v>
      </c>
    </row>
    <row r="3503" spans="2:40" x14ac:dyDescent="0.2">
      <c r="B3503" t="str">
        <f t="shared" si="361"/>
        <v/>
      </c>
      <c r="U3503" s="8">
        <f t="shared" si="364"/>
        <v>2</v>
      </c>
      <c r="AD3503" t="str">
        <f t="shared" si="363"/>
        <v>o</v>
      </c>
      <c r="AE3503" t="str">
        <f t="shared" si="367"/>
        <v/>
      </c>
      <c r="AF3503" t="str">
        <f t="shared" si="365"/>
        <v/>
      </c>
      <c r="AG3503" t="str">
        <f t="shared" si="366"/>
        <v/>
      </c>
      <c r="AN3503" t="str">
        <f t="shared" si="362"/>
        <v>Defensive</v>
      </c>
    </row>
    <row r="3504" spans="2:40" x14ac:dyDescent="0.2">
      <c r="B3504" t="str">
        <f t="shared" ref="B3504:B3567" si="368">IF(A3504=A3503,B3503,"")</f>
        <v/>
      </c>
      <c r="U3504" s="8">
        <f t="shared" si="364"/>
        <v>2</v>
      </c>
      <c r="AD3504" t="str">
        <f t="shared" si="363"/>
        <v>o</v>
      </c>
      <c r="AE3504" t="str">
        <f t="shared" si="367"/>
        <v/>
      </c>
      <c r="AF3504" t="str">
        <f t="shared" si="365"/>
        <v/>
      </c>
      <c r="AG3504" t="str">
        <f t="shared" si="366"/>
        <v/>
      </c>
      <c r="AN3504" t="str">
        <f t="shared" si="362"/>
        <v>Defensive</v>
      </c>
    </row>
    <row r="3505" spans="2:40" x14ac:dyDescent="0.2">
      <c r="B3505" t="str">
        <f t="shared" si="368"/>
        <v/>
      </c>
      <c r="U3505" s="8">
        <f t="shared" si="364"/>
        <v>2</v>
      </c>
      <c r="AD3505" t="str">
        <f t="shared" si="363"/>
        <v>o</v>
      </c>
      <c r="AE3505" t="str">
        <f t="shared" si="367"/>
        <v/>
      </c>
      <c r="AF3505" t="str">
        <f t="shared" si="365"/>
        <v/>
      </c>
      <c r="AG3505" t="str">
        <f t="shared" si="366"/>
        <v/>
      </c>
      <c r="AN3505" t="str">
        <f t="shared" si="362"/>
        <v>Defensive</v>
      </c>
    </row>
    <row r="3506" spans="2:40" x14ac:dyDescent="0.2">
      <c r="B3506" t="str">
        <f t="shared" si="368"/>
        <v/>
      </c>
      <c r="U3506" s="8">
        <f t="shared" si="364"/>
        <v>2</v>
      </c>
      <c r="AD3506" t="str">
        <f t="shared" si="363"/>
        <v>o</v>
      </c>
      <c r="AE3506" t="str">
        <f t="shared" si="367"/>
        <v/>
      </c>
      <c r="AF3506" t="str">
        <f t="shared" si="365"/>
        <v/>
      </c>
      <c r="AG3506" t="str">
        <f t="shared" si="366"/>
        <v/>
      </c>
      <c r="AN3506" t="str">
        <f t="shared" si="362"/>
        <v>Defensive</v>
      </c>
    </row>
    <row r="3507" spans="2:40" x14ac:dyDescent="0.2">
      <c r="B3507" t="str">
        <f t="shared" si="368"/>
        <v/>
      </c>
      <c r="U3507" s="8">
        <f t="shared" si="364"/>
        <v>2</v>
      </c>
      <c r="AD3507" t="str">
        <f t="shared" si="363"/>
        <v>o</v>
      </c>
      <c r="AE3507" t="str">
        <f t="shared" si="367"/>
        <v/>
      </c>
      <c r="AF3507" t="str">
        <f t="shared" si="365"/>
        <v/>
      </c>
      <c r="AG3507" t="str">
        <f t="shared" si="366"/>
        <v/>
      </c>
      <c r="AN3507" t="str">
        <f t="shared" si="362"/>
        <v>Defensive</v>
      </c>
    </row>
    <row r="3508" spans="2:40" x14ac:dyDescent="0.2">
      <c r="B3508" t="str">
        <f t="shared" si="368"/>
        <v/>
      </c>
      <c r="U3508" s="8">
        <f t="shared" si="364"/>
        <v>2</v>
      </c>
      <c r="AD3508" t="str">
        <f t="shared" si="363"/>
        <v>o</v>
      </c>
      <c r="AE3508" t="str">
        <f t="shared" si="367"/>
        <v/>
      </c>
      <c r="AF3508" t="str">
        <f t="shared" si="365"/>
        <v/>
      </c>
      <c r="AG3508" t="str">
        <f t="shared" si="366"/>
        <v/>
      </c>
      <c r="AN3508" t="str">
        <f t="shared" si="362"/>
        <v>Defensive</v>
      </c>
    </row>
    <row r="3509" spans="2:40" x14ac:dyDescent="0.2">
      <c r="B3509" t="str">
        <f t="shared" si="368"/>
        <v/>
      </c>
      <c r="U3509" s="8">
        <f t="shared" si="364"/>
        <v>2</v>
      </c>
      <c r="AD3509" t="str">
        <f t="shared" si="363"/>
        <v>o</v>
      </c>
      <c r="AE3509" t="str">
        <f t="shared" si="367"/>
        <v/>
      </c>
      <c r="AF3509" t="str">
        <f t="shared" si="365"/>
        <v/>
      </c>
      <c r="AG3509" t="str">
        <f t="shared" si="366"/>
        <v/>
      </c>
      <c r="AN3509" t="str">
        <f t="shared" si="362"/>
        <v>Defensive</v>
      </c>
    </row>
    <row r="3510" spans="2:40" x14ac:dyDescent="0.2">
      <c r="B3510" t="str">
        <f t="shared" si="368"/>
        <v/>
      </c>
      <c r="U3510" s="8">
        <f t="shared" si="364"/>
        <v>2</v>
      </c>
      <c r="AD3510" t="str">
        <f t="shared" si="363"/>
        <v>o</v>
      </c>
      <c r="AE3510" t="str">
        <f t="shared" si="367"/>
        <v/>
      </c>
      <c r="AF3510" t="str">
        <f t="shared" si="365"/>
        <v/>
      </c>
      <c r="AG3510" t="str">
        <f t="shared" si="366"/>
        <v/>
      </c>
      <c r="AN3510" t="str">
        <f t="shared" si="362"/>
        <v>Defensive</v>
      </c>
    </row>
    <row r="3511" spans="2:40" x14ac:dyDescent="0.2">
      <c r="B3511" t="str">
        <f t="shared" si="368"/>
        <v/>
      </c>
      <c r="U3511" s="8">
        <f t="shared" si="364"/>
        <v>2</v>
      </c>
      <c r="AD3511" t="str">
        <f t="shared" si="363"/>
        <v>o</v>
      </c>
      <c r="AE3511" t="str">
        <f t="shared" si="367"/>
        <v/>
      </c>
      <c r="AF3511" t="str">
        <f t="shared" si="365"/>
        <v/>
      </c>
      <c r="AG3511" t="str">
        <f t="shared" si="366"/>
        <v/>
      </c>
      <c r="AN3511" t="str">
        <f t="shared" si="362"/>
        <v>Defensive</v>
      </c>
    </row>
    <row r="3512" spans="2:40" x14ac:dyDescent="0.2">
      <c r="B3512" t="str">
        <f t="shared" si="368"/>
        <v/>
      </c>
      <c r="U3512" s="8">
        <f t="shared" si="364"/>
        <v>2</v>
      </c>
      <c r="AD3512" t="str">
        <f t="shared" si="363"/>
        <v>o</v>
      </c>
      <c r="AE3512" t="str">
        <f t="shared" si="367"/>
        <v/>
      </c>
      <c r="AF3512" t="str">
        <f t="shared" si="365"/>
        <v/>
      </c>
      <c r="AG3512" t="str">
        <f t="shared" si="366"/>
        <v/>
      </c>
      <c r="AN3512" t="str">
        <f t="shared" si="362"/>
        <v>Defensive</v>
      </c>
    </row>
    <row r="3513" spans="2:40" x14ac:dyDescent="0.2">
      <c r="B3513" t="str">
        <f t="shared" si="368"/>
        <v/>
      </c>
      <c r="U3513" s="8">
        <f t="shared" si="364"/>
        <v>2</v>
      </c>
      <c r="AD3513" t="str">
        <f t="shared" si="363"/>
        <v>o</v>
      </c>
      <c r="AE3513" t="str">
        <f t="shared" si="367"/>
        <v/>
      </c>
      <c r="AF3513" t="str">
        <f t="shared" si="365"/>
        <v/>
      </c>
      <c r="AG3513" t="str">
        <f t="shared" si="366"/>
        <v/>
      </c>
      <c r="AN3513" t="str">
        <f t="shared" ref="AN3513:AN3576" si="369">IF(AND(AD3513="e",OR(AE3513="Save",AF3513="Turnover_Takeaway",AF3513="Play_Defensive")),"Defensive",IF(AND(AD3513="o",OR(AE3513="Save",AF3513="Turnover_Takeaway",AF3513="Play_Defensive")),"Offensive",IF(OR(AE3513="Deadice",AE3513="Stoppage",AE3513="Intermission"),"",IF(AD3513="e","Offensive",IF(AD3513="o","Defensive","")))))</f>
        <v>Defensive</v>
      </c>
    </row>
    <row r="3514" spans="2:40" x14ac:dyDescent="0.2">
      <c r="B3514" t="str">
        <f t="shared" si="368"/>
        <v/>
      </c>
      <c r="U3514" s="8">
        <f t="shared" si="364"/>
        <v>2</v>
      </c>
      <c r="AD3514" t="str">
        <f t="shared" si="363"/>
        <v>o</v>
      </c>
      <c r="AE3514" t="str">
        <f t="shared" si="367"/>
        <v/>
      </c>
      <c r="AF3514" t="str">
        <f t="shared" si="365"/>
        <v/>
      </c>
      <c r="AG3514" t="str">
        <f t="shared" si="366"/>
        <v/>
      </c>
      <c r="AN3514" t="str">
        <f t="shared" si="369"/>
        <v>Defensive</v>
      </c>
    </row>
    <row r="3515" spans="2:40" x14ac:dyDescent="0.2">
      <c r="B3515" t="str">
        <f t="shared" si="368"/>
        <v/>
      </c>
      <c r="U3515" s="8">
        <f t="shared" si="364"/>
        <v>2</v>
      </c>
      <c r="AD3515" t="str">
        <f t="shared" si="363"/>
        <v>o</v>
      </c>
      <c r="AE3515" t="str">
        <f t="shared" si="367"/>
        <v/>
      </c>
      <c r="AF3515" t="str">
        <f t="shared" si="365"/>
        <v/>
      </c>
      <c r="AG3515" t="str">
        <f t="shared" si="366"/>
        <v/>
      </c>
      <c r="AN3515" t="str">
        <f t="shared" si="369"/>
        <v>Defensive</v>
      </c>
    </row>
    <row r="3516" spans="2:40" x14ac:dyDescent="0.2">
      <c r="B3516" t="str">
        <f t="shared" si="368"/>
        <v/>
      </c>
      <c r="U3516" s="8">
        <f t="shared" si="364"/>
        <v>2</v>
      </c>
      <c r="AD3516" t="str">
        <f t="shared" si="363"/>
        <v>o</v>
      </c>
      <c r="AE3516" t="str">
        <f t="shared" si="367"/>
        <v/>
      </c>
      <c r="AF3516" t="str">
        <f t="shared" si="365"/>
        <v/>
      </c>
      <c r="AG3516" t="str">
        <f t="shared" si="366"/>
        <v/>
      </c>
      <c r="AN3516" t="str">
        <f t="shared" si="369"/>
        <v>Defensive</v>
      </c>
    </row>
    <row r="3517" spans="2:40" x14ac:dyDescent="0.2">
      <c r="B3517" t="str">
        <f t="shared" si="368"/>
        <v/>
      </c>
      <c r="U3517" s="8">
        <f t="shared" si="364"/>
        <v>2</v>
      </c>
      <c r="AD3517" t="str">
        <f t="shared" si="363"/>
        <v>o</v>
      </c>
      <c r="AE3517" t="str">
        <f t="shared" si="367"/>
        <v/>
      </c>
      <c r="AF3517" t="str">
        <f t="shared" si="365"/>
        <v/>
      </c>
      <c r="AG3517" t="str">
        <f t="shared" si="366"/>
        <v/>
      </c>
      <c r="AN3517" t="str">
        <f t="shared" si="369"/>
        <v>Defensive</v>
      </c>
    </row>
    <row r="3518" spans="2:40" x14ac:dyDescent="0.2">
      <c r="B3518" t="str">
        <f t="shared" si="368"/>
        <v/>
      </c>
      <c r="U3518" s="8">
        <f t="shared" si="364"/>
        <v>2</v>
      </c>
      <c r="AD3518" t="str">
        <f t="shared" si="363"/>
        <v>o</v>
      </c>
      <c r="AE3518" t="str">
        <f t="shared" si="367"/>
        <v/>
      </c>
      <c r="AF3518" t="str">
        <f t="shared" si="365"/>
        <v/>
      </c>
      <c r="AG3518" t="str">
        <f t="shared" si="366"/>
        <v/>
      </c>
      <c r="AN3518" t="str">
        <f t="shared" si="369"/>
        <v>Defensive</v>
      </c>
    </row>
    <row r="3519" spans="2:40" x14ac:dyDescent="0.2">
      <c r="B3519" t="str">
        <f t="shared" si="368"/>
        <v/>
      </c>
      <c r="U3519" s="8">
        <f t="shared" si="364"/>
        <v>2</v>
      </c>
      <c r="AD3519" t="str">
        <f t="shared" si="363"/>
        <v>o</v>
      </c>
      <c r="AE3519" t="str">
        <f t="shared" si="367"/>
        <v/>
      </c>
      <c r="AF3519" t="str">
        <f t="shared" si="365"/>
        <v/>
      </c>
      <c r="AG3519" t="str">
        <f t="shared" si="366"/>
        <v/>
      </c>
      <c r="AN3519" t="str">
        <f t="shared" si="369"/>
        <v>Defensive</v>
      </c>
    </row>
    <row r="3520" spans="2:40" x14ac:dyDescent="0.2">
      <c r="B3520" t="str">
        <f t="shared" si="368"/>
        <v/>
      </c>
      <c r="U3520" s="8">
        <f t="shared" si="364"/>
        <v>2</v>
      </c>
      <c r="AD3520" t="str">
        <f t="shared" si="363"/>
        <v>o</v>
      </c>
      <c r="AE3520" t="str">
        <f t="shared" si="367"/>
        <v/>
      </c>
      <c r="AF3520" t="str">
        <f t="shared" si="365"/>
        <v/>
      </c>
      <c r="AG3520" t="str">
        <f t="shared" si="366"/>
        <v/>
      </c>
      <c r="AN3520" t="str">
        <f t="shared" si="369"/>
        <v>Defensive</v>
      </c>
    </row>
    <row r="3521" spans="2:40" x14ac:dyDescent="0.2">
      <c r="B3521" t="str">
        <f t="shared" si="368"/>
        <v/>
      </c>
      <c r="U3521" s="8">
        <f t="shared" si="364"/>
        <v>2</v>
      </c>
      <c r="AD3521" t="str">
        <f t="shared" si="363"/>
        <v>o</v>
      </c>
      <c r="AE3521" t="str">
        <f t="shared" si="367"/>
        <v/>
      </c>
      <c r="AF3521" t="str">
        <f t="shared" si="365"/>
        <v/>
      </c>
      <c r="AG3521" t="str">
        <f t="shared" si="366"/>
        <v/>
      </c>
      <c r="AN3521" t="str">
        <f t="shared" si="369"/>
        <v>Defensive</v>
      </c>
    </row>
    <row r="3522" spans="2:40" x14ac:dyDescent="0.2">
      <c r="B3522" t="str">
        <f t="shared" si="368"/>
        <v/>
      </c>
      <c r="U3522" s="8">
        <f t="shared" si="364"/>
        <v>2</v>
      </c>
      <c r="AD3522" t="str">
        <f t="shared" ref="AD3522:AD3585" si="370">IF(K3522="x","",IF(K3522=1,"e","o"))</f>
        <v>o</v>
      </c>
      <c r="AE3522" t="str">
        <f t="shared" si="367"/>
        <v/>
      </c>
      <c r="AF3522" t="str">
        <f t="shared" si="365"/>
        <v/>
      </c>
      <c r="AG3522" t="str">
        <f t="shared" si="366"/>
        <v/>
      </c>
      <c r="AN3522" t="str">
        <f t="shared" si="369"/>
        <v>Defensive</v>
      </c>
    </row>
    <row r="3523" spans="2:40" x14ac:dyDescent="0.2">
      <c r="B3523" t="str">
        <f t="shared" si="368"/>
        <v/>
      </c>
      <c r="U3523" s="8">
        <f t="shared" ref="U3523:U3586" si="371">IF(M3523="Intermission",U3522+1,U3522)</f>
        <v>2</v>
      </c>
      <c r="AD3523" t="str">
        <f t="shared" si="370"/>
        <v>o</v>
      </c>
      <c r="AE3523" t="str">
        <f t="shared" si="367"/>
        <v/>
      </c>
      <c r="AF3523" t="str">
        <f t="shared" ref="AF3523:AF3586" si="372">IF(N3523&lt;&gt;"",N3523,IF($A3523=$A3522,AF3522,""))</f>
        <v/>
      </c>
      <c r="AG3523" t="str">
        <f t="shared" ref="AG3523:AG3586" si="373">IF(O3523&lt;&gt;"",O3523,IF($A3523=$A3522,AG3522,""))</f>
        <v/>
      </c>
      <c r="AN3523" t="str">
        <f t="shared" si="369"/>
        <v>Defensive</v>
      </c>
    </row>
    <row r="3524" spans="2:40" x14ac:dyDescent="0.2">
      <c r="B3524" t="str">
        <f t="shared" si="368"/>
        <v/>
      </c>
      <c r="U3524" s="8">
        <f t="shared" si="371"/>
        <v>2</v>
      </c>
      <c r="AD3524" t="str">
        <f t="shared" si="370"/>
        <v>o</v>
      </c>
      <c r="AE3524" t="str">
        <f t="shared" ref="AE3524:AE3587" si="374">IF(M3524&lt;&gt;"",M3524,IF($A3524=$A3523,AE3523,""))</f>
        <v/>
      </c>
      <c r="AF3524" t="str">
        <f t="shared" si="372"/>
        <v/>
      </c>
      <c r="AG3524" t="str">
        <f t="shared" si="373"/>
        <v/>
      </c>
      <c r="AN3524" t="str">
        <f t="shared" si="369"/>
        <v>Defensive</v>
      </c>
    </row>
    <row r="3525" spans="2:40" x14ac:dyDescent="0.2">
      <c r="B3525" t="str">
        <f t="shared" si="368"/>
        <v/>
      </c>
      <c r="U3525" s="8">
        <f t="shared" si="371"/>
        <v>2</v>
      </c>
      <c r="AD3525" t="str">
        <f t="shared" si="370"/>
        <v>o</v>
      </c>
      <c r="AE3525" t="str">
        <f t="shared" si="374"/>
        <v/>
      </c>
      <c r="AF3525" t="str">
        <f t="shared" si="372"/>
        <v/>
      </c>
      <c r="AG3525" t="str">
        <f t="shared" si="373"/>
        <v/>
      </c>
      <c r="AN3525" t="str">
        <f t="shared" si="369"/>
        <v>Defensive</v>
      </c>
    </row>
    <row r="3526" spans="2:40" x14ac:dyDescent="0.2">
      <c r="B3526" t="str">
        <f t="shared" si="368"/>
        <v/>
      </c>
      <c r="U3526" s="8">
        <f t="shared" si="371"/>
        <v>2</v>
      </c>
      <c r="AD3526" t="str">
        <f t="shared" si="370"/>
        <v>o</v>
      </c>
      <c r="AE3526" t="str">
        <f t="shared" si="374"/>
        <v/>
      </c>
      <c r="AF3526" t="str">
        <f t="shared" si="372"/>
        <v/>
      </c>
      <c r="AG3526" t="str">
        <f t="shared" si="373"/>
        <v/>
      </c>
      <c r="AN3526" t="str">
        <f t="shared" si="369"/>
        <v>Defensive</v>
      </c>
    </row>
    <row r="3527" spans="2:40" x14ac:dyDescent="0.2">
      <c r="B3527" t="str">
        <f t="shared" si="368"/>
        <v/>
      </c>
      <c r="U3527" s="8">
        <f t="shared" si="371"/>
        <v>2</v>
      </c>
      <c r="AD3527" t="str">
        <f t="shared" si="370"/>
        <v>o</v>
      </c>
      <c r="AE3527" t="str">
        <f t="shared" si="374"/>
        <v/>
      </c>
      <c r="AF3527" t="str">
        <f t="shared" si="372"/>
        <v/>
      </c>
      <c r="AG3527" t="str">
        <f t="shared" si="373"/>
        <v/>
      </c>
      <c r="AN3527" t="str">
        <f t="shared" si="369"/>
        <v>Defensive</v>
      </c>
    </row>
    <row r="3528" spans="2:40" x14ac:dyDescent="0.2">
      <c r="B3528" t="str">
        <f t="shared" si="368"/>
        <v/>
      </c>
      <c r="U3528" s="8">
        <f t="shared" si="371"/>
        <v>2</v>
      </c>
      <c r="AD3528" t="str">
        <f t="shared" si="370"/>
        <v>o</v>
      </c>
      <c r="AE3528" t="str">
        <f t="shared" si="374"/>
        <v/>
      </c>
      <c r="AF3528" t="str">
        <f t="shared" si="372"/>
        <v/>
      </c>
      <c r="AG3528" t="str">
        <f t="shared" si="373"/>
        <v/>
      </c>
      <c r="AN3528" t="str">
        <f t="shared" si="369"/>
        <v>Defensive</v>
      </c>
    </row>
    <row r="3529" spans="2:40" x14ac:dyDescent="0.2">
      <c r="B3529" t="str">
        <f t="shared" si="368"/>
        <v/>
      </c>
      <c r="U3529" s="8">
        <f t="shared" si="371"/>
        <v>2</v>
      </c>
      <c r="AD3529" t="str">
        <f t="shared" si="370"/>
        <v>o</v>
      </c>
      <c r="AE3529" t="str">
        <f t="shared" si="374"/>
        <v/>
      </c>
      <c r="AF3529" t="str">
        <f t="shared" si="372"/>
        <v/>
      </c>
      <c r="AG3529" t="str">
        <f t="shared" si="373"/>
        <v/>
      </c>
      <c r="AN3529" t="str">
        <f t="shared" si="369"/>
        <v>Defensive</v>
      </c>
    </row>
    <row r="3530" spans="2:40" x14ac:dyDescent="0.2">
      <c r="B3530" t="str">
        <f t="shared" si="368"/>
        <v/>
      </c>
      <c r="U3530" s="8">
        <f t="shared" si="371"/>
        <v>2</v>
      </c>
      <c r="AD3530" t="str">
        <f t="shared" si="370"/>
        <v>o</v>
      </c>
      <c r="AE3530" t="str">
        <f t="shared" si="374"/>
        <v/>
      </c>
      <c r="AF3530" t="str">
        <f t="shared" si="372"/>
        <v/>
      </c>
      <c r="AG3530" t="str">
        <f t="shared" si="373"/>
        <v/>
      </c>
      <c r="AN3530" t="str">
        <f t="shared" si="369"/>
        <v>Defensive</v>
      </c>
    </row>
    <row r="3531" spans="2:40" x14ac:dyDescent="0.2">
      <c r="B3531" t="str">
        <f t="shared" si="368"/>
        <v/>
      </c>
      <c r="U3531" s="8">
        <f t="shared" si="371"/>
        <v>2</v>
      </c>
      <c r="AD3531" t="str">
        <f t="shared" si="370"/>
        <v>o</v>
      </c>
      <c r="AE3531" t="str">
        <f t="shared" si="374"/>
        <v/>
      </c>
      <c r="AF3531" t="str">
        <f t="shared" si="372"/>
        <v/>
      </c>
      <c r="AG3531" t="str">
        <f t="shared" si="373"/>
        <v/>
      </c>
      <c r="AN3531" t="str">
        <f t="shared" si="369"/>
        <v>Defensive</v>
      </c>
    </row>
    <row r="3532" spans="2:40" x14ac:dyDescent="0.2">
      <c r="B3532" t="str">
        <f t="shared" si="368"/>
        <v/>
      </c>
      <c r="U3532" s="8">
        <f t="shared" si="371"/>
        <v>2</v>
      </c>
      <c r="AD3532" t="str">
        <f t="shared" si="370"/>
        <v>o</v>
      </c>
      <c r="AE3532" t="str">
        <f t="shared" si="374"/>
        <v/>
      </c>
      <c r="AF3532" t="str">
        <f t="shared" si="372"/>
        <v/>
      </c>
      <c r="AG3532" t="str">
        <f t="shared" si="373"/>
        <v/>
      </c>
      <c r="AN3532" t="str">
        <f t="shared" si="369"/>
        <v>Defensive</v>
      </c>
    </row>
    <row r="3533" spans="2:40" x14ac:dyDescent="0.2">
      <c r="B3533" t="str">
        <f t="shared" si="368"/>
        <v/>
      </c>
      <c r="U3533" s="8">
        <f t="shared" si="371"/>
        <v>2</v>
      </c>
      <c r="AD3533" t="str">
        <f t="shared" si="370"/>
        <v>o</v>
      </c>
      <c r="AE3533" t="str">
        <f t="shared" si="374"/>
        <v/>
      </c>
      <c r="AF3533" t="str">
        <f t="shared" si="372"/>
        <v/>
      </c>
      <c r="AG3533" t="str">
        <f t="shared" si="373"/>
        <v/>
      </c>
      <c r="AN3533" t="str">
        <f t="shared" si="369"/>
        <v>Defensive</v>
      </c>
    </row>
    <row r="3534" spans="2:40" x14ac:dyDescent="0.2">
      <c r="B3534" t="str">
        <f t="shared" si="368"/>
        <v/>
      </c>
      <c r="U3534" s="8">
        <f t="shared" si="371"/>
        <v>2</v>
      </c>
      <c r="AD3534" t="str">
        <f t="shared" si="370"/>
        <v>o</v>
      </c>
      <c r="AE3534" t="str">
        <f t="shared" si="374"/>
        <v/>
      </c>
      <c r="AF3534" t="str">
        <f t="shared" si="372"/>
        <v/>
      </c>
      <c r="AG3534" t="str">
        <f t="shared" si="373"/>
        <v/>
      </c>
      <c r="AN3534" t="str">
        <f t="shared" si="369"/>
        <v>Defensive</v>
      </c>
    </row>
    <row r="3535" spans="2:40" x14ac:dyDescent="0.2">
      <c r="B3535" t="str">
        <f t="shared" si="368"/>
        <v/>
      </c>
      <c r="U3535" s="8">
        <f t="shared" si="371"/>
        <v>2</v>
      </c>
      <c r="AD3535" t="str">
        <f t="shared" si="370"/>
        <v>o</v>
      </c>
      <c r="AE3535" t="str">
        <f t="shared" si="374"/>
        <v/>
      </c>
      <c r="AF3535" t="str">
        <f t="shared" si="372"/>
        <v/>
      </c>
      <c r="AG3535" t="str">
        <f t="shared" si="373"/>
        <v/>
      </c>
      <c r="AN3535" t="str">
        <f t="shared" si="369"/>
        <v>Defensive</v>
      </c>
    </row>
    <row r="3536" spans="2:40" x14ac:dyDescent="0.2">
      <c r="B3536" t="str">
        <f t="shared" si="368"/>
        <v/>
      </c>
      <c r="U3536" s="8">
        <f t="shared" si="371"/>
        <v>2</v>
      </c>
      <c r="AD3536" t="str">
        <f t="shared" si="370"/>
        <v>o</v>
      </c>
      <c r="AE3536" t="str">
        <f t="shared" si="374"/>
        <v/>
      </c>
      <c r="AF3536" t="str">
        <f t="shared" si="372"/>
        <v/>
      </c>
      <c r="AG3536" t="str">
        <f t="shared" si="373"/>
        <v/>
      </c>
      <c r="AN3536" t="str">
        <f t="shared" si="369"/>
        <v>Defensive</v>
      </c>
    </row>
    <row r="3537" spans="2:40" x14ac:dyDescent="0.2">
      <c r="B3537" t="str">
        <f t="shared" si="368"/>
        <v/>
      </c>
      <c r="U3537" s="8">
        <f t="shared" si="371"/>
        <v>2</v>
      </c>
      <c r="AD3537" t="str">
        <f t="shared" si="370"/>
        <v>o</v>
      </c>
      <c r="AE3537" t="str">
        <f t="shared" si="374"/>
        <v/>
      </c>
      <c r="AF3537" t="str">
        <f t="shared" si="372"/>
        <v/>
      </c>
      <c r="AG3537" t="str">
        <f t="shared" si="373"/>
        <v/>
      </c>
      <c r="AN3537" t="str">
        <f t="shared" si="369"/>
        <v>Defensive</v>
      </c>
    </row>
    <row r="3538" spans="2:40" x14ac:dyDescent="0.2">
      <c r="B3538" t="str">
        <f t="shared" si="368"/>
        <v/>
      </c>
      <c r="U3538" s="8">
        <f t="shared" si="371"/>
        <v>2</v>
      </c>
      <c r="AD3538" t="str">
        <f t="shared" si="370"/>
        <v>o</v>
      </c>
      <c r="AE3538" t="str">
        <f t="shared" si="374"/>
        <v/>
      </c>
      <c r="AF3538" t="str">
        <f t="shared" si="372"/>
        <v/>
      </c>
      <c r="AG3538" t="str">
        <f t="shared" si="373"/>
        <v/>
      </c>
      <c r="AN3538" t="str">
        <f t="shared" si="369"/>
        <v>Defensive</v>
      </c>
    </row>
    <row r="3539" spans="2:40" x14ac:dyDescent="0.2">
      <c r="B3539" t="str">
        <f t="shared" si="368"/>
        <v/>
      </c>
      <c r="U3539" s="8">
        <f t="shared" si="371"/>
        <v>2</v>
      </c>
      <c r="AD3539" t="str">
        <f t="shared" si="370"/>
        <v>o</v>
      </c>
      <c r="AE3539" t="str">
        <f t="shared" si="374"/>
        <v/>
      </c>
      <c r="AF3539" t="str">
        <f t="shared" si="372"/>
        <v/>
      </c>
      <c r="AG3539" t="str">
        <f t="shared" si="373"/>
        <v/>
      </c>
      <c r="AN3539" t="str">
        <f t="shared" si="369"/>
        <v>Defensive</v>
      </c>
    </row>
    <row r="3540" spans="2:40" x14ac:dyDescent="0.2">
      <c r="B3540" t="str">
        <f t="shared" si="368"/>
        <v/>
      </c>
      <c r="U3540" s="8">
        <f t="shared" si="371"/>
        <v>2</v>
      </c>
      <c r="AD3540" t="str">
        <f t="shared" si="370"/>
        <v>o</v>
      </c>
      <c r="AE3540" t="str">
        <f t="shared" si="374"/>
        <v/>
      </c>
      <c r="AF3540" t="str">
        <f t="shared" si="372"/>
        <v/>
      </c>
      <c r="AG3540" t="str">
        <f t="shared" si="373"/>
        <v/>
      </c>
      <c r="AN3540" t="str">
        <f t="shared" si="369"/>
        <v>Defensive</v>
      </c>
    </row>
    <row r="3541" spans="2:40" x14ac:dyDescent="0.2">
      <c r="B3541" t="str">
        <f t="shared" si="368"/>
        <v/>
      </c>
      <c r="U3541" s="8">
        <f t="shared" si="371"/>
        <v>2</v>
      </c>
      <c r="AD3541" t="str">
        <f t="shared" si="370"/>
        <v>o</v>
      </c>
      <c r="AE3541" t="str">
        <f t="shared" si="374"/>
        <v/>
      </c>
      <c r="AF3541" t="str">
        <f t="shared" si="372"/>
        <v/>
      </c>
      <c r="AG3541" t="str">
        <f t="shared" si="373"/>
        <v/>
      </c>
      <c r="AN3541" t="str">
        <f t="shared" si="369"/>
        <v>Defensive</v>
      </c>
    </row>
    <row r="3542" spans="2:40" x14ac:dyDescent="0.2">
      <c r="B3542" t="str">
        <f t="shared" si="368"/>
        <v/>
      </c>
      <c r="U3542" s="8">
        <f t="shared" si="371"/>
        <v>2</v>
      </c>
      <c r="AD3542" t="str">
        <f t="shared" si="370"/>
        <v>o</v>
      </c>
      <c r="AE3542" t="str">
        <f t="shared" si="374"/>
        <v/>
      </c>
      <c r="AF3542" t="str">
        <f t="shared" si="372"/>
        <v/>
      </c>
      <c r="AG3542" t="str">
        <f t="shared" si="373"/>
        <v/>
      </c>
      <c r="AN3542" t="str">
        <f t="shared" si="369"/>
        <v>Defensive</v>
      </c>
    </row>
    <row r="3543" spans="2:40" x14ac:dyDescent="0.2">
      <c r="B3543" t="str">
        <f t="shared" si="368"/>
        <v/>
      </c>
      <c r="U3543" s="8">
        <f t="shared" si="371"/>
        <v>2</v>
      </c>
      <c r="AD3543" t="str">
        <f t="shared" si="370"/>
        <v>o</v>
      </c>
      <c r="AE3543" t="str">
        <f t="shared" si="374"/>
        <v/>
      </c>
      <c r="AF3543" t="str">
        <f t="shared" si="372"/>
        <v/>
      </c>
      <c r="AG3543" t="str">
        <f t="shared" si="373"/>
        <v/>
      </c>
      <c r="AN3543" t="str">
        <f t="shared" si="369"/>
        <v>Defensive</v>
      </c>
    </row>
    <row r="3544" spans="2:40" x14ac:dyDescent="0.2">
      <c r="B3544" t="str">
        <f t="shared" si="368"/>
        <v/>
      </c>
      <c r="U3544" s="8">
        <f t="shared" si="371"/>
        <v>2</v>
      </c>
      <c r="AD3544" t="str">
        <f t="shared" si="370"/>
        <v>o</v>
      </c>
      <c r="AE3544" t="str">
        <f t="shared" si="374"/>
        <v/>
      </c>
      <c r="AF3544" t="str">
        <f t="shared" si="372"/>
        <v/>
      </c>
      <c r="AG3544" t="str">
        <f t="shared" si="373"/>
        <v/>
      </c>
      <c r="AN3544" t="str">
        <f t="shared" si="369"/>
        <v>Defensive</v>
      </c>
    </row>
    <row r="3545" spans="2:40" x14ac:dyDescent="0.2">
      <c r="B3545" t="str">
        <f t="shared" si="368"/>
        <v/>
      </c>
      <c r="U3545" s="8">
        <f t="shared" si="371"/>
        <v>2</v>
      </c>
      <c r="AD3545" t="str">
        <f t="shared" si="370"/>
        <v>o</v>
      </c>
      <c r="AE3545" t="str">
        <f t="shared" si="374"/>
        <v/>
      </c>
      <c r="AF3545" t="str">
        <f t="shared" si="372"/>
        <v/>
      </c>
      <c r="AG3545" t="str">
        <f t="shared" si="373"/>
        <v/>
      </c>
      <c r="AN3545" t="str">
        <f t="shared" si="369"/>
        <v>Defensive</v>
      </c>
    </row>
    <row r="3546" spans="2:40" x14ac:dyDescent="0.2">
      <c r="B3546" t="str">
        <f t="shared" si="368"/>
        <v/>
      </c>
      <c r="U3546" s="8">
        <f t="shared" si="371"/>
        <v>2</v>
      </c>
      <c r="AD3546" t="str">
        <f t="shared" si="370"/>
        <v>o</v>
      </c>
      <c r="AE3546" t="str">
        <f t="shared" si="374"/>
        <v/>
      </c>
      <c r="AF3546" t="str">
        <f t="shared" si="372"/>
        <v/>
      </c>
      <c r="AG3546" t="str">
        <f t="shared" si="373"/>
        <v/>
      </c>
      <c r="AN3546" t="str">
        <f t="shared" si="369"/>
        <v>Defensive</v>
      </c>
    </row>
    <row r="3547" spans="2:40" x14ac:dyDescent="0.2">
      <c r="B3547" t="str">
        <f t="shared" si="368"/>
        <v/>
      </c>
      <c r="U3547" s="8">
        <f t="shared" si="371"/>
        <v>2</v>
      </c>
      <c r="AD3547" t="str">
        <f t="shared" si="370"/>
        <v>o</v>
      </c>
      <c r="AE3547" t="str">
        <f t="shared" si="374"/>
        <v/>
      </c>
      <c r="AF3547" t="str">
        <f t="shared" si="372"/>
        <v/>
      </c>
      <c r="AG3547" t="str">
        <f t="shared" si="373"/>
        <v/>
      </c>
      <c r="AN3547" t="str">
        <f t="shared" si="369"/>
        <v>Defensive</v>
      </c>
    </row>
    <row r="3548" spans="2:40" x14ac:dyDescent="0.2">
      <c r="B3548" t="str">
        <f t="shared" si="368"/>
        <v/>
      </c>
      <c r="U3548" s="8">
        <f t="shared" si="371"/>
        <v>2</v>
      </c>
      <c r="AD3548" t="str">
        <f t="shared" si="370"/>
        <v>o</v>
      </c>
      <c r="AE3548" t="str">
        <f t="shared" si="374"/>
        <v/>
      </c>
      <c r="AF3548" t="str">
        <f t="shared" si="372"/>
        <v/>
      </c>
      <c r="AG3548" t="str">
        <f t="shared" si="373"/>
        <v/>
      </c>
      <c r="AN3548" t="str">
        <f t="shared" si="369"/>
        <v>Defensive</v>
      </c>
    </row>
    <row r="3549" spans="2:40" x14ac:dyDescent="0.2">
      <c r="B3549" t="str">
        <f t="shared" si="368"/>
        <v/>
      </c>
      <c r="U3549" s="8">
        <f t="shared" si="371"/>
        <v>2</v>
      </c>
      <c r="AD3549" t="str">
        <f t="shared" si="370"/>
        <v>o</v>
      </c>
      <c r="AE3549" t="str">
        <f t="shared" si="374"/>
        <v/>
      </c>
      <c r="AF3549" t="str">
        <f t="shared" si="372"/>
        <v/>
      </c>
      <c r="AG3549" t="str">
        <f t="shared" si="373"/>
        <v/>
      </c>
      <c r="AN3549" t="str">
        <f t="shared" si="369"/>
        <v>Defensive</v>
      </c>
    </row>
    <row r="3550" spans="2:40" x14ac:dyDescent="0.2">
      <c r="B3550" t="str">
        <f t="shared" si="368"/>
        <v/>
      </c>
      <c r="U3550" s="8">
        <f t="shared" si="371"/>
        <v>2</v>
      </c>
      <c r="AD3550" t="str">
        <f t="shared" si="370"/>
        <v>o</v>
      </c>
      <c r="AE3550" t="str">
        <f t="shared" si="374"/>
        <v/>
      </c>
      <c r="AF3550" t="str">
        <f t="shared" si="372"/>
        <v/>
      </c>
      <c r="AG3550" t="str">
        <f t="shared" si="373"/>
        <v/>
      </c>
      <c r="AN3550" t="str">
        <f t="shared" si="369"/>
        <v>Defensive</v>
      </c>
    </row>
    <row r="3551" spans="2:40" x14ac:dyDescent="0.2">
      <c r="B3551" t="str">
        <f t="shared" si="368"/>
        <v/>
      </c>
      <c r="U3551" s="8">
        <f t="shared" si="371"/>
        <v>2</v>
      </c>
      <c r="AD3551" t="str">
        <f t="shared" si="370"/>
        <v>o</v>
      </c>
      <c r="AE3551" t="str">
        <f t="shared" si="374"/>
        <v/>
      </c>
      <c r="AF3551" t="str">
        <f t="shared" si="372"/>
        <v/>
      </c>
      <c r="AG3551" t="str">
        <f t="shared" si="373"/>
        <v/>
      </c>
      <c r="AN3551" t="str">
        <f t="shared" si="369"/>
        <v>Defensive</v>
      </c>
    </row>
    <row r="3552" spans="2:40" x14ac:dyDescent="0.2">
      <c r="B3552" t="str">
        <f t="shared" si="368"/>
        <v/>
      </c>
      <c r="U3552" s="8">
        <f t="shared" si="371"/>
        <v>2</v>
      </c>
      <c r="AD3552" t="str">
        <f t="shared" si="370"/>
        <v>o</v>
      </c>
      <c r="AE3552" t="str">
        <f t="shared" si="374"/>
        <v/>
      </c>
      <c r="AF3552" t="str">
        <f t="shared" si="372"/>
        <v/>
      </c>
      <c r="AG3552" t="str">
        <f t="shared" si="373"/>
        <v/>
      </c>
      <c r="AN3552" t="str">
        <f t="shared" si="369"/>
        <v>Defensive</v>
      </c>
    </row>
    <row r="3553" spans="2:40" x14ac:dyDescent="0.2">
      <c r="B3553" t="str">
        <f t="shared" si="368"/>
        <v/>
      </c>
      <c r="U3553" s="8">
        <f t="shared" si="371"/>
        <v>2</v>
      </c>
      <c r="AD3553" t="str">
        <f t="shared" si="370"/>
        <v>o</v>
      </c>
      <c r="AE3553" t="str">
        <f t="shared" si="374"/>
        <v/>
      </c>
      <c r="AF3553" t="str">
        <f t="shared" si="372"/>
        <v/>
      </c>
      <c r="AG3553" t="str">
        <f t="shared" si="373"/>
        <v/>
      </c>
      <c r="AN3553" t="str">
        <f t="shared" si="369"/>
        <v>Defensive</v>
      </c>
    </row>
    <row r="3554" spans="2:40" x14ac:dyDescent="0.2">
      <c r="B3554" t="str">
        <f t="shared" si="368"/>
        <v/>
      </c>
      <c r="U3554" s="8">
        <f t="shared" si="371"/>
        <v>2</v>
      </c>
      <c r="AD3554" t="str">
        <f t="shared" si="370"/>
        <v>o</v>
      </c>
      <c r="AE3554" t="str">
        <f t="shared" si="374"/>
        <v/>
      </c>
      <c r="AF3554" t="str">
        <f t="shared" si="372"/>
        <v/>
      </c>
      <c r="AG3554" t="str">
        <f t="shared" si="373"/>
        <v/>
      </c>
      <c r="AN3554" t="str">
        <f t="shared" si="369"/>
        <v>Defensive</v>
      </c>
    </row>
    <row r="3555" spans="2:40" x14ac:dyDescent="0.2">
      <c r="B3555" t="str">
        <f t="shared" si="368"/>
        <v/>
      </c>
      <c r="U3555" s="8">
        <f t="shared" si="371"/>
        <v>2</v>
      </c>
      <c r="AD3555" t="str">
        <f t="shared" si="370"/>
        <v>o</v>
      </c>
      <c r="AE3555" t="str">
        <f t="shared" si="374"/>
        <v/>
      </c>
      <c r="AF3555" t="str">
        <f t="shared" si="372"/>
        <v/>
      </c>
      <c r="AG3555" t="str">
        <f t="shared" si="373"/>
        <v/>
      </c>
      <c r="AN3555" t="str">
        <f t="shared" si="369"/>
        <v>Defensive</v>
      </c>
    </row>
    <row r="3556" spans="2:40" x14ac:dyDescent="0.2">
      <c r="B3556" t="str">
        <f t="shared" si="368"/>
        <v/>
      </c>
      <c r="U3556" s="8">
        <f t="shared" si="371"/>
        <v>2</v>
      </c>
      <c r="AD3556" t="str">
        <f t="shared" si="370"/>
        <v>o</v>
      </c>
      <c r="AE3556" t="str">
        <f t="shared" si="374"/>
        <v/>
      </c>
      <c r="AF3556" t="str">
        <f t="shared" si="372"/>
        <v/>
      </c>
      <c r="AG3556" t="str">
        <f t="shared" si="373"/>
        <v/>
      </c>
      <c r="AN3556" t="str">
        <f t="shared" si="369"/>
        <v>Defensive</v>
      </c>
    </row>
    <row r="3557" spans="2:40" x14ac:dyDescent="0.2">
      <c r="B3557" t="str">
        <f t="shared" si="368"/>
        <v/>
      </c>
      <c r="U3557" s="8">
        <f t="shared" si="371"/>
        <v>2</v>
      </c>
      <c r="AD3557" t="str">
        <f t="shared" si="370"/>
        <v>o</v>
      </c>
      <c r="AE3557" t="str">
        <f t="shared" si="374"/>
        <v/>
      </c>
      <c r="AF3557" t="str">
        <f t="shared" si="372"/>
        <v/>
      </c>
      <c r="AG3557" t="str">
        <f t="shared" si="373"/>
        <v/>
      </c>
      <c r="AN3557" t="str">
        <f t="shared" si="369"/>
        <v>Defensive</v>
      </c>
    </row>
    <row r="3558" spans="2:40" x14ac:dyDescent="0.2">
      <c r="B3558" t="str">
        <f t="shared" si="368"/>
        <v/>
      </c>
      <c r="U3558" s="8">
        <f t="shared" si="371"/>
        <v>2</v>
      </c>
      <c r="AD3558" t="str">
        <f t="shared" si="370"/>
        <v>o</v>
      </c>
      <c r="AE3558" t="str">
        <f t="shared" si="374"/>
        <v/>
      </c>
      <c r="AF3558" t="str">
        <f t="shared" si="372"/>
        <v/>
      </c>
      <c r="AG3558" t="str">
        <f t="shared" si="373"/>
        <v/>
      </c>
      <c r="AN3558" t="str">
        <f t="shared" si="369"/>
        <v>Defensive</v>
      </c>
    </row>
    <row r="3559" spans="2:40" x14ac:dyDescent="0.2">
      <c r="B3559" t="str">
        <f t="shared" si="368"/>
        <v/>
      </c>
      <c r="U3559" s="8">
        <f t="shared" si="371"/>
        <v>2</v>
      </c>
      <c r="AD3559" t="str">
        <f t="shared" si="370"/>
        <v>o</v>
      </c>
      <c r="AE3559" t="str">
        <f t="shared" si="374"/>
        <v/>
      </c>
      <c r="AF3559" t="str">
        <f t="shared" si="372"/>
        <v/>
      </c>
      <c r="AG3559" t="str">
        <f t="shared" si="373"/>
        <v/>
      </c>
      <c r="AN3559" t="str">
        <f t="shared" si="369"/>
        <v>Defensive</v>
      </c>
    </row>
    <row r="3560" spans="2:40" x14ac:dyDescent="0.2">
      <c r="B3560" t="str">
        <f t="shared" si="368"/>
        <v/>
      </c>
      <c r="U3560" s="8">
        <f t="shared" si="371"/>
        <v>2</v>
      </c>
      <c r="AD3560" t="str">
        <f t="shared" si="370"/>
        <v>o</v>
      </c>
      <c r="AE3560" t="str">
        <f t="shared" si="374"/>
        <v/>
      </c>
      <c r="AF3560" t="str">
        <f t="shared" si="372"/>
        <v/>
      </c>
      <c r="AG3560" t="str">
        <f t="shared" si="373"/>
        <v/>
      </c>
      <c r="AN3560" t="str">
        <f t="shared" si="369"/>
        <v>Defensive</v>
      </c>
    </row>
    <row r="3561" spans="2:40" x14ac:dyDescent="0.2">
      <c r="B3561" t="str">
        <f t="shared" si="368"/>
        <v/>
      </c>
      <c r="U3561" s="8">
        <f t="shared" si="371"/>
        <v>2</v>
      </c>
      <c r="AD3561" t="str">
        <f t="shared" si="370"/>
        <v>o</v>
      </c>
      <c r="AE3561" t="str">
        <f t="shared" si="374"/>
        <v/>
      </c>
      <c r="AF3561" t="str">
        <f t="shared" si="372"/>
        <v/>
      </c>
      <c r="AG3561" t="str">
        <f t="shared" si="373"/>
        <v/>
      </c>
      <c r="AN3561" t="str">
        <f t="shared" si="369"/>
        <v>Defensive</v>
      </c>
    </row>
    <row r="3562" spans="2:40" x14ac:dyDescent="0.2">
      <c r="B3562" t="str">
        <f t="shared" si="368"/>
        <v/>
      </c>
      <c r="U3562" s="8">
        <f t="shared" si="371"/>
        <v>2</v>
      </c>
      <c r="AD3562" t="str">
        <f t="shared" si="370"/>
        <v>o</v>
      </c>
      <c r="AE3562" t="str">
        <f t="shared" si="374"/>
        <v/>
      </c>
      <c r="AF3562" t="str">
        <f t="shared" si="372"/>
        <v/>
      </c>
      <c r="AG3562" t="str">
        <f t="shared" si="373"/>
        <v/>
      </c>
      <c r="AN3562" t="str">
        <f t="shared" si="369"/>
        <v>Defensive</v>
      </c>
    </row>
    <row r="3563" spans="2:40" x14ac:dyDescent="0.2">
      <c r="B3563" t="str">
        <f t="shared" si="368"/>
        <v/>
      </c>
      <c r="U3563" s="8">
        <f t="shared" si="371"/>
        <v>2</v>
      </c>
      <c r="AD3563" t="str">
        <f t="shared" si="370"/>
        <v>o</v>
      </c>
      <c r="AE3563" t="str">
        <f t="shared" si="374"/>
        <v/>
      </c>
      <c r="AF3563" t="str">
        <f t="shared" si="372"/>
        <v/>
      </c>
      <c r="AG3563" t="str">
        <f t="shared" si="373"/>
        <v/>
      </c>
      <c r="AN3563" t="str">
        <f t="shared" si="369"/>
        <v>Defensive</v>
      </c>
    </row>
    <row r="3564" spans="2:40" x14ac:dyDescent="0.2">
      <c r="B3564" t="str">
        <f t="shared" si="368"/>
        <v/>
      </c>
      <c r="U3564" s="8">
        <f t="shared" si="371"/>
        <v>2</v>
      </c>
      <c r="AD3564" t="str">
        <f t="shared" si="370"/>
        <v>o</v>
      </c>
      <c r="AE3564" t="str">
        <f t="shared" si="374"/>
        <v/>
      </c>
      <c r="AF3564" t="str">
        <f t="shared" si="372"/>
        <v/>
      </c>
      <c r="AG3564" t="str">
        <f t="shared" si="373"/>
        <v/>
      </c>
      <c r="AN3564" t="str">
        <f t="shared" si="369"/>
        <v>Defensive</v>
      </c>
    </row>
    <row r="3565" spans="2:40" x14ac:dyDescent="0.2">
      <c r="B3565" t="str">
        <f t="shared" si="368"/>
        <v/>
      </c>
      <c r="U3565" s="8">
        <f t="shared" si="371"/>
        <v>2</v>
      </c>
      <c r="AD3565" t="str">
        <f t="shared" si="370"/>
        <v>o</v>
      </c>
      <c r="AE3565" t="str">
        <f t="shared" si="374"/>
        <v/>
      </c>
      <c r="AF3565" t="str">
        <f t="shared" si="372"/>
        <v/>
      </c>
      <c r="AG3565" t="str">
        <f t="shared" si="373"/>
        <v/>
      </c>
      <c r="AN3565" t="str">
        <f t="shared" si="369"/>
        <v>Defensive</v>
      </c>
    </row>
    <row r="3566" spans="2:40" x14ac:dyDescent="0.2">
      <c r="B3566" t="str">
        <f t="shared" si="368"/>
        <v/>
      </c>
      <c r="U3566" s="8">
        <f t="shared" si="371"/>
        <v>2</v>
      </c>
      <c r="AD3566" t="str">
        <f t="shared" si="370"/>
        <v>o</v>
      </c>
      <c r="AE3566" t="str">
        <f t="shared" si="374"/>
        <v/>
      </c>
      <c r="AF3566" t="str">
        <f t="shared" si="372"/>
        <v/>
      </c>
      <c r="AG3566" t="str">
        <f t="shared" si="373"/>
        <v/>
      </c>
      <c r="AN3566" t="str">
        <f t="shared" si="369"/>
        <v>Defensive</v>
      </c>
    </row>
    <row r="3567" spans="2:40" x14ac:dyDescent="0.2">
      <c r="B3567" t="str">
        <f t="shared" si="368"/>
        <v/>
      </c>
      <c r="U3567" s="8">
        <f t="shared" si="371"/>
        <v>2</v>
      </c>
      <c r="AD3567" t="str">
        <f t="shared" si="370"/>
        <v>o</v>
      </c>
      <c r="AE3567" t="str">
        <f t="shared" si="374"/>
        <v/>
      </c>
      <c r="AF3567" t="str">
        <f t="shared" si="372"/>
        <v/>
      </c>
      <c r="AG3567" t="str">
        <f t="shared" si="373"/>
        <v/>
      </c>
      <c r="AN3567" t="str">
        <f t="shared" si="369"/>
        <v>Defensive</v>
      </c>
    </row>
    <row r="3568" spans="2:40" x14ac:dyDescent="0.2">
      <c r="B3568" t="str">
        <f t="shared" ref="B3568:B3631" si="375">IF(A3568=A3567,B3567,"")</f>
        <v/>
      </c>
      <c r="U3568" s="8">
        <f t="shared" si="371"/>
        <v>2</v>
      </c>
      <c r="AD3568" t="str">
        <f t="shared" si="370"/>
        <v>o</v>
      </c>
      <c r="AE3568" t="str">
        <f t="shared" si="374"/>
        <v/>
      </c>
      <c r="AF3568" t="str">
        <f t="shared" si="372"/>
        <v/>
      </c>
      <c r="AG3568" t="str">
        <f t="shared" si="373"/>
        <v/>
      </c>
      <c r="AN3568" t="str">
        <f t="shared" si="369"/>
        <v>Defensive</v>
      </c>
    </row>
    <row r="3569" spans="2:40" x14ac:dyDescent="0.2">
      <c r="B3569" t="str">
        <f t="shared" si="375"/>
        <v/>
      </c>
      <c r="U3569" s="8">
        <f t="shared" si="371"/>
        <v>2</v>
      </c>
      <c r="AD3569" t="str">
        <f t="shared" si="370"/>
        <v>o</v>
      </c>
      <c r="AE3569" t="str">
        <f t="shared" si="374"/>
        <v/>
      </c>
      <c r="AF3569" t="str">
        <f t="shared" si="372"/>
        <v/>
      </c>
      <c r="AG3569" t="str">
        <f t="shared" si="373"/>
        <v/>
      </c>
      <c r="AN3569" t="str">
        <f t="shared" si="369"/>
        <v>Defensive</v>
      </c>
    </row>
    <row r="3570" spans="2:40" x14ac:dyDescent="0.2">
      <c r="B3570" t="str">
        <f t="shared" si="375"/>
        <v/>
      </c>
      <c r="U3570" s="8">
        <f t="shared" si="371"/>
        <v>2</v>
      </c>
      <c r="AD3570" t="str">
        <f t="shared" si="370"/>
        <v>o</v>
      </c>
      <c r="AE3570" t="str">
        <f t="shared" si="374"/>
        <v/>
      </c>
      <c r="AF3570" t="str">
        <f t="shared" si="372"/>
        <v/>
      </c>
      <c r="AG3570" t="str">
        <f t="shared" si="373"/>
        <v/>
      </c>
      <c r="AN3570" t="str">
        <f t="shared" si="369"/>
        <v>Defensive</v>
      </c>
    </row>
    <row r="3571" spans="2:40" x14ac:dyDescent="0.2">
      <c r="B3571" t="str">
        <f t="shared" si="375"/>
        <v/>
      </c>
      <c r="U3571" s="8">
        <f t="shared" si="371"/>
        <v>2</v>
      </c>
      <c r="AD3571" t="str">
        <f t="shared" si="370"/>
        <v>o</v>
      </c>
      <c r="AE3571" t="str">
        <f t="shared" si="374"/>
        <v/>
      </c>
      <c r="AF3571" t="str">
        <f t="shared" si="372"/>
        <v/>
      </c>
      <c r="AG3571" t="str">
        <f t="shared" si="373"/>
        <v/>
      </c>
      <c r="AN3571" t="str">
        <f t="shared" si="369"/>
        <v>Defensive</v>
      </c>
    </row>
    <row r="3572" spans="2:40" x14ac:dyDescent="0.2">
      <c r="B3572" t="str">
        <f t="shared" si="375"/>
        <v/>
      </c>
      <c r="U3572" s="8">
        <f t="shared" si="371"/>
        <v>2</v>
      </c>
      <c r="AD3572" t="str">
        <f t="shared" si="370"/>
        <v>o</v>
      </c>
      <c r="AE3572" t="str">
        <f t="shared" si="374"/>
        <v/>
      </c>
      <c r="AF3572" t="str">
        <f t="shared" si="372"/>
        <v/>
      </c>
      <c r="AG3572" t="str">
        <f t="shared" si="373"/>
        <v/>
      </c>
      <c r="AN3572" t="str">
        <f t="shared" si="369"/>
        <v>Defensive</v>
      </c>
    </row>
    <row r="3573" spans="2:40" x14ac:dyDescent="0.2">
      <c r="B3573" t="str">
        <f t="shared" si="375"/>
        <v/>
      </c>
      <c r="U3573" s="8">
        <f t="shared" si="371"/>
        <v>2</v>
      </c>
      <c r="AD3573" t="str">
        <f t="shared" si="370"/>
        <v>o</v>
      </c>
      <c r="AE3573" t="str">
        <f t="shared" si="374"/>
        <v/>
      </c>
      <c r="AF3573" t="str">
        <f t="shared" si="372"/>
        <v/>
      </c>
      <c r="AG3573" t="str">
        <f t="shared" si="373"/>
        <v/>
      </c>
      <c r="AN3573" t="str">
        <f t="shared" si="369"/>
        <v>Defensive</v>
      </c>
    </row>
    <row r="3574" spans="2:40" x14ac:dyDescent="0.2">
      <c r="B3574" t="str">
        <f t="shared" si="375"/>
        <v/>
      </c>
      <c r="U3574" s="8">
        <f t="shared" si="371"/>
        <v>2</v>
      </c>
      <c r="AD3574" t="str">
        <f t="shared" si="370"/>
        <v>o</v>
      </c>
      <c r="AE3574" t="str">
        <f t="shared" si="374"/>
        <v/>
      </c>
      <c r="AF3574" t="str">
        <f t="shared" si="372"/>
        <v/>
      </c>
      <c r="AG3574" t="str">
        <f t="shared" si="373"/>
        <v/>
      </c>
      <c r="AN3574" t="str">
        <f t="shared" si="369"/>
        <v>Defensive</v>
      </c>
    </row>
    <row r="3575" spans="2:40" x14ac:dyDescent="0.2">
      <c r="B3575" t="str">
        <f t="shared" si="375"/>
        <v/>
      </c>
      <c r="U3575" s="8">
        <f t="shared" si="371"/>
        <v>2</v>
      </c>
      <c r="AD3575" t="str">
        <f t="shared" si="370"/>
        <v>o</v>
      </c>
      <c r="AE3575" t="str">
        <f t="shared" si="374"/>
        <v/>
      </c>
      <c r="AF3575" t="str">
        <f t="shared" si="372"/>
        <v/>
      </c>
      <c r="AG3575" t="str">
        <f t="shared" si="373"/>
        <v/>
      </c>
      <c r="AN3575" t="str">
        <f t="shared" si="369"/>
        <v>Defensive</v>
      </c>
    </row>
    <row r="3576" spans="2:40" x14ac:dyDescent="0.2">
      <c r="B3576" t="str">
        <f t="shared" si="375"/>
        <v/>
      </c>
      <c r="U3576" s="8">
        <f t="shared" si="371"/>
        <v>2</v>
      </c>
      <c r="AD3576" t="str">
        <f t="shared" si="370"/>
        <v>o</v>
      </c>
      <c r="AE3576" t="str">
        <f t="shared" si="374"/>
        <v/>
      </c>
      <c r="AF3576" t="str">
        <f t="shared" si="372"/>
        <v/>
      </c>
      <c r="AG3576" t="str">
        <f t="shared" si="373"/>
        <v/>
      </c>
      <c r="AN3576" t="str">
        <f t="shared" si="369"/>
        <v>Defensive</v>
      </c>
    </row>
    <row r="3577" spans="2:40" x14ac:dyDescent="0.2">
      <c r="B3577" t="str">
        <f t="shared" si="375"/>
        <v/>
      </c>
      <c r="U3577" s="8">
        <f t="shared" si="371"/>
        <v>2</v>
      </c>
      <c r="AD3577" t="str">
        <f t="shared" si="370"/>
        <v>o</v>
      </c>
      <c r="AE3577" t="str">
        <f t="shared" si="374"/>
        <v/>
      </c>
      <c r="AF3577" t="str">
        <f t="shared" si="372"/>
        <v/>
      </c>
      <c r="AG3577" t="str">
        <f t="shared" si="373"/>
        <v/>
      </c>
      <c r="AN3577" t="str">
        <f t="shared" ref="AN3577:AN3640" si="376">IF(AND(AD3577="e",OR(AE3577="Save",AF3577="Turnover_Takeaway",AF3577="Play_Defensive")),"Defensive",IF(AND(AD3577="o",OR(AE3577="Save",AF3577="Turnover_Takeaway",AF3577="Play_Defensive")),"Offensive",IF(OR(AE3577="Deadice",AE3577="Stoppage",AE3577="Intermission"),"",IF(AD3577="e","Offensive",IF(AD3577="o","Defensive","")))))</f>
        <v>Defensive</v>
      </c>
    </row>
    <row r="3578" spans="2:40" x14ac:dyDescent="0.2">
      <c r="B3578" t="str">
        <f t="shared" si="375"/>
        <v/>
      </c>
      <c r="U3578" s="8">
        <f t="shared" si="371"/>
        <v>2</v>
      </c>
      <c r="AD3578" t="str">
        <f t="shared" si="370"/>
        <v>o</v>
      </c>
      <c r="AE3578" t="str">
        <f t="shared" si="374"/>
        <v/>
      </c>
      <c r="AF3578" t="str">
        <f t="shared" si="372"/>
        <v/>
      </c>
      <c r="AG3578" t="str">
        <f t="shared" si="373"/>
        <v/>
      </c>
      <c r="AN3578" t="str">
        <f t="shared" si="376"/>
        <v>Defensive</v>
      </c>
    </row>
    <row r="3579" spans="2:40" x14ac:dyDescent="0.2">
      <c r="B3579" t="str">
        <f t="shared" si="375"/>
        <v/>
      </c>
      <c r="U3579" s="8">
        <f t="shared" si="371"/>
        <v>2</v>
      </c>
      <c r="AD3579" t="str">
        <f t="shared" si="370"/>
        <v>o</v>
      </c>
      <c r="AE3579" t="str">
        <f t="shared" si="374"/>
        <v/>
      </c>
      <c r="AF3579" t="str">
        <f t="shared" si="372"/>
        <v/>
      </c>
      <c r="AG3579" t="str">
        <f t="shared" si="373"/>
        <v/>
      </c>
      <c r="AN3579" t="str">
        <f t="shared" si="376"/>
        <v>Defensive</v>
      </c>
    </row>
    <row r="3580" spans="2:40" x14ac:dyDescent="0.2">
      <c r="B3580" t="str">
        <f t="shared" si="375"/>
        <v/>
      </c>
      <c r="U3580" s="8">
        <f t="shared" si="371"/>
        <v>2</v>
      </c>
      <c r="AD3580" t="str">
        <f t="shared" si="370"/>
        <v>o</v>
      </c>
      <c r="AE3580" t="str">
        <f t="shared" si="374"/>
        <v/>
      </c>
      <c r="AF3580" t="str">
        <f t="shared" si="372"/>
        <v/>
      </c>
      <c r="AG3580" t="str">
        <f t="shared" si="373"/>
        <v/>
      </c>
      <c r="AN3580" t="str">
        <f t="shared" si="376"/>
        <v>Defensive</v>
      </c>
    </row>
    <row r="3581" spans="2:40" x14ac:dyDescent="0.2">
      <c r="B3581" t="str">
        <f t="shared" si="375"/>
        <v/>
      </c>
      <c r="U3581" s="8">
        <f t="shared" si="371"/>
        <v>2</v>
      </c>
      <c r="AD3581" t="str">
        <f t="shared" si="370"/>
        <v>o</v>
      </c>
      <c r="AE3581" t="str">
        <f t="shared" si="374"/>
        <v/>
      </c>
      <c r="AF3581" t="str">
        <f t="shared" si="372"/>
        <v/>
      </c>
      <c r="AG3581" t="str">
        <f t="shared" si="373"/>
        <v/>
      </c>
      <c r="AN3581" t="str">
        <f t="shared" si="376"/>
        <v>Defensive</v>
      </c>
    </row>
    <row r="3582" spans="2:40" x14ac:dyDescent="0.2">
      <c r="B3582" t="str">
        <f t="shared" si="375"/>
        <v/>
      </c>
      <c r="U3582" s="8">
        <f t="shared" si="371"/>
        <v>2</v>
      </c>
      <c r="AD3582" t="str">
        <f t="shared" si="370"/>
        <v>o</v>
      </c>
      <c r="AE3582" t="str">
        <f t="shared" si="374"/>
        <v/>
      </c>
      <c r="AF3582" t="str">
        <f t="shared" si="372"/>
        <v/>
      </c>
      <c r="AG3582" t="str">
        <f t="shared" si="373"/>
        <v/>
      </c>
      <c r="AN3582" t="str">
        <f t="shared" si="376"/>
        <v>Defensive</v>
      </c>
    </row>
    <row r="3583" spans="2:40" x14ac:dyDescent="0.2">
      <c r="B3583" t="str">
        <f t="shared" si="375"/>
        <v/>
      </c>
      <c r="U3583" s="8">
        <f t="shared" si="371"/>
        <v>2</v>
      </c>
      <c r="AD3583" t="str">
        <f t="shared" si="370"/>
        <v>o</v>
      </c>
      <c r="AE3583" t="str">
        <f t="shared" si="374"/>
        <v/>
      </c>
      <c r="AF3583" t="str">
        <f t="shared" si="372"/>
        <v/>
      </c>
      <c r="AG3583" t="str">
        <f t="shared" si="373"/>
        <v/>
      </c>
      <c r="AN3583" t="str">
        <f t="shared" si="376"/>
        <v>Defensive</v>
      </c>
    </row>
    <row r="3584" spans="2:40" x14ac:dyDescent="0.2">
      <c r="B3584" t="str">
        <f t="shared" si="375"/>
        <v/>
      </c>
      <c r="U3584" s="8">
        <f t="shared" si="371"/>
        <v>2</v>
      </c>
      <c r="AD3584" t="str">
        <f t="shared" si="370"/>
        <v>o</v>
      </c>
      <c r="AE3584" t="str">
        <f t="shared" si="374"/>
        <v/>
      </c>
      <c r="AF3584" t="str">
        <f t="shared" si="372"/>
        <v/>
      </c>
      <c r="AG3584" t="str">
        <f t="shared" si="373"/>
        <v/>
      </c>
      <c r="AN3584" t="str">
        <f t="shared" si="376"/>
        <v>Defensive</v>
      </c>
    </row>
    <row r="3585" spans="2:40" x14ac:dyDescent="0.2">
      <c r="B3585" t="str">
        <f t="shared" si="375"/>
        <v/>
      </c>
      <c r="U3585" s="8">
        <f t="shared" si="371"/>
        <v>2</v>
      </c>
      <c r="AD3585" t="str">
        <f t="shared" si="370"/>
        <v>o</v>
      </c>
      <c r="AE3585" t="str">
        <f t="shared" si="374"/>
        <v/>
      </c>
      <c r="AF3585" t="str">
        <f t="shared" si="372"/>
        <v/>
      </c>
      <c r="AG3585" t="str">
        <f t="shared" si="373"/>
        <v/>
      </c>
      <c r="AN3585" t="str">
        <f t="shared" si="376"/>
        <v>Defensive</v>
      </c>
    </row>
    <row r="3586" spans="2:40" x14ac:dyDescent="0.2">
      <c r="B3586" t="str">
        <f t="shared" si="375"/>
        <v/>
      </c>
      <c r="U3586" s="8">
        <f t="shared" si="371"/>
        <v>2</v>
      </c>
      <c r="AD3586" t="str">
        <f t="shared" ref="AD3586:AD3649" si="377">IF(K3586="x","",IF(K3586=1,"e","o"))</f>
        <v>o</v>
      </c>
      <c r="AE3586" t="str">
        <f t="shared" si="374"/>
        <v/>
      </c>
      <c r="AF3586" t="str">
        <f t="shared" si="372"/>
        <v/>
      </c>
      <c r="AG3586" t="str">
        <f t="shared" si="373"/>
        <v/>
      </c>
      <c r="AN3586" t="str">
        <f t="shared" si="376"/>
        <v>Defensive</v>
      </c>
    </row>
    <row r="3587" spans="2:40" x14ac:dyDescent="0.2">
      <c r="B3587" t="str">
        <f t="shared" si="375"/>
        <v/>
      </c>
      <c r="U3587" s="8">
        <f t="shared" ref="U3587:U3650" si="378">IF(M3587="Intermission",U3586+1,U3586)</f>
        <v>2</v>
      </c>
      <c r="AD3587" t="str">
        <f t="shared" si="377"/>
        <v>o</v>
      </c>
      <c r="AE3587" t="str">
        <f t="shared" si="374"/>
        <v/>
      </c>
      <c r="AF3587" t="str">
        <f t="shared" ref="AF3587:AF3650" si="379">IF(N3587&lt;&gt;"",N3587,IF($A3587=$A3586,AF3586,""))</f>
        <v/>
      </c>
      <c r="AG3587" t="str">
        <f t="shared" ref="AG3587:AG3650" si="380">IF(O3587&lt;&gt;"",O3587,IF($A3587=$A3586,AG3586,""))</f>
        <v/>
      </c>
      <c r="AN3587" t="str">
        <f t="shared" si="376"/>
        <v>Defensive</v>
      </c>
    </row>
    <row r="3588" spans="2:40" x14ac:dyDescent="0.2">
      <c r="B3588" t="str">
        <f t="shared" si="375"/>
        <v/>
      </c>
      <c r="U3588" s="8">
        <f t="shared" si="378"/>
        <v>2</v>
      </c>
      <c r="AD3588" t="str">
        <f t="shared" si="377"/>
        <v>o</v>
      </c>
      <c r="AE3588" t="str">
        <f t="shared" ref="AE3588:AE3651" si="381">IF(M3588&lt;&gt;"",M3588,IF($A3588=$A3587,AE3587,""))</f>
        <v/>
      </c>
      <c r="AF3588" t="str">
        <f t="shared" si="379"/>
        <v/>
      </c>
      <c r="AG3588" t="str">
        <f t="shared" si="380"/>
        <v/>
      </c>
      <c r="AN3588" t="str">
        <f t="shared" si="376"/>
        <v>Defensive</v>
      </c>
    </row>
    <row r="3589" spans="2:40" x14ac:dyDescent="0.2">
      <c r="B3589" t="str">
        <f t="shared" si="375"/>
        <v/>
      </c>
      <c r="U3589" s="8">
        <f t="shared" si="378"/>
        <v>2</v>
      </c>
      <c r="AD3589" t="str">
        <f t="shared" si="377"/>
        <v>o</v>
      </c>
      <c r="AE3589" t="str">
        <f t="shared" si="381"/>
        <v/>
      </c>
      <c r="AF3589" t="str">
        <f t="shared" si="379"/>
        <v/>
      </c>
      <c r="AG3589" t="str">
        <f t="shared" si="380"/>
        <v/>
      </c>
      <c r="AN3589" t="str">
        <f t="shared" si="376"/>
        <v>Defensive</v>
      </c>
    </row>
    <row r="3590" spans="2:40" x14ac:dyDescent="0.2">
      <c r="B3590" t="str">
        <f t="shared" si="375"/>
        <v/>
      </c>
      <c r="U3590" s="8">
        <f t="shared" si="378"/>
        <v>2</v>
      </c>
      <c r="AD3590" t="str">
        <f t="shared" si="377"/>
        <v>o</v>
      </c>
      <c r="AE3590" t="str">
        <f t="shared" si="381"/>
        <v/>
      </c>
      <c r="AF3590" t="str">
        <f t="shared" si="379"/>
        <v/>
      </c>
      <c r="AG3590" t="str">
        <f t="shared" si="380"/>
        <v/>
      </c>
      <c r="AN3590" t="str">
        <f t="shared" si="376"/>
        <v>Defensive</v>
      </c>
    </row>
    <row r="3591" spans="2:40" x14ac:dyDescent="0.2">
      <c r="B3591" t="str">
        <f t="shared" si="375"/>
        <v/>
      </c>
      <c r="U3591" s="8">
        <f t="shared" si="378"/>
        <v>2</v>
      </c>
      <c r="AD3591" t="str">
        <f t="shared" si="377"/>
        <v>o</v>
      </c>
      <c r="AE3591" t="str">
        <f t="shared" si="381"/>
        <v/>
      </c>
      <c r="AF3591" t="str">
        <f t="shared" si="379"/>
        <v/>
      </c>
      <c r="AG3591" t="str">
        <f t="shared" si="380"/>
        <v/>
      </c>
      <c r="AN3591" t="str">
        <f t="shared" si="376"/>
        <v>Defensive</v>
      </c>
    </row>
    <row r="3592" spans="2:40" x14ac:dyDescent="0.2">
      <c r="B3592" t="str">
        <f t="shared" si="375"/>
        <v/>
      </c>
      <c r="U3592" s="8">
        <f t="shared" si="378"/>
        <v>2</v>
      </c>
      <c r="AD3592" t="str">
        <f t="shared" si="377"/>
        <v>o</v>
      </c>
      <c r="AE3592" t="str">
        <f t="shared" si="381"/>
        <v/>
      </c>
      <c r="AF3592" t="str">
        <f t="shared" si="379"/>
        <v/>
      </c>
      <c r="AG3592" t="str">
        <f t="shared" si="380"/>
        <v/>
      </c>
      <c r="AN3592" t="str">
        <f t="shared" si="376"/>
        <v>Defensive</v>
      </c>
    </row>
    <row r="3593" spans="2:40" x14ac:dyDescent="0.2">
      <c r="B3593" t="str">
        <f t="shared" si="375"/>
        <v/>
      </c>
      <c r="U3593" s="8">
        <f t="shared" si="378"/>
        <v>2</v>
      </c>
      <c r="AD3593" t="str">
        <f t="shared" si="377"/>
        <v>o</v>
      </c>
      <c r="AE3593" t="str">
        <f t="shared" si="381"/>
        <v/>
      </c>
      <c r="AF3593" t="str">
        <f t="shared" si="379"/>
        <v/>
      </c>
      <c r="AG3593" t="str">
        <f t="shared" si="380"/>
        <v/>
      </c>
      <c r="AN3593" t="str">
        <f t="shared" si="376"/>
        <v>Defensive</v>
      </c>
    </row>
    <row r="3594" spans="2:40" x14ac:dyDescent="0.2">
      <c r="B3594" t="str">
        <f t="shared" si="375"/>
        <v/>
      </c>
      <c r="U3594" s="8">
        <f t="shared" si="378"/>
        <v>2</v>
      </c>
      <c r="AD3594" t="str">
        <f t="shared" si="377"/>
        <v>o</v>
      </c>
      <c r="AE3594" t="str">
        <f t="shared" si="381"/>
        <v/>
      </c>
      <c r="AF3594" t="str">
        <f t="shared" si="379"/>
        <v/>
      </c>
      <c r="AG3594" t="str">
        <f t="shared" si="380"/>
        <v/>
      </c>
      <c r="AN3594" t="str">
        <f t="shared" si="376"/>
        <v>Defensive</v>
      </c>
    </row>
    <row r="3595" spans="2:40" x14ac:dyDescent="0.2">
      <c r="B3595" t="str">
        <f t="shared" si="375"/>
        <v/>
      </c>
      <c r="U3595" s="8">
        <f t="shared" si="378"/>
        <v>2</v>
      </c>
      <c r="AD3595" t="str">
        <f t="shared" si="377"/>
        <v>o</v>
      </c>
      <c r="AE3595" t="str">
        <f t="shared" si="381"/>
        <v/>
      </c>
      <c r="AF3595" t="str">
        <f t="shared" si="379"/>
        <v/>
      </c>
      <c r="AG3595" t="str">
        <f t="shared" si="380"/>
        <v/>
      </c>
      <c r="AN3595" t="str">
        <f t="shared" si="376"/>
        <v>Defensive</v>
      </c>
    </row>
    <row r="3596" spans="2:40" x14ac:dyDescent="0.2">
      <c r="B3596" t="str">
        <f t="shared" si="375"/>
        <v/>
      </c>
      <c r="U3596" s="8">
        <f t="shared" si="378"/>
        <v>2</v>
      </c>
      <c r="AD3596" t="str">
        <f t="shared" si="377"/>
        <v>o</v>
      </c>
      <c r="AE3596" t="str">
        <f t="shared" si="381"/>
        <v/>
      </c>
      <c r="AF3596" t="str">
        <f t="shared" si="379"/>
        <v/>
      </c>
      <c r="AG3596" t="str">
        <f t="shared" si="380"/>
        <v/>
      </c>
      <c r="AN3596" t="str">
        <f t="shared" si="376"/>
        <v>Defensive</v>
      </c>
    </row>
    <row r="3597" spans="2:40" x14ac:dyDescent="0.2">
      <c r="B3597" t="str">
        <f t="shared" si="375"/>
        <v/>
      </c>
      <c r="U3597" s="8">
        <f t="shared" si="378"/>
        <v>2</v>
      </c>
      <c r="AD3597" t="str">
        <f t="shared" si="377"/>
        <v>o</v>
      </c>
      <c r="AE3597" t="str">
        <f t="shared" si="381"/>
        <v/>
      </c>
      <c r="AF3597" t="str">
        <f t="shared" si="379"/>
        <v/>
      </c>
      <c r="AG3597" t="str">
        <f t="shared" si="380"/>
        <v/>
      </c>
      <c r="AN3597" t="str">
        <f t="shared" si="376"/>
        <v>Defensive</v>
      </c>
    </row>
    <row r="3598" spans="2:40" x14ac:dyDescent="0.2">
      <c r="B3598" t="str">
        <f t="shared" si="375"/>
        <v/>
      </c>
      <c r="U3598" s="8">
        <f t="shared" si="378"/>
        <v>2</v>
      </c>
      <c r="AD3598" t="str">
        <f t="shared" si="377"/>
        <v>o</v>
      </c>
      <c r="AE3598" t="str">
        <f t="shared" si="381"/>
        <v/>
      </c>
      <c r="AF3598" t="str">
        <f t="shared" si="379"/>
        <v/>
      </c>
      <c r="AG3598" t="str">
        <f t="shared" si="380"/>
        <v/>
      </c>
      <c r="AN3598" t="str">
        <f t="shared" si="376"/>
        <v>Defensive</v>
      </c>
    </row>
    <row r="3599" spans="2:40" x14ac:dyDescent="0.2">
      <c r="B3599" t="str">
        <f t="shared" si="375"/>
        <v/>
      </c>
      <c r="U3599" s="8">
        <f t="shared" si="378"/>
        <v>2</v>
      </c>
      <c r="AD3599" t="str">
        <f t="shared" si="377"/>
        <v>o</v>
      </c>
      <c r="AE3599" t="str">
        <f t="shared" si="381"/>
        <v/>
      </c>
      <c r="AF3599" t="str">
        <f t="shared" si="379"/>
        <v/>
      </c>
      <c r="AG3599" t="str">
        <f t="shared" si="380"/>
        <v/>
      </c>
      <c r="AN3599" t="str">
        <f t="shared" si="376"/>
        <v>Defensive</v>
      </c>
    </row>
    <row r="3600" spans="2:40" x14ac:dyDescent="0.2">
      <c r="B3600" t="str">
        <f t="shared" si="375"/>
        <v/>
      </c>
      <c r="U3600" s="8">
        <f t="shared" si="378"/>
        <v>2</v>
      </c>
      <c r="AD3600" t="str">
        <f t="shared" si="377"/>
        <v>o</v>
      </c>
      <c r="AE3600" t="str">
        <f t="shared" si="381"/>
        <v/>
      </c>
      <c r="AF3600" t="str">
        <f t="shared" si="379"/>
        <v/>
      </c>
      <c r="AG3600" t="str">
        <f t="shared" si="380"/>
        <v/>
      </c>
      <c r="AN3600" t="str">
        <f t="shared" si="376"/>
        <v>Defensive</v>
      </c>
    </row>
    <row r="3601" spans="2:40" x14ac:dyDescent="0.2">
      <c r="B3601" t="str">
        <f t="shared" si="375"/>
        <v/>
      </c>
      <c r="U3601" s="8">
        <f t="shared" si="378"/>
        <v>2</v>
      </c>
      <c r="AD3601" t="str">
        <f t="shared" si="377"/>
        <v>o</v>
      </c>
      <c r="AE3601" t="str">
        <f t="shared" si="381"/>
        <v/>
      </c>
      <c r="AF3601" t="str">
        <f t="shared" si="379"/>
        <v/>
      </c>
      <c r="AG3601" t="str">
        <f t="shared" si="380"/>
        <v/>
      </c>
      <c r="AN3601" t="str">
        <f t="shared" si="376"/>
        <v>Defensive</v>
      </c>
    </row>
    <row r="3602" spans="2:40" x14ac:dyDescent="0.2">
      <c r="B3602" t="str">
        <f t="shared" si="375"/>
        <v/>
      </c>
      <c r="U3602" s="8">
        <f t="shared" si="378"/>
        <v>2</v>
      </c>
      <c r="AD3602" t="str">
        <f t="shared" si="377"/>
        <v>o</v>
      </c>
      <c r="AE3602" t="str">
        <f t="shared" si="381"/>
        <v/>
      </c>
      <c r="AF3602" t="str">
        <f t="shared" si="379"/>
        <v/>
      </c>
      <c r="AG3602" t="str">
        <f t="shared" si="380"/>
        <v/>
      </c>
      <c r="AN3602" t="str">
        <f t="shared" si="376"/>
        <v>Defensive</v>
      </c>
    </row>
    <row r="3603" spans="2:40" x14ac:dyDescent="0.2">
      <c r="B3603" t="str">
        <f t="shared" si="375"/>
        <v/>
      </c>
      <c r="U3603" s="8">
        <f t="shared" si="378"/>
        <v>2</v>
      </c>
      <c r="AD3603" t="str">
        <f t="shared" si="377"/>
        <v>o</v>
      </c>
      <c r="AE3603" t="str">
        <f t="shared" si="381"/>
        <v/>
      </c>
      <c r="AF3603" t="str">
        <f t="shared" si="379"/>
        <v/>
      </c>
      <c r="AG3603" t="str">
        <f t="shared" si="380"/>
        <v/>
      </c>
      <c r="AN3603" t="str">
        <f t="shared" si="376"/>
        <v>Defensive</v>
      </c>
    </row>
    <row r="3604" spans="2:40" x14ac:dyDescent="0.2">
      <c r="B3604" t="str">
        <f t="shared" si="375"/>
        <v/>
      </c>
      <c r="U3604" s="8">
        <f t="shared" si="378"/>
        <v>2</v>
      </c>
      <c r="AD3604" t="str">
        <f t="shared" si="377"/>
        <v>o</v>
      </c>
      <c r="AE3604" t="str">
        <f t="shared" si="381"/>
        <v/>
      </c>
      <c r="AF3604" t="str">
        <f t="shared" si="379"/>
        <v/>
      </c>
      <c r="AG3604" t="str">
        <f t="shared" si="380"/>
        <v/>
      </c>
      <c r="AN3604" t="str">
        <f t="shared" si="376"/>
        <v>Defensive</v>
      </c>
    </row>
    <row r="3605" spans="2:40" x14ac:dyDescent="0.2">
      <c r="B3605" t="str">
        <f t="shared" si="375"/>
        <v/>
      </c>
      <c r="U3605" s="8">
        <f t="shared" si="378"/>
        <v>2</v>
      </c>
      <c r="AD3605" t="str">
        <f t="shared" si="377"/>
        <v>o</v>
      </c>
      <c r="AE3605" t="str">
        <f t="shared" si="381"/>
        <v/>
      </c>
      <c r="AF3605" t="str">
        <f t="shared" si="379"/>
        <v/>
      </c>
      <c r="AG3605" t="str">
        <f t="shared" si="380"/>
        <v/>
      </c>
      <c r="AN3605" t="str">
        <f t="shared" si="376"/>
        <v>Defensive</v>
      </c>
    </row>
    <row r="3606" spans="2:40" x14ac:dyDescent="0.2">
      <c r="B3606" t="str">
        <f t="shared" si="375"/>
        <v/>
      </c>
      <c r="U3606" s="8">
        <f t="shared" si="378"/>
        <v>2</v>
      </c>
      <c r="AD3606" t="str">
        <f t="shared" si="377"/>
        <v>o</v>
      </c>
      <c r="AE3606" t="str">
        <f t="shared" si="381"/>
        <v/>
      </c>
      <c r="AF3606" t="str">
        <f t="shared" si="379"/>
        <v/>
      </c>
      <c r="AG3606" t="str">
        <f t="shared" si="380"/>
        <v/>
      </c>
      <c r="AN3606" t="str">
        <f t="shared" si="376"/>
        <v>Defensive</v>
      </c>
    </row>
    <row r="3607" spans="2:40" x14ac:dyDescent="0.2">
      <c r="B3607" t="str">
        <f t="shared" si="375"/>
        <v/>
      </c>
      <c r="U3607" s="8">
        <f t="shared" si="378"/>
        <v>2</v>
      </c>
      <c r="AD3607" t="str">
        <f t="shared" si="377"/>
        <v>o</v>
      </c>
      <c r="AE3607" t="str">
        <f t="shared" si="381"/>
        <v/>
      </c>
      <c r="AF3607" t="str">
        <f t="shared" si="379"/>
        <v/>
      </c>
      <c r="AG3607" t="str">
        <f t="shared" si="380"/>
        <v/>
      </c>
      <c r="AN3607" t="str">
        <f t="shared" si="376"/>
        <v>Defensive</v>
      </c>
    </row>
    <row r="3608" spans="2:40" x14ac:dyDescent="0.2">
      <c r="B3608" t="str">
        <f t="shared" si="375"/>
        <v/>
      </c>
      <c r="U3608" s="8">
        <f t="shared" si="378"/>
        <v>2</v>
      </c>
      <c r="AD3608" t="str">
        <f t="shared" si="377"/>
        <v>o</v>
      </c>
      <c r="AE3608" t="str">
        <f t="shared" si="381"/>
        <v/>
      </c>
      <c r="AF3608" t="str">
        <f t="shared" si="379"/>
        <v/>
      </c>
      <c r="AG3608" t="str">
        <f t="shared" si="380"/>
        <v/>
      </c>
      <c r="AN3608" t="str">
        <f t="shared" si="376"/>
        <v>Defensive</v>
      </c>
    </row>
    <row r="3609" spans="2:40" x14ac:dyDescent="0.2">
      <c r="B3609" t="str">
        <f t="shared" si="375"/>
        <v/>
      </c>
      <c r="U3609" s="8">
        <f t="shared" si="378"/>
        <v>2</v>
      </c>
      <c r="AD3609" t="str">
        <f t="shared" si="377"/>
        <v>o</v>
      </c>
      <c r="AE3609" t="str">
        <f t="shared" si="381"/>
        <v/>
      </c>
      <c r="AF3609" t="str">
        <f t="shared" si="379"/>
        <v/>
      </c>
      <c r="AG3609" t="str">
        <f t="shared" si="380"/>
        <v/>
      </c>
      <c r="AN3609" t="str">
        <f t="shared" si="376"/>
        <v>Defensive</v>
      </c>
    </row>
    <row r="3610" spans="2:40" x14ac:dyDescent="0.2">
      <c r="B3610" t="str">
        <f t="shared" si="375"/>
        <v/>
      </c>
      <c r="U3610" s="8">
        <f t="shared" si="378"/>
        <v>2</v>
      </c>
      <c r="AD3610" t="str">
        <f t="shared" si="377"/>
        <v>o</v>
      </c>
      <c r="AE3610" t="str">
        <f t="shared" si="381"/>
        <v/>
      </c>
      <c r="AF3610" t="str">
        <f t="shared" si="379"/>
        <v/>
      </c>
      <c r="AG3610" t="str">
        <f t="shared" si="380"/>
        <v/>
      </c>
      <c r="AN3610" t="str">
        <f t="shared" si="376"/>
        <v>Defensive</v>
      </c>
    </row>
    <row r="3611" spans="2:40" x14ac:dyDescent="0.2">
      <c r="B3611" t="str">
        <f t="shared" si="375"/>
        <v/>
      </c>
      <c r="U3611" s="8">
        <f t="shared" si="378"/>
        <v>2</v>
      </c>
      <c r="AD3611" t="str">
        <f t="shared" si="377"/>
        <v>o</v>
      </c>
      <c r="AE3611" t="str">
        <f t="shared" si="381"/>
        <v/>
      </c>
      <c r="AF3611" t="str">
        <f t="shared" si="379"/>
        <v/>
      </c>
      <c r="AG3611" t="str">
        <f t="shared" si="380"/>
        <v/>
      </c>
      <c r="AN3611" t="str">
        <f t="shared" si="376"/>
        <v>Defensive</v>
      </c>
    </row>
    <row r="3612" spans="2:40" x14ac:dyDescent="0.2">
      <c r="B3612" t="str">
        <f t="shared" si="375"/>
        <v/>
      </c>
      <c r="U3612" s="8">
        <f t="shared" si="378"/>
        <v>2</v>
      </c>
      <c r="AD3612" t="str">
        <f t="shared" si="377"/>
        <v>o</v>
      </c>
      <c r="AE3612" t="str">
        <f t="shared" si="381"/>
        <v/>
      </c>
      <c r="AF3612" t="str">
        <f t="shared" si="379"/>
        <v/>
      </c>
      <c r="AG3612" t="str">
        <f t="shared" si="380"/>
        <v/>
      </c>
      <c r="AN3612" t="str">
        <f t="shared" si="376"/>
        <v>Defensive</v>
      </c>
    </row>
    <row r="3613" spans="2:40" x14ac:dyDescent="0.2">
      <c r="B3613" t="str">
        <f t="shared" si="375"/>
        <v/>
      </c>
      <c r="U3613" s="8">
        <f t="shared" si="378"/>
        <v>2</v>
      </c>
      <c r="AD3613" t="str">
        <f t="shared" si="377"/>
        <v>o</v>
      </c>
      <c r="AE3613" t="str">
        <f t="shared" si="381"/>
        <v/>
      </c>
      <c r="AF3613" t="str">
        <f t="shared" si="379"/>
        <v/>
      </c>
      <c r="AG3613" t="str">
        <f t="shared" si="380"/>
        <v/>
      </c>
      <c r="AN3613" t="str">
        <f t="shared" si="376"/>
        <v>Defensive</v>
      </c>
    </row>
    <row r="3614" spans="2:40" x14ac:dyDescent="0.2">
      <c r="B3614" t="str">
        <f t="shared" si="375"/>
        <v/>
      </c>
      <c r="U3614" s="8">
        <f t="shared" si="378"/>
        <v>2</v>
      </c>
      <c r="AD3614" t="str">
        <f t="shared" si="377"/>
        <v>o</v>
      </c>
      <c r="AE3614" t="str">
        <f t="shared" si="381"/>
        <v/>
      </c>
      <c r="AF3614" t="str">
        <f t="shared" si="379"/>
        <v/>
      </c>
      <c r="AG3614" t="str">
        <f t="shared" si="380"/>
        <v/>
      </c>
      <c r="AN3614" t="str">
        <f t="shared" si="376"/>
        <v>Defensive</v>
      </c>
    </row>
    <row r="3615" spans="2:40" x14ac:dyDescent="0.2">
      <c r="B3615" t="str">
        <f t="shared" si="375"/>
        <v/>
      </c>
      <c r="U3615" s="8">
        <f t="shared" si="378"/>
        <v>2</v>
      </c>
      <c r="AD3615" t="str">
        <f t="shared" si="377"/>
        <v>o</v>
      </c>
      <c r="AE3615" t="str">
        <f t="shared" si="381"/>
        <v/>
      </c>
      <c r="AF3615" t="str">
        <f t="shared" si="379"/>
        <v/>
      </c>
      <c r="AG3615" t="str">
        <f t="shared" si="380"/>
        <v/>
      </c>
      <c r="AN3615" t="str">
        <f t="shared" si="376"/>
        <v>Defensive</v>
      </c>
    </row>
    <row r="3616" spans="2:40" x14ac:dyDescent="0.2">
      <c r="B3616" t="str">
        <f t="shared" si="375"/>
        <v/>
      </c>
      <c r="U3616" s="8">
        <f t="shared" si="378"/>
        <v>2</v>
      </c>
      <c r="AD3616" t="str">
        <f t="shared" si="377"/>
        <v>o</v>
      </c>
      <c r="AE3616" t="str">
        <f t="shared" si="381"/>
        <v/>
      </c>
      <c r="AF3616" t="str">
        <f t="shared" si="379"/>
        <v/>
      </c>
      <c r="AG3616" t="str">
        <f t="shared" si="380"/>
        <v/>
      </c>
      <c r="AN3616" t="str">
        <f t="shared" si="376"/>
        <v>Defensive</v>
      </c>
    </row>
    <row r="3617" spans="2:40" x14ac:dyDescent="0.2">
      <c r="B3617" t="str">
        <f t="shared" si="375"/>
        <v/>
      </c>
      <c r="U3617" s="8">
        <f t="shared" si="378"/>
        <v>2</v>
      </c>
      <c r="AD3617" t="str">
        <f t="shared" si="377"/>
        <v>o</v>
      </c>
      <c r="AE3617" t="str">
        <f t="shared" si="381"/>
        <v/>
      </c>
      <c r="AF3617" t="str">
        <f t="shared" si="379"/>
        <v/>
      </c>
      <c r="AG3617" t="str">
        <f t="shared" si="380"/>
        <v/>
      </c>
      <c r="AN3617" t="str">
        <f t="shared" si="376"/>
        <v>Defensive</v>
      </c>
    </row>
    <row r="3618" spans="2:40" x14ac:dyDescent="0.2">
      <c r="B3618" t="str">
        <f t="shared" si="375"/>
        <v/>
      </c>
      <c r="U3618" s="8">
        <f t="shared" si="378"/>
        <v>2</v>
      </c>
      <c r="AD3618" t="str">
        <f t="shared" si="377"/>
        <v>o</v>
      </c>
      <c r="AE3618" t="str">
        <f t="shared" si="381"/>
        <v/>
      </c>
      <c r="AF3618" t="str">
        <f t="shared" si="379"/>
        <v/>
      </c>
      <c r="AG3618" t="str">
        <f t="shared" si="380"/>
        <v/>
      </c>
      <c r="AN3618" t="str">
        <f t="shared" si="376"/>
        <v>Defensive</v>
      </c>
    </row>
    <row r="3619" spans="2:40" x14ac:dyDescent="0.2">
      <c r="B3619" t="str">
        <f t="shared" si="375"/>
        <v/>
      </c>
      <c r="U3619" s="8">
        <f t="shared" si="378"/>
        <v>2</v>
      </c>
      <c r="AD3619" t="str">
        <f t="shared" si="377"/>
        <v>o</v>
      </c>
      <c r="AE3619" t="str">
        <f t="shared" si="381"/>
        <v/>
      </c>
      <c r="AF3619" t="str">
        <f t="shared" si="379"/>
        <v/>
      </c>
      <c r="AG3619" t="str">
        <f t="shared" si="380"/>
        <v/>
      </c>
      <c r="AN3619" t="str">
        <f t="shared" si="376"/>
        <v>Defensive</v>
      </c>
    </row>
    <row r="3620" spans="2:40" x14ac:dyDescent="0.2">
      <c r="B3620" t="str">
        <f t="shared" si="375"/>
        <v/>
      </c>
      <c r="U3620" s="8">
        <f t="shared" si="378"/>
        <v>2</v>
      </c>
      <c r="AD3620" t="str">
        <f t="shared" si="377"/>
        <v>o</v>
      </c>
      <c r="AE3620" t="str">
        <f t="shared" si="381"/>
        <v/>
      </c>
      <c r="AF3620" t="str">
        <f t="shared" si="379"/>
        <v/>
      </c>
      <c r="AG3620" t="str">
        <f t="shared" si="380"/>
        <v/>
      </c>
      <c r="AN3620" t="str">
        <f t="shared" si="376"/>
        <v>Defensive</v>
      </c>
    </row>
    <row r="3621" spans="2:40" x14ac:dyDescent="0.2">
      <c r="B3621" t="str">
        <f t="shared" si="375"/>
        <v/>
      </c>
      <c r="U3621" s="8">
        <f t="shared" si="378"/>
        <v>2</v>
      </c>
      <c r="AD3621" t="str">
        <f t="shared" si="377"/>
        <v>o</v>
      </c>
      <c r="AE3621" t="str">
        <f t="shared" si="381"/>
        <v/>
      </c>
      <c r="AF3621" t="str">
        <f t="shared" si="379"/>
        <v/>
      </c>
      <c r="AG3621" t="str">
        <f t="shared" si="380"/>
        <v/>
      </c>
      <c r="AN3621" t="str">
        <f t="shared" si="376"/>
        <v>Defensive</v>
      </c>
    </row>
    <row r="3622" spans="2:40" x14ac:dyDescent="0.2">
      <c r="B3622" t="str">
        <f t="shared" si="375"/>
        <v/>
      </c>
      <c r="U3622" s="8">
        <f t="shared" si="378"/>
        <v>2</v>
      </c>
      <c r="AD3622" t="str">
        <f t="shared" si="377"/>
        <v>o</v>
      </c>
      <c r="AE3622" t="str">
        <f t="shared" si="381"/>
        <v/>
      </c>
      <c r="AF3622" t="str">
        <f t="shared" si="379"/>
        <v/>
      </c>
      <c r="AG3622" t="str">
        <f t="shared" si="380"/>
        <v/>
      </c>
      <c r="AN3622" t="str">
        <f t="shared" si="376"/>
        <v>Defensive</v>
      </c>
    </row>
    <row r="3623" spans="2:40" x14ac:dyDescent="0.2">
      <c r="B3623" t="str">
        <f t="shared" si="375"/>
        <v/>
      </c>
      <c r="U3623" s="8">
        <f t="shared" si="378"/>
        <v>2</v>
      </c>
      <c r="AD3623" t="str">
        <f t="shared" si="377"/>
        <v>o</v>
      </c>
      <c r="AE3623" t="str">
        <f t="shared" si="381"/>
        <v/>
      </c>
      <c r="AF3623" t="str">
        <f t="shared" si="379"/>
        <v/>
      </c>
      <c r="AG3623" t="str">
        <f t="shared" si="380"/>
        <v/>
      </c>
      <c r="AN3623" t="str">
        <f t="shared" si="376"/>
        <v>Defensive</v>
      </c>
    </row>
    <row r="3624" spans="2:40" x14ac:dyDescent="0.2">
      <c r="B3624" t="str">
        <f t="shared" si="375"/>
        <v/>
      </c>
      <c r="U3624" s="8">
        <f t="shared" si="378"/>
        <v>2</v>
      </c>
      <c r="AD3624" t="str">
        <f t="shared" si="377"/>
        <v>o</v>
      </c>
      <c r="AE3624" t="str">
        <f t="shared" si="381"/>
        <v/>
      </c>
      <c r="AF3624" t="str">
        <f t="shared" si="379"/>
        <v/>
      </c>
      <c r="AG3624" t="str">
        <f t="shared" si="380"/>
        <v/>
      </c>
      <c r="AN3624" t="str">
        <f t="shared" si="376"/>
        <v>Defensive</v>
      </c>
    </row>
    <row r="3625" spans="2:40" x14ac:dyDescent="0.2">
      <c r="B3625" t="str">
        <f t="shared" si="375"/>
        <v/>
      </c>
      <c r="U3625" s="8">
        <f t="shared" si="378"/>
        <v>2</v>
      </c>
      <c r="AD3625" t="str">
        <f t="shared" si="377"/>
        <v>o</v>
      </c>
      <c r="AE3625" t="str">
        <f t="shared" si="381"/>
        <v/>
      </c>
      <c r="AF3625" t="str">
        <f t="shared" si="379"/>
        <v/>
      </c>
      <c r="AG3625" t="str">
        <f t="shared" si="380"/>
        <v/>
      </c>
      <c r="AN3625" t="str">
        <f t="shared" si="376"/>
        <v>Defensive</v>
      </c>
    </row>
    <row r="3626" spans="2:40" x14ac:dyDescent="0.2">
      <c r="B3626" t="str">
        <f t="shared" si="375"/>
        <v/>
      </c>
      <c r="U3626" s="8">
        <f t="shared" si="378"/>
        <v>2</v>
      </c>
      <c r="AD3626" t="str">
        <f t="shared" si="377"/>
        <v>o</v>
      </c>
      <c r="AE3626" t="str">
        <f t="shared" si="381"/>
        <v/>
      </c>
      <c r="AF3626" t="str">
        <f t="shared" si="379"/>
        <v/>
      </c>
      <c r="AG3626" t="str">
        <f t="shared" si="380"/>
        <v/>
      </c>
      <c r="AN3626" t="str">
        <f t="shared" si="376"/>
        <v>Defensive</v>
      </c>
    </row>
    <row r="3627" spans="2:40" x14ac:dyDescent="0.2">
      <c r="B3627" t="str">
        <f t="shared" si="375"/>
        <v/>
      </c>
      <c r="U3627" s="8">
        <f t="shared" si="378"/>
        <v>2</v>
      </c>
      <c r="AD3627" t="str">
        <f t="shared" si="377"/>
        <v>o</v>
      </c>
      <c r="AE3627" t="str">
        <f t="shared" si="381"/>
        <v/>
      </c>
      <c r="AF3627" t="str">
        <f t="shared" si="379"/>
        <v/>
      </c>
      <c r="AG3627" t="str">
        <f t="shared" si="380"/>
        <v/>
      </c>
      <c r="AN3627" t="str">
        <f t="shared" si="376"/>
        <v>Defensive</v>
      </c>
    </row>
    <row r="3628" spans="2:40" x14ac:dyDescent="0.2">
      <c r="B3628" t="str">
        <f t="shared" si="375"/>
        <v/>
      </c>
      <c r="U3628" s="8">
        <f t="shared" si="378"/>
        <v>2</v>
      </c>
      <c r="AD3628" t="str">
        <f t="shared" si="377"/>
        <v>o</v>
      </c>
      <c r="AE3628" t="str">
        <f t="shared" si="381"/>
        <v/>
      </c>
      <c r="AF3628" t="str">
        <f t="shared" si="379"/>
        <v/>
      </c>
      <c r="AG3628" t="str">
        <f t="shared" si="380"/>
        <v/>
      </c>
      <c r="AN3628" t="str">
        <f t="shared" si="376"/>
        <v>Defensive</v>
      </c>
    </row>
    <row r="3629" spans="2:40" x14ac:dyDescent="0.2">
      <c r="B3629" t="str">
        <f t="shared" si="375"/>
        <v/>
      </c>
      <c r="U3629" s="8">
        <f t="shared" si="378"/>
        <v>2</v>
      </c>
      <c r="AD3629" t="str">
        <f t="shared" si="377"/>
        <v>o</v>
      </c>
      <c r="AE3629" t="str">
        <f t="shared" si="381"/>
        <v/>
      </c>
      <c r="AF3629" t="str">
        <f t="shared" si="379"/>
        <v/>
      </c>
      <c r="AG3629" t="str">
        <f t="shared" si="380"/>
        <v/>
      </c>
      <c r="AN3629" t="str">
        <f t="shared" si="376"/>
        <v>Defensive</v>
      </c>
    </row>
    <row r="3630" spans="2:40" x14ac:dyDescent="0.2">
      <c r="B3630" t="str">
        <f t="shared" si="375"/>
        <v/>
      </c>
      <c r="U3630" s="8">
        <f t="shared" si="378"/>
        <v>2</v>
      </c>
      <c r="AD3630" t="str">
        <f t="shared" si="377"/>
        <v>o</v>
      </c>
      <c r="AE3630" t="str">
        <f t="shared" si="381"/>
        <v/>
      </c>
      <c r="AF3630" t="str">
        <f t="shared" si="379"/>
        <v/>
      </c>
      <c r="AG3630" t="str">
        <f t="shared" si="380"/>
        <v/>
      </c>
      <c r="AN3630" t="str">
        <f t="shared" si="376"/>
        <v>Defensive</v>
      </c>
    </row>
    <row r="3631" spans="2:40" x14ac:dyDescent="0.2">
      <c r="B3631" t="str">
        <f t="shared" si="375"/>
        <v/>
      </c>
      <c r="U3631" s="8">
        <f t="shared" si="378"/>
        <v>2</v>
      </c>
      <c r="AD3631" t="str">
        <f t="shared" si="377"/>
        <v>o</v>
      </c>
      <c r="AE3631" t="str">
        <f t="shared" si="381"/>
        <v/>
      </c>
      <c r="AF3631" t="str">
        <f t="shared" si="379"/>
        <v/>
      </c>
      <c r="AG3631" t="str">
        <f t="shared" si="380"/>
        <v/>
      </c>
      <c r="AN3631" t="str">
        <f t="shared" si="376"/>
        <v>Defensive</v>
      </c>
    </row>
    <row r="3632" spans="2:40" x14ac:dyDescent="0.2">
      <c r="B3632" t="str">
        <f t="shared" ref="B3632:B3695" si="382">IF(A3632=A3631,B3631,"")</f>
        <v/>
      </c>
      <c r="U3632" s="8">
        <f t="shared" si="378"/>
        <v>2</v>
      </c>
      <c r="AD3632" t="str">
        <f t="shared" si="377"/>
        <v>o</v>
      </c>
      <c r="AE3632" t="str">
        <f t="shared" si="381"/>
        <v/>
      </c>
      <c r="AF3632" t="str">
        <f t="shared" si="379"/>
        <v/>
      </c>
      <c r="AG3632" t="str">
        <f t="shared" si="380"/>
        <v/>
      </c>
      <c r="AN3632" t="str">
        <f t="shared" si="376"/>
        <v>Defensive</v>
      </c>
    </row>
    <row r="3633" spans="2:40" x14ac:dyDescent="0.2">
      <c r="B3633" t="str">
        <f t="shared" si="382"/>
        <v/>
      </c>
      <c r="U3633" s="8">
        <f t="shared" si="378"/>
        <v>2</v>
      </c>
      <c r="AD3633" t="str">
        <f t="shared" si="377"/>
        <v>o</v>
      </c>
      <c r="AE3633" t="str">
        <f t="shared" si="381"/>
        <v/>
      </c>
      <c r="AF3633" t="str">
        <f t="shared" si="379"/>
        <v/>
      </c>
      <c r="AG3633" t="str">
        <f t="shared" si="380"/>
        <v/>
      </c>
      <c r="AN3633" t="str">
        <f t="shared" si="376"/>
        <v>Defensive</v>
      </c>
    </row>
    <row r="3634" spans="2:40" x14ac:dyDescent="0.2">
      <c r="B3634" t="str">
        <f t="shared" si="382"/>
        <v/>
      </c>
      <c r="U3634" s="8">
        <f t="shared" si="378"/>
        <v>2</v>
      </c>
      <c r="AD3634" t="str">
        <f t="shared" si="377"/>
        <v>o</v>
      </c>
      <c r="AE3634" t="str">
        <f t="shared" si="381"/>
        <v/>
      </c>
      <c r="AF3634" t="str">
        <f t="shared" si="379"/>
        <v/>
      </c>
      <c r="AG3634" t="str">
        <f t="shared" si="380"/>
        <v/>
      </c>
      <c r="AN3634" t="str">
        <f t="shared" si="376"/>
        <v>Defensive</v>
      </c>
    </row>
    <row r="3635" spans="2:40" x14ac:dyDescent="0.2">
      <c r="B3635" t="str">
        <f t="shared" si="382"/>
        <v/>
      </c>
      <c r="U3635" s="8">
        <f t="shared" si="378"/>
        <v>2</v>
      </c>
      <c r="AD3635" t="str">
        <f t="shared" si="377"/>
        <v>o</v>
      </c>
      <c r="AE3635" t="str">
        <f t="shared" si="381"/>
        <v/>
      </c>
      <c r="AF3635" t="str">
        <f t="shared" si="379"/>
        <v/>
      </c>
      <c r="AG3635" t="str">
        <f t="shared" si="380"/>
        <v/>
      </c>
      <c r="AN3635" t="str">
        <f t="shared" si="376"/>
        <v>Defensive</v>
      </c>
    </row>
    <row r="3636" spans="2:40" x14ac:dyDescent="0.2">
      <c r="B3636" t="str">
        <f t="shared" si="382"/>
        <v/>
      </c>
      <c r="U3636" s="8">
        <f t="shared" si="378"/>
        <v>2</v>
      </c>
      <c r="AD3636" t="str">
        <f t="shared" si="377"/>
        <v>o</v>
      </c>
      <c r="AE3636" t="str">
        <f t="shared" si="381"/>
        <v/>
      </c>
      <c r="AF3636" t="str">
        <f t="shared" si="379"/>
        <v/>
      </c>
      <c r="AG3636" t="str">
        <f t="shared" si="380"/>
        <v/>
      </c>
      <c r="AN3636" t="str">
        <f t="shared" si="376"/>
        <v>Defensive</v>
      </c>
    </row>
    <row r="3637" spans="2:40" x14ac:dyDescent="0.2">
      <c r="B3637" t="str">
        <f t="shared" si="382"/>
        <v/>
      </c>
      <c r="U3637" s="8">
        <f t="shared" si="378"/>
        <v>2</v>
      </c>
      <c r="AD3637" t="str">
        <f t="shared" si="377"/>
        <v>o</v>
      </c>
      <c r="AE3637" t="str">
        <f t="shared" si="381"/>
        <v/>
      </c>
      <c r="AF3637" t="str">
        <f t="shared" si="379"/>
        <v/>
      </c>
      <c r="AG3637" t="str">
        <f t="shared" si="380"/>
        <v/>
      </c>
      <c r="AN3637" t="str">
        <f t="shared" si="376"/>
        <v>Defensive</v>
      </c>
    </row>
    <row r="3638" spans="2:40" x14ac:dyDescent="0.2">
      <c r="B3638" t="str">
        <f t="shared" si="382"/>
        <v/>
      </c>
      <c r="U3638" s="8">
        <f t="shared" si="378"/>
        <v>2</v>
      </c>
      <c r="AD3638" t="str">
        <f t="shared" si="377"/>
        <v>o</v>
      </c>
      <c r="AE3638" t="str">
        <f t="shared" si="381"/>
        <v/>
      </c>
      <c r="AF3638" t="str">
        <f t="shared" si="379"/>
        <v/>
      </c>
      <c r="AG3638" t="str">
        <f t="shared" si="380"/>
        <v/>
      </c>
      <c r="AN3638" t="str">
        <f t="shared" si="376"/>
        <v>Defensive</v>
      </c>
    </row>
    <row r="3639" spans="2:40" x14ac:dyDescent="0.2">
      <c r="B3639" t="str">
        <f t="shared" si="382"/>
        <v/>
      </c>
      <c r="U3639" s="8">
        <f t="shared" si="378"/>
        <v>2</v>
      </c>
      <c r="AD3639" t="str">
        <f t="shared" si="377"/>
        <v>o</v>
      </c>
      <c r="AE3639" t="str">
        <f t="shared" si="381"/>
        <v/>
      </c>
      <c r="AF3639" t="str">
        <f t="shared" si="379"/>
        <v/>
      </c>
      <c r="AG3639" t="str">
        <f t="shared" si="380"/>
        <v/>
      </c>
      <c r="AN3639" t="str">
        <f t="shared" si="376"/>
        <v>Defensive</v>
      </c>
    </row>
    <row r="3640" spans="2:40" x14ac:dyDescent="0.2">
      <c r="B3640" t="str">
        <f t="shared" si="382"/>
        <v/>
      </c>
      <c r="U3640" s="8">
        <f t="shared" si="378"/>
        <v>2</v>
      </c>
      <c r="AD3640" t="str">
        <f t="shared" si="377"/>
        <v>o</v>
      </c>
      <c r="AE3640" t="str">
        <f t="shared" si="381"/>
        <v/>
      </c>
      <c r="AF3640" t="str">
        <f t="shared" si="379"/>
        <v/>
      </c>
      <c r="AG3640" t="str">
        <f t="shared" si="380"/>
        <v/>
      </c>
      <c r="AN3640" t="str">
        <f t="shared" si="376"/>
        <v>Defensive</v>
      </c>
    </row>
    <row r="3641" spans="2:40" x14ac:dyDescent="0.2">
      <c r="B3641" t="str">
        <f t="shared" si="382"/>
        <v/>
      </c>
      <c r="U3641" s="8">
        <f t="shared" si="378"/>
        <v>2</v>
      </c>
      <c r="AD3641" t="str">
        <f t="shared" si="377"/>
        <v>o</v>
      </c>
      <c r="AE3641" t="str">
        <f t="shared" si="381"/>
        <v/>
      </c>
      <c r="AF3641" t="str">
        <f t="shared" si="379"/>
        <v/>
      </c>
      <c r="AG3641" t="str">
        <f t="shared" si="380"/>
        <v/>
      </c>
      <c r="AN3641" t="str">
        <f t="shared" ref="AN3641:AN3704" si="383">IF(AND(AD3641="e",OR(AE3641="Save",AF3641="Turnover_Takeaway",AF3641="Play_Defensive")),"Defensive",IF(AND(AD3641="o",OR(AE3641="Save",AF3641="Turnover_Takeaway",AF3641="Play_Defensive")),"Offensive",IF(OR(AE3641="Deadice",AE3641="Stoppage",AE3641="Intermission"),"",IF(AD3641="e","Offensive",IF(AD3641="o","Defensive","")))))</f>
        <v>Defensive</v>
      </c>
    </row>
    <row r="3642" spans="2:40" x14ac:dyDescent="0.2">
      <c r="B3642" t="str">
        <f t="shared" si="382"/>
        <v/>
      </c>
      <c r="U3642" s="8">
        <f t="shared" si="378"/>
        <v>2</v>
      </c>
      <c r="AD3642" t="str">
        <f t="shared" si="377"/>
        <v>o</v>
      </c>
      <c r="AE3642" t="str">
        <f t="shared" si="381"/>
        <v/>
      </c>
      <c r="AF3642" t="str">
        <f t="shared" si="379"/>
        <v/>
      </c>
      <c r="AG3642" t="str">
        <f t="shared" si="380"/>
        <v/>
      </c>
      <c r="AN3642" t="str">
        <f t="shared" si="383"/>
        <v>Defensive</v>
      </c>
    </row>
    <row r="3643" spans="2:40" x14ac:dyDescent="0.2">
      <c r="B3643" t="str">
        <f t="shared" si="382"/>
        <v/>
      </c>
      <c r="U3643" s="8">
        <f t="shared" si="378"/>
        <v>2</v>
      </c>
      <c r="AD3643" t="str">
        <f t="shared" si="377"/>
        <v>o</v>
      </c>
      <c r="AE3643" t="str">
        <f t="shared" si="381"/>
        <v/>
      </c>
      <c r="AF3643" t="str">
        <f t="shared" si="379"/>
        <v/>
      </c>
      <c r="AG3643" t="str">
        <f t="shared" si="380"/>
        <v/>
      </c>
      <c r="AN3643" t="str">
        <f t="shared" si="383"/>
        <v>Defensive</v>
      </c>
    </row>
    <row r="3644" spans="2:40" x14ac:dyDescent="0.2">
      <c r="B3644" t="str">
        <f t="shared" si="382"/>
        <v/>
      </c>
      <c r="U3644" s="8">
        <f t="shared" si="378"/>
        <v>2</v>
      </c>
      <c r="AD3644" t="str">
        <f t="shared" si="377"/>
        <v>o</v>
      </c>
      <c r="AE3644" t="str">
        <f t="shared" si="381"/>
        <v/>
      </c>
      <c r="AF3644" t="str">
        <f t="shared" si="379"/>
        <v/>
      </c>
      <c r="AG3644" t="str">
        <f t="shared" si="380"/>
        <v/>
      </c>
      <c r="AN3644" t="str">
        <f t="shared" si="383"/>
        <v>Defensive</v>
      </c>
    </row>
    <row r="3645" spans="2:40" x14ac:dyDescent="0.2">
      <c r="B3645" t="str">
        <f t="shared" si="382"/>
        <v/>
      </c>
      <c r="U3645" s="8">
        <f t="shared" si="378"/>
        <v>2</v>
      </c>
      <c r="AD3645" t="str">
        <f t="shared" si="377"/>
        <v>o</v>
      </c>
      <c r="AE3645" t="str">
        <f t="shared" si="381"/>
        <v/>
      </c>
      <c r="AF3645" t="str">
        <f t="shared" si="379"/>
        <v/>
      </c>
      <c r="AG3645" t="str">
        <f t="shared" si="380"/>
        <v/>
      </c>
      <c r="AN3645" t="str">
        <f t="shared" si="383"/>
        <v>Defensive</v>
      </c>
    </row>
    <row r="3646" spans="2:40" x14ac:dyDescent="0.2">
      <c r="B3646" t="str">
        <f t="shared" si="382"/>
        <v/>
      </c>
      <c r="U3646" s="8">
        <f t="shared" si="378"/>
        <v>2</v>
      </c>
      <c r="AD3646" t="str">
        <f t="shared" si="377"/>
        <v>o</v>
      </c>
      <c r="AE3646" t="str">
        <f t="shared" si="381"/>
        <v/>
      </c>
      <c r="AF3646" t="str">
        <f t="shared" si="379"/>
        <v/>
      </c>
      <c r="AG3646" t="str">
        <f t="shared" si="380"/>
        <v/>
      </c>
      <c r="AN3646" t="str">
        <f t="shared" si="383"/>
        <v>Defensive</v>
      </c>
    </row>
    <row r="3647" spans="2:40" x14ac:dyDescent="0.2">
      <c r="B3647" t="str">
        <f t="shared" si="382"/>
        <v/>
      </c>
      <c r="U3647" s="8">
        <f t="shared" si="378"/>
        <v>2</v>
      </c>
      <c r="AD3647" t="str">
        <f t="shared" si="377"/>
        <v>o</v>
      </c>
      <c r="AE3647" t="str">
        <f t="shared" si="381"/>
        <v/>
      </c>
      <c r="AF3647" t="str">
        <f t="shared" si="379"/>
        <v/>
      </c>
      <c r="AG3647" t="str">
        <f t="shared" si="380"/>
        <v/>
      </c>
      <c r="AN3647" t="str">
        <f t="shared" si="383"/>
        <v>Defensive</v>
      </c>
    </row>
    <row r="3648" spans="2:40" x14ac:dyDescent="0.2">
      <c r="B3648" t="str">
        <f t="shared" si="382"/>
        <v/>
      </c>
      <c r="U3648" s="8">
        <f t="shared" si="378"/>
        <v>2</v>
      </c>
      <c r="AD3648" t="str">
        <f t="shared" si="377"/>
        <v>o</v>
      </c>
      <c r="AE3648" t="str">
        <f t="shared" si="381"/>
        <v/>
      </c>
      <c r="AF3648" t="str">
        <f t="shared" si="379"/>
        <v/>
      </c>
      <c r="AG3648" t="str">
        <f t="shared" si="380"/>
        <v/>
      </c>
      <c r="AN3648" t="str">
        <f t="shared" si="383"/>
        <v>Defensive</v>
      </c>
    </row>
    <row r="3649" spans="2:40" x14ac:dyDescent="0.2">
      <c r="B3649" t="str">
        <f t="shared" si="382"/>
        <v/>
      </c>
      <c r="U3649" s="8">
        <f t="shared" si="378"/>
        <v>2</v>
      </c>
      <c r="AD3649" t="str">
        <f t="shared" si="377"/>
        <v>o</v>
      </c>
      <c r="AE3649" t="str">
        <f t="shared" si="381"/>
        <v/>
      </c>
      <c r="AF3649" t="str">
        <f t="shared" si="379"/>
        <v/>
      </c>
      <c r="AG3649" t="str">
        <f t="shared" si="380"/>
        <v/>
      </c>
      <c r="AN3649" t="str">
        <f t="shared" si="383"/>
        <v>Defensive</v>
      </c>
    </row>
    <row r="3650" spans="2:40" x14ac:dyDescent="0.2">
      <c r="B3650" t="str">
        <f t="shared" si="382"/>
        <v/>
      </c>
      <c r="U3650" s="8">
        <f t="shared" si="378"/>
        <v>2</v>
      </c>
      <c r="AD3650" t="str">
        <f t="shared" ref="AD3650:AD3713" si="384">IF(K3650="x","",IF(K3650=1,"e","o"))</f>
        <v>o</v>
      </c>
      <c r="AE3650" t="str">
        <f t="shared" si="381"/>
        <v/>
      </c>
      <c r="AF3650" t="str">
        <f t="shared" si="379"/>
        <v/>
      </c>
      <c r="AG3650" t="str">
        <f t="shared" si="380"/>
        <v/>
      </c>
      <c r="AN3650" t="str">
        <f t="shared" si="383"/>
        <v>Defensive</v>
      </c>
    </row>
    <row r="3651" spans="2:40" x14ac:dyDescent="0.2">
      <c r="B3651" t="str">
        <f t="shared" si="382"/>
        <v/>
      </c>
      <c r="U3651" s="8">
        <f t="shared" ref="U3651:U3714" si="385">IF(M3651="Intermission",U3650+1,U3650)</f>
        <v>2</v>
      </c>
      <c r="AD3651" t="str">
        <f t="shared" si="384"/>
        <v>o</v>
      </c>
      <c r="AE3651" t="str">
        <f t="shared" si="381"/>
        <v/>
      </c>
      <c r="AF3651" t="str">
        <f t="shared" ref="AF3651:AF3714" si="386">IF(N3651&lt;&gt;"",N3651,IF($A3651=$A3650,AF3650,""))</f>
        <v/>
      </c>
      <c r="AG3651" t="str">
        <f t="shared" ref="AG3651:AG3714" si="387">IF(O3651&lt;&gt;"",O3651,IF($A3651=$A3650,AG3650,""))</f>
        <v/>
      </c>
      <c r="AN3651" t="str">
        <f t="shared" si="383"/>
        <v>Defensive</v>
      </c>
    </row>
    <row r="3652" spans="2:40" x14ac:dyDescent="0.2">
      <c r="B3652" t="str">
        <f t="shared" si="382"/>
        <v/>
      </c>
      <c r="U3652" s="8">
        <f t="shared" si="385"/>
        <v>2</v>
      </c>
      <c r="AD3652" t="str">
        <f t="shared" si="384"/>
        <v>o</v>
      </c>
      <c r="AE3652" t="str">
        <f t="shared" ref="AE3652:AE3715" si="388">IF(M3652&lt;&gt;"",M3652,IF($A3652=$A3651,AE3651,""))</f>
        <v/>
      </c>
      <c r="AF3652" t="str">
        <f t="shared" si="386"/>
        <v/>
      </c>
      <c r="AG3652" t="str">
        <f t="shared" si="387"/>
        <v/>
      </c>
      <c r="AN3652" t="str">
        <f t="shared" si="383"/>
        <v>Defensive</v>
      </c>
    </row>
    <row r="3653" spans="2:40" x14ac:dyDescent="0.2">
      <c r="B3653" t="str">
        <f t="shared" si="382"/>
        <v/>
      </c>
      <c r="U3653" s="8">
        <f t="shared" si="385"/>
        <v>2</v>
      </c>
      <c r="AD3653" t="str">
        <f t="shared" si="384"/>
        <v>o</v>
      </c>
      <c r="AE3653" t="str">
        <f t="shared" si="388"/>
        <v/>
      </c>
      <c r="AF3653" t="str">
        <f t="shared" si="386"/>
        <v/>
      </c>
      <c r="AG3653" t="str">
        <f t="shared" si="387"/>
        <v/>
      </c>
      <c r="AN3653" t="str">
        <f t="shared" si="383"/>
        <v>Defensive</v>
      </c>
    </row>
    <row r="3654" spans="2:40" x14ac:dyDescent="0.2">
      <c r="B3654" t="str">
        <f t="shared" si="382"/>
        <v/>
      </c>
      <c r="U3654" s="8">
        <f t="shared" si="385"/>
        <v>2</v>
      </c>
      <c r="AD3654" t="str">
        <f t="shared" si="384"/>
        <v>o</v>
      </c>
      <c r="AE3654" t="str">
        <f t="shared" si="388"/>
        <v/>
      </c>
      <c r="AF3654" t="str">
        <f t="shared" si="386"/>
        <v/>
      </c>
      <c r="AG3654" t="str">
        <f t="shared" si="387"/>
        <v/>
      </c>
      <c r="AN3654" t="str">
        <f t="shared" si="383"/>
        <v>Defensive</v>
      </c>
    </row>
    <row r="3655" spans="2:40" x14ac:dyDescent="0.2">
      <c r="B3655" t="str">
        <f t="shared" si="382"/>
        <v/>
      </c>
      <c r="U3655" s="8">
        <f t="shared" si="385"/>
        <v>2</v>
      </c>
      <c r="AD3655" t="str">
        <f t="shared" si="384"/>
        <v>o</v>
      </c>
      <c r="AE3655" t="str">
        <f t="shared" si="388"/>
        <v/>
      </c>
      <c r="AF3655" t="str">
        <f t="shared" si="386"/>
        <v/>
      </c>
      <c r="AG3655" t="str">
        <f t="shared" si="387"/>
        <v/>
      </c>
      <c r="AN3655" t="str">
        <f t="shared" si="383"/>
        <v>Defensive</v>
      </c>
    </row>
    <row r="3656" spans="2:40" x14ac:dyDescent="0.2">
      <c r="B3656" t="str">
        <f t="shared" si="382"/>
        <v/>
      </c>
      <c r="U3656" s="8">
        <f t="shared" si="385"/>
        <v>2</v>
      </c>
      <c r="AD3656" t="str">
        <f t="shared" si="384"/>
        <v>o</v>
      </c>
      <c r="AE3656" t="str">
        <f t="shared" si="388"/>
        <v/>
      </c>
      <c r="AF3656" t="str">
        <f t="shared" si="386"/>
        <v/>
      </c>
      <c r="AG3656" t="str">
        <f t="shared" si="387"/>
        <v/>
      </c>
      <c r="AN3656" t="str">
        <f t="shared" si="383"/>
        <v>Defensive</v>
      </c>
    </row>
    <row r="3657" spans="2:40" x14ac:dyDescent="0.2">
      <c r="B3657" t="str">
        <f t="shared" si="382"/>
        <v/>
      </c>
      <c r="U3657" s="8">
        <f t="shared" si="385"/>
        <v>2</v>
      </c>
      <c r="AD3657" t="str">
        <f t="shared" si="384"/>
        <v>o</v>
      </c>
      <c r="AE3657" t="str">
        <f t="shared" si="388"/>
        <v/>
      </c>
      <c r="AF3657" t="str">
        <f t="shared" si="386"/>
        <v/>
      </c>
      <c r="AG3657" t="str">
        <f t="shared" si="387"/>
        <v/>
      </c>
      <c r="AN3657" t="str">
        <f t="shared" si="383"/>
        <v>Defensive</v>
      </c>
    </row>
    <row r="3658" spans="2:40" x14ac:dyDescent="0.2">
      <c r="B3658" t="str">
        <f t="shared" si="382"/>
        <v/>
      </c>
      <c r="U3658" s="8">
        <f t="shared" si="385"/>
        <v>2</v>
      </c>
      <c r="AD3658" t="str">
        <f t="shared" si="384"/>
        <v>o</v>
      </c>
      <c r="AE3658" t="str">
        <f t="shared" si="388"/>
        <v/>
      </c>
      <c r="AF3658" t="str">
        <f t="shared" si="386"/>
        <v/>
      </c>
      <c r="AG3658" t="str">
        <f t="shared" si="387"/>
        <v/>
      </c>
      <c r="AN3658" t="str">
        <f t="shared" si="383"/>
        <v>Defensive</v>
      </c>
    </row>
    <row r="3659" spans="2:40" x14ac:dyDescent="0.2">
      <c r="B3659" t="str">
        <f t="shared" si="382"/>
        <v/>
      </c>
      <c r="U3659" s="8">
        <f t="shared" si="385"/>
        <v>2</v>
      </c>
      <c r="AD3659" t="str">
        <f t="shared" si="384"/>
        <v>o</v>
      </c>
      <c r="AE3659" t="str">
        <f t="shared" si="388"/>
        <v/>
      </c>
      <c r="AF3659" t="str">
        <f t="shared" si="386"/>
        <v/>
      </c>
      <c r="AG3659" t="str">
        <f t="shared" si="387"/>
        <v/>
      </c>
      <c r="AN3659" t="str">
        <f t="shared" si="383"/>
        <v>Defensive</v>
      </c>
    </row>
    <row r="3660" spans="2:40" x14ac:dyDescent="0.2">
      <c r="B3660" t="str">
        <f t="shared" si="382"/>
        <v/>
      </c>
      <c r="U3660" s="8">
        <f t="shared" si="385"/>
        <v>2</v>
      </c>
      <c r="AD3660" t="str">
        <f t="shared" si="384"/>
        <v>o</v>
      </c>
      <c r="AE3660" t="str">
        <f t="shared" si="388"/>
        <v/>
      </c>
      <c r="AF3660" t="str">
        <f t="shared" si="386"/>
        <v/>
      </c>
      <c r="AG3660" t="str">
        <f t="shared" si="387"/>
        <v/>
      </c>
      <c r="AN3660" t="str">
        <f t="shared" si="383"/>
        <v>Defensive</v>
      </c>
    </row>
    <row r="3661" spans="2:40" x14ac:dyDescent="0.2">
      <c r="B3661" t="str">
        <f t="shared" si="382"/>
        <v/>
      </c>
      <c r="U3661" s="8">
        <f t="shared" si="385"/>
        <v>2</v>
      </c>
      <c r="AD3661" t="str">
        <f t="shared" si="384"/>
        <v>o</v>
      </c>
      <c r="AE3661" t="str">
        <f t="shared" si="388"/>
        <v/>
      </c>
      <c r="AF3661" t="str">
        <f t="shared" si="386"/>
        <v/>
      </c>
      <c r="AG3661" t="str">
        <f t="shared" si="387"/>
        <v/>
      </c>
      <c r="AN3661" t="str">
        <f t="shared" si="383"/>
        <v>Defensive</v>
      </c>
    </row>
    <row r="3662" spans="2:40" x14ac:dyDescent="0.2">
      <c r="B3662" t="str">
        <f t="shared" si="382"/>
        <v/>
      </c>
      <c r="U3662" s="8">
        <f t="shared" si="385"/>
        <v>2</v>
      </c>
      <c r="AD3662" t="str">
        <f t="shared" si="384"/>
        <v>o</v>
      </c>
      <c r="AE3662" t="str">
        <f t="shared" si="388"/>
        <v/>
      </c>
      <c r="AF3662" t="str">
        <f t="shared" si="386"/>
        <v/>
      </c>
      <c r="AG3662" t="str">
        <f t="shared" si="387"/>
        <v/>
      </c>
      <c r="AN3662" t="str">
        <f t="shared" si="383"/>
        <v>Defensive</v>
      </c>
    </row>
    <row r="3663" spans="2:40" x14ac:dyDescent="0.2">
      <c r="B3663" t="str">
        <f t="shared" si="382"/>
        <v/>
      </c>
      <c r="U3663" s="8">
        <f t="shared" si="385"/>
        <v>2</v>
      </c>
      <c r="AD3663" t="str">
        <f t="shared" si="384"/>
        <v>o</v>
      </c>
      <c r="AE3663" t="str">
        <f t="shared" si="388"/>
        <v/>
      </c>
      <c r="AF3663" t="str">
        <f t="shared" si="386"/>
        <v/>
      </c>
      <c r="AG3663" t="str">
        <f t="shared" si="387"/>
        <v/>
      </c>
      <c r="AN3663" t="str">
        <f t="shared" si="383"/>
        <v>Defensive</v>
      </c>
    </row>
    <row r="3664" spans="2:40" x14ac:dyDescent="0.2">
      <c r="B3664" t="str">
        <f t="shared" si="382"/>
        <v/>
      </c>
      <c r="U3664" s="8">
        <f t="shared" si="385"/>
        <v>2</v>
      </c>
      <c r="AD3664" t="str">
        <f t="shared" si="384"/>
        <v>o</v>
      </c>
      <c r="AE3664" t="str">
        <f t="shared" si="388"/>
        <v/>
      </c>
      <c r="AF3664" t="str">
        <f t="shared" si="386"/>
        <v/>
      </c>
      <c r="AG3664" t="str">
        <f t="shared" si="387"/>
        <v/>
      </c>
      <c r="AN3664" t="str">
        <f t="shared" si="383"/>
        <v>Defensive</v>
      </c>
    </row>
    <row r="3665" spans="2:40" x14ac:dyDescent="0.2">
      <c r="B3665" t="str">
        <f t="shared" si="382"/>
        <v/>
      </c>
      <c r="U3665" s="8">
        <f t="shared" si="385"/>
        <v>2</v>
      </c>
      <c r="AD3665" t="str">
        <f t="shared" si="384"/>
        <v>o</v>
      </c>
      <c r="AE3665" t="str">
        <f t="shared" si="388"/>
        <v/>
      </c>
      <c r="AF3665" t="str">
        <f t="shared" si="386"/>
        <v/>
      </c>
      <c r="AG3665" t="str">
        <f t="shared" si="387"/>
        <v/>
      </c>
      <c r="AN3665" t="str">
        <f t="shared" si="383"/>
        <v>Defensive</v>
      </c>
    </row>
    <row r="3666" spans="2:40" x14ac:dyDescent="0.2">
      <c r="B3666" t="str">
        <f t="shared" si="382"/>
        <v/>
      </c>
      <c r="U3666" s="8">
        <f t="shared" si="385"/>
        <v>2</v>
      </c>
      <c r="AD3666" t="str">
        <f t="shared" si="384"/>
        <v>o</v>
      </c>
      <c r="AE3666" t="str">
        <f t="shared" si="388"/>
        <v/>
      </c>
      <c r="AF3666" t="str">
        <f t="shared" si="386"/>
        <v/>
      </c>
      <c r="AG3666" t="str">
        <f t="shared" si="387"/>
        <v/>
      </c>
      <c r="AN3666" t="str">
        <f t="shared" si="383"/>
        <v>Defensive</v>
      </c>
    </row>
    <row r="3667" spans="2:40" x14ac:dyDescent="0.2">
      <c r="B3667" t="str">
        <f t="shared" si="382"/>
        <v/>
      </c>
      <c r="U3667" s="8">
        <f t="shared" si="385"/>
        <v>2</v>
      </c>
      <c r="AD3667" t="str">
        <f t="shared" si="384"/>
        <v>o</v>
      </c>
      <c r="AE3667" t="str">
        <f t="shared" si="388"/>
        <v/>
      </c>
      <c r="AF3667" t="str">
        <f t="shared" si="386"/>
        <v/>
      </c>
      <c r="AG3667" t="str">
        <f t="shared" si="387"/>
        <v/>
      </c>
      <c r="AN3667" t="str">
        <f t="shared" si="383"/>
        <v>Defensive</v>
      </c>
    </row>
    <row r="3668" spans="2:40" x14ac:dyDescent="0.2">
      <c r="B3668" t="str">
        <f t="shared" si="382"/>
        <v/>
      </c>
      <c r="U3668" s="8">
        <f t="shared" si="385"/>
        <v>2</v>
      </c>
      <c r="AD3668" t="str">
        <f t="shared" si="384"/>
        <v>o</v>
      </c>
      <c r="AE3668" t="str">
        <f t="shared" si="388"/>
        <v/>
      </c>
      <c r="AF3668" t="str">
        <f t="shared" si="386"/>
        <v/>
      </c>
      <c r="AG3668" t="str">
        <f t="shared" si="387"/>
        <v/>
      </c>
      <c r="AN3668" t="str">
        <f t="shared" si="383"/>
        <v>Defensive</v>
      </c>
    </row>
    <row r="3669" spans="2:40" x14ac:dyDescent="0.2">
      <c r="B3669" t="str">
        <f t="shared" si="382"/>
        <v/>
      </c>
      <c r="U3669" s="8">
        <f t="shared" si="385"/>
        <v>2</v>
      </c>
      <c r="AD3669" t="str">
        <f t="shared" si="384"/>
        <v>o</v>
      </c>
      <c r="AE3669" t="str">
        <f t="shared" si="388"/>
        <v/>
      </c>
      <c r="AF3669" t="str">
        <f t="shared" si="386"/>
        <v/>
      </c>
      <c r="AG3669" t="str">
        <f t="shared" si="387"/>
        <v/>
      </c>
      <c r="AN3669" t="str">
        <f t="shared" si="383"/>
        <v>Defensive</v>
      </c>
    </row>
    <row r="3670" spans="2:40" x14ac:dyDescent="0.2">
      <c r="B3670" t="str">
        <f t="shared" si="382"/>
        <v/>
      </c>
      <c r="U3670" s="8">
        <f t="shared" si="385"/>
        <v>2</v>
      </c>
      <c r="AD3670" t="str">
        <f t="shared" si="384"/>
        <v>o</v>
      </c>
      <c r="AE3670" t="str">
        <f t="shared" si="388"/>
        <v/>
      </c>
      <c r="AF3670" t="str">
        <f t="shared" si="386"/>
        <v/>
      </c>
      <c r="AG3670" t="str">
        <f t="shared" si="387"/>
        <v/>
      </c>
      <c r="AN3670" t="str">
        <f t="shared" si="383"/>
        <v>Defensive</v>
      </c>
    </row>
    <row r="3671" spans="2:40" x14ac:dyDescent="0.2">
      <c r="B3671" t="str">
        <f t="shared" si="382"/>
        <v/>
      </c>
      <c r="U3671" s="8">
        <f t="shared" si="385"/>
        <v>2</v>
      </c>
      <c r="AD3671" t="str">
        <f t="shared" si="384"/>
        <v>o</v>
      </c>
      <c r="AE3671" t="str">
        <f t="shared" si="388"/>
        <v/>
      </c>
      <c r="AF3671" t="str">
        <f t="shared" si="386"/>
        <v/>
      </c>
      <c r="AG3671" t="str">
        <f t="shared" si="387"/>
        <v/>
      </c>
      <c r="AN3671" t="str">
        <f t="shared" si="383"/>
        <v>Defensive</v>
      </c>
    </row>
    <row r="3672" spans="2:40" x14ac:dyDescent="0.2">
      <c r="B3672" t="str">
        <f t="shared" si="382"/>
        <v/>
      </c>
      <c r="U3672" s="8">
        <f t="shared" si="385"/>
        <v>2</v>
      </c>
      <c r="AD3672" t="str">
        <f t="shared" si="384"/>
        <v>o</v>
      </c>
      <c r="AE3672" t="str">
        <f t="shared" si="388"/>
        <v/>
      </c>
      <c r="AF3672" t="str">
        <f t="shared" si="386"/>
        <v/>
      </c>
      <c r="AG3672" t="str">
        <f t="shared" si="387"/>
        <v/>
      </c>
      <c r="AN3672" t="str">
        <f t="shared" si="383"/>
        <v>Defensive</v>
      </c>
    </row>
    <row r="3673" spans="2:40" x14ac:dyDescent="0.2">
      <c r="B3673" t="str">
        <f t="shared" si="382"/>
        <v/>
      </c>
      <c r="U3673" s="8">
        <f t="shared" si="385"/>
        <v>2</v>
      </c>
      <c r="AD3673" t="str">
        <f t="shared" si="384"/>
        <v>o</v>
      </c>
      <c r="AE3673" t="str">
        <f t="shared" si="388"/>
        <v/>
      </c>
      <c r="AF3673" t="str">
        <f t="shared" si="386"/>
        <v/>
      </c>
      <c r="AG3673" t="str">
        <f t="shared" si="387"/>
        <v/>
      </c>
      <c r="AN3673" t="str">
        <f t="shared" si="383"/>
        <v>Defensive</v>
      </c>
    </row>
    <row r="3674" spans="2:40" x14ac:dyDescent="0.2">
      <c r="B3674" t="str">
        <f t="shared" si="382"/>
        <v/>
      </c>
      <c r="U3674" s="8">
        <f t="shared" si="385"/>
        <v>2</v>
      </c>
      <c r="AD3674" t="str">
        <f t="shared" si="384"/>
        <v>o</v>
      </c>
      <c r="AE3674" t="str">
        <f t="shared" si="388"/>
        <v/>
      </c>
      <c r="AF3674" t="str">
        <f t="shared" si="386"/>
        <v/>
      </c>
      <c r="AG3674" t="str">
        <f t="shared" si="387"/>
        <v/>
      </c>
      <c r="AN3674" t="str">
        <f t="shared" si="383"/>
        <v>Defensive</v>
      </c>
    </row>
    <row r="3675" spans="2:40" x14ac:dyDescent="0.2">
      <c r="B3675" t="str">
        <f t="shared" si="382"/>
        <v/>
      </c>
      <c r="U3675" s="8">
        <f t="shared" si="385"/>
        <v>2</v>
      </c>
      <c r="AD3675" t="str">
        <f t="shared" si="384"/>
        <v>o</v>
      </c>
      <c r="AE3675" t="str">
        <f t="shared" si="388"/>
        <v/>
      </c>
      <c r="AF3675" t="str">
        <f t="shared" si="386"/>
        <v/>
      </c>
      <c r="AG3675" t="str">
        <f t="shared" si="387"/>
        <v/>
      </c>
      <c r="AN3675" t="str">
        <f t="shared" si="383"/>
        <v>Defensive</v>
      </c>
    </row>
    <row r="3676" spans="2:40" x14ac:dyDescent="0.2">
      <c r="B3676" t="str">
        <f t="shared" si="382"/>
        <v/>
      </c>
      <c r="U3676" s="8">
        <f t="shared" si="385"/>
        <v>2</v>
      </c>
      <c r="AD3676" t="str">
        <f t="shared" si="384"/>
        <v>o</v>
      </c>
      <c r="AE3676" t="str">
        <f t="shared" si="388"/>
        <v/>
      </c>
      <c r="AF3676" t="str">
        <f t="shared" si="386"/>
        <v/>
      </c>
      <c r="AG3676" t="str">
        <f t="shared" si="387"/>
        <v/>
      </c>
      <c r="AN3676" t="str">
        <f t="shared" si="383"/>
        <v>Defensive</v>
      </c>
    </row>
    <row r="3677" spans="2:40" x14ac:dyDescent="0.2">
      <c r="B3677" t="str">
        <f t="shared" si="382"/>
        <v/>
      </c>
      <c r="U3677" s="8">
        <f t="shared" si="385"/>
        <v>2</v>
      </c>
      <c r="AD3677" t="str">
        <f t="shared" si="384"/>
        <v>o</v>
      </c>
      <c r="AE3677" t="str">
        <f t="shared" si="388"/>
        <v/>
      </c>
      <c r="AF3677" t="str">
        <f t="shared" si="386"/>
        <v/>
      </c>
      <c r="AG3677" t="str">
        <f t="shared" si="387"/>
        <v/>
      </c>
      <c r="AN3677" t="str">
        <f t="shared" si="383"/>
        <v>Defensive</v>
      </c>
    </row>
    <row r="3678" spans="2:40" x14ac:dyDescent="0.2">
      <c r="B3678" t="str">
        <f t="shared" si="382"/>
        <v/>
      </c>
      <c r="U3678" s="8">
        <f t="shared" si="385"/>
        <v>2</v>
      </c>
      <c r="AD3678" t="str">
        <f t="shared" si="384"/>
        <v>o</v>
      </c>
      <c r="AE3678" t="str">
        <f t="shared" si="388"/>
        <v/>
      </c>
      <c r="AF3678" t="str">
        <f t="shared" si="386"/>
        <v/>
      </c>
      <c r="AG3678" t="str">
        <f t="shared" si="387"/>
        <v/>
      </c>
      <c r="AN3678" t="str">
        <f t="shared" si="383"/>
        <v>Defensive</v>
      </c>
    </row>
    <row r="3679" spans="2:40" x14ac:dyDescent="0.2">
      <c r="B3679" t="str">
        <f t="shared" si="382"/>
        <v/>
      </c>
      <c r="U3679" s="8">
        <f t="shared" si="385"/>
        <v>2</v>
      </c>
      <c r="AD3679" t="str">
        <f t="shared" si="384"/>
        <v>o</v>
      </c>
      <c r="AE3679" t="str">
        <f t="shared" si="388"/>
        <v/>
      </c>
      <c r="AF3679" t="str">
        <f t="shared" si="386"/>
        <v/>
      </c>
      <c r="AG3679" t="str">
        <f t="shared" si="387"/>
        <v/>
      </c>
      <c r="AN3679" t="str">
        <f t="shared" si="383"/>
        <v>Defensive</v>
      </c>
    </row>
    <row r="3680" spans="2:40" x14ac:dyDescent="0.2">
      <c r="B3680" t="str">
        <f t="shared" si="382"/>
        <v/>
      </c>
      <c r="U3680" s="8">
        <f t="shared" si="385"/>
        <v>2</v>
      </c>
      <c r="AD3680" t="str">
        <f t="shared" si="384"/>
        <v>o</v>
      </c>
      <c r="AE3680" t="str">
        <f t="shared" si="388"/>
        <v/>
      </c>
      <c r="AF3680" t="str">
        <f t="shared" si="386"/>
        <v/>
      </c>
      <c r="AG3680" t="str">
        <f t="shared" si="387"/>
        <v/>
      </c>
      <c r="AN3680" t="str">
        <f t="shared" si="383"/>
        <v>Defensive</v>
      </c>
    </row>
    <row r="3681" spans="2:40" x14ac:dyDescent="0.2">
      <c r="B3681" t="str">
        <f t="shared" si="382"/>
        <v/>
      </c>
      <c r="U3681" s="8">
        <f t="shared" si="385"/>
        <v>2</v>
      </c>
      <c r="AD3681" t="str">
        <f t="shared" si="384"/>
        <v>o</v>
      </c>
      <c r="AE3681" t="str">
        <f t="shared" si="388"/>
        <v/>
      </c>
      <c r="AF3681" t="str">
        <f t="shared" si="386"/>
        <v/>
      </c>
      <c r="AG3681" t="str">
        <f t="shared" si="387"/>
        <v/>
      </c>
      <c r="AN3681" t="str">
        <f t="shared" si="383"/>
        <v>Defensive</v>
      </c>
    </row>
    <row r="3682" spans="2:40" x14ac:dyDescent="0.2">
      <c r="B3682" t="str">
        <f t="shared" si="382"/>
        <v/>
      </c>
      <c r="U3682" s="8">
        <f t="shared" si="385"/>
        <v>2</v>
      </c>
      <c r="AD3682" t="str">
        <f t="shared" si="384"/>
        <v>o</v>
      </c>
      <c r="AE3682" t="str">
        <f t="shared" si="388"/>
        <v/>
      </c>
      <c r="AF3682" t="str">
        <f t="shared" si="386"/>
        <v/>
      </c>
      <c r="AG3682" t="str">
        <f t="shared" si="387"/>
        <v/>
      </c>
      <c r="AN3682" t="str">
        <f t="shared" si="383"/>
        <v>Defensive</v>
      </c>
    </row>
    <row r="3683" spans="2:40" x14ac:dyDescent="0.2">
      <c r="B3683" t="str">
        <f t="shared" si="382"/>
        <v/>
      </c>
      <c r="U3683" s="8">
        <f t="shared" si="385"/>
        <v>2</v>
      </c>
      <c r="AD3683" t="str">
        <f t="shared" si="384"/>
        <v>o</v>
      </c>
      <c r="AE3683" t="str">
        <f t="shared" si="388"/>
        <v/>
      </c>
      <c r="AF3683" t="str">
        <f t="shared" si="386"/>
        <v/>
      </c>
      <c r="AG3683" t="str">
        <f t="shared" si="387"/>
        <v/>
      </c>
      <c r="AN3683" t="str">
        <f t="shared" si="383"/>
        <v>Defensive</v>
      </c>
    </row>
    <row r="3684" spans="2:40" x14ac:dyDescent="0.2">
      <c r="B3684" t="str">
        <f t="shared" si="382"/>
        <v/>
      </c>
      <c r="U3684" s="8">
        <f t="shared" si="385"/>
        <v>2</v>
      </c>
      <c r="AD3684" t="str">
        <f t="shared" si="384"/>
        <v>o</v>
      </c>
      <c r="AE3684" t="str">
        <f t="shared" si="388"/>
        <v/>
      </c>
      <c r="AF3684" t="str">
        <f t="shared" si="386"/>
        <v/>
      </c>
      <c r="AG3684" t="str">
        <f t="shared" si="387"/>
        <v/>
      </c>
      <c r="AN3684" t="str">
        <f t="shared" si="383"/>
        <v>Defensive</v>
      </c>
    </row>
    <row r="3685" spans="2:40" x14ac:dyDescent="0.2">
      <c r="B3685" t="str">
        <f t="shared" si="382"/>
        <v/>
      </c>
      <c r="U3685" s="8">
        <f t="shared" si="385"/>
        <v>2</v>
      </c>
      <c r="AD3685" t="str">
        <f t="shared" si="384"/>
        <v>o</v>
      </c>
      <c r="AE3685" t="str">
        <f t="shared" si="388"/>
        <v/>
      </c>
      <c r="AF3685" t="str">
        <f t="shared" si="386"/>
        <v/>
      </c>
      <c r="AG3685" t="str">
        <f t="shared" si="387"/>
        <v/>
      </c>
      <c r="AN3685" t="str">
        <f t="shared" si="383"/>
        <v>Defensive</v>
      </c>
    </row>
    <row r="3686" spans="2:40" x14ac:dyDescent="0.2">
      <c r="B3686" t="str">
        <f t="shared" si="382"/>
        <v/>
      </c>
      <c r="U3686" s="8">
        <f t="shared" si="385"/>
        <v>2</v>
      </c>
      <c r="AD3686" t="str">
        <f t="shared" si="384"/>
        <v>o</v>
      </c>
      <c r="AE3686" t="str">
        <f t="shared" si="388"/>
        <v/>
      </c>
      <c r="AF3686" t="str">
        <f t="shared" si="386"/>
        <v/>
      </c>
      <c r="AG3686" t="str">
        <f t="shared" si="387"/>
        <v/>
      </c>
      <c r="AN3686" t="str">
        <f t="shared" si="383"/>
        <v>Defensive</v>
      </c>
    </row>
    <row r="3687" spans="2:40" x14ac:dyDescent="0.2">
      <c r="B3687" t="str">
        <f t="shared" si="382"/>
        <v/>
      </c>
      <c r="U3687" s="8">
        <f t="shared" si="385"/>
        <v>2</v>
      </c>
      <c r="AD3687" t="str">
        <f t="shared" si="384"/>
        <v>o</v>
      </c>
      <c r="AE3687" t="str">
        <f t="shared" si="388"/>
        <v/>
      </c>
      <c r="AF3687" t="str">
        <f t="shared" si="386"/>
        <v/>
      </c>
      <c r="AG3687" t="str">
        <f t="shared" si="387"/>
        <v/>
      </c>
      <c r="AN3687" t="str">
        <f t="shared" si="383"/>
        <v>Defensive</v>
      </c>
    </row>
    <row r="3688" spans="2:40" x14ac:dyDescent="0.2">
      <c r="B3688" t="str">
        <f t="shared" si="382"/>
        <v/>
      </c>
      <c r="U3688" s="8">
        <f t="shared" si="385"/>
        <v>2</v>
      </c>
      <c r="AD3688" t="str">
        <f t="shared" si="384"/>
        <v>o</v>
      </c>
      <c r="AE3688" t="str">
        <f t="shared" si="388"/>
        <v/>
      </c>
      <c r="AF3688" t="str">
        <f t="shared" si="386"/>
        <v/>
      </c>
      <c r="AG3688" t="str">
        <f t="shared" si="387"/>
        <v/>
      </c>
      <c r="AN3688" t="str">
        <f t="shared" si="383"/>
        <v>Defensive</v>
      </c>
    </row>
    <row r="3689" spans="2:40" x14ac:dyDescent="0.2">
      <c r="B3689" t="str">
        <f t="shared" si="382"/>
        <v/>
      </c>
      <c r="U3689" s="8">
        <f t="shared" si="385"/>
        <v>2</v>
      </c>
      <c r="AD3689" t="str">
        <f t="shared" si="384"/>
        <v>o</v>
      </c>
      <c r="AE3689" t="str">
        <f t="shared" si="388"/>
        <v/>
      </c>
      <c r="AF3689" t="str">
        <f t="shared" si="386"/>
        <v/>
      </c>
      <c r="AG3689" t="str">
        <f t="shared" si="387"/>
        <v/>
      </c>
      <c r="AN3689" t="str">
        <f t="shared" si="383"/>
        <v>Defensive</v>
      </c>
    </row>
    <row r="3690" spans="2:40" x14ac:dyDescent="0.2">
      <c r="B3690" t="str">
        <f t="shared" si="382"/>
        <v/>
      </c>
      <c r="U3690" s="8">
        <f t="shared" si="385"/>
        <v>2</v>
      </c>
      <c r="AD3690" t="str">
        <f t="shared" si="384"/>
        <v>o</v>
      </c>
      <c r="AE3690" t="str">
        <f t="shared" si="388"/>
        <v/>
      </c>
      <c r="AF3690" t="str">
        <f t="shared" si="386"/>
        <v/>
      </c>
      <c r="AG3690" t="str">
        <f t="shared" si="387"/>
        <v/>
      </c>
      <c r="AN3690" t="str">
        <f t="shared" si="383"/>
        <v>Defensive</v>
      </c>
    </row>
    <row r="3691" spans="2:40" x14ac:dyDescent="0.2">
      <c r="B3691" t="str">
        <f t="shared" si="382"/>
        <v/>
      </c>
      <c r="U3691" s="8">
        <f t="shared" si="385"/>
        <v>2</v>
      </c>
      <c r="AD3691" t="str">
        <f t="shared" si="384"/>
        <v>o</v>
      </c>
      <c r="AE3691" t="str">
        <f t="shared" si="388"/>
        <v/>
      </c>
      <c r="AF3691" t="str">
        <f t="shared" si="386"/>
        <v/>
      </c>
      <c r="AG3691" t="str">
        <f t="shared" si="387"/>
        <v/>
      </c>
      <c r="AN3691" t="str">
        <f t="shared" si="383"/>
        <v>Defensive</v>
      </c>
    </row>
    <row r="3692" spans="2:40" x14ac:dyDescent="0.2">
      <c r="B3692" t="str">
        <f t="shared" si="382"/>
        <v/>
      </c>
      <c r="U3692" s="8">
        <f t="shared" si="385"/>
        <v>2</v>
      </c>
      <c r="AD3692" t="str">
        <f t="shared" si="384"/>
        <v>o</v>
      </c>
      <c r="AE3692" t="str">
        <f t="shared" si="388"/>
        <v/>
      </c>
      <c r="AF3692" t="str">
        <f t="shared" si="386"/>
        <v/>
      </c>
      <c r="AG3692" t="str">
        <f t="shared" si="387"/>
        <v/>
      </c>
      <c r="AN3692" t="str">
        <f t="shared" si="383"/>
        <v>Defensive</v>
      </c>
    </row>
    <row r="3693" spans="2:40" x14ac:dyDescent="0.2">
      <c r="B3693" t="str">
        <f t="shared" si="382"/>
        <v/>
      </c>
      <c r="U3693" s="8">
        <f t="shared" si="385"/>
        <v>2</v>
      </c>
      <c r="AD3693" t="str">
        <f t="shared" si="384"/>
        <v>o</v>
      </c>
      <c r="AE3693" t="str">
        <f t="shared" si="388"/>
        <v/>
      </c>
      <c r="AF3693" t="str">
        <f t="shared" si="386"/>
        <v/>
      </c>
      <c r="AG3693" t="str">
        <f t="shared" si="387"/>
        <v/>
      </c>
      <c r="AN3693" t="str">
        <f t="shared" si="383"/>
        <v>Defensive</v>
      </c>
    </row>
    <row r="3694" spans="2:40" x14ac:dyDescent="0.2">
      <c r="B3694" t="str">
        <f t="shared" si="382"/>
        <v/>
      </c>
      <c r="U3694" s="8">
        <f t="shared" si="385"/>
        <v>2</v>
      </c>
      <c r="AD3694" t="str">
        <f t="shared" si="384"/>
        <v>o</v>
      </c>
      <c r="AE3694" t="str">
        <f t="shared" si="388"/>
        <v/>
      </c>
      <c r="AF3694" t="str">
        <f t="shared" si="386"/>
        <v/>
      </c>
      <c r="AG3694" t="str">
        <f t="shared" si="387"/>
        <v/>
      </c>
      <c r="AN3694" t="str">
        <f t="shared" si="383"/>
        <v>Defensive</v>
      </c>
    </row>
    <row r="3695" spans="2:40" x14ac:dyDescent="0.2">
      <c r="B3695" t="str">
        <f t="shared" si="382"/>
        <v/>
      </c>
      <c r="U3695" s="8">
        <f t="shared" si="385"/>
        <v>2</v>
      </c>
      <c r="AD3695" t="str">
        <f t="shared" si="384"/>
        <v>o</v>
      </c>
      <c r="AE3695" t="str">
        <f t="shared" si="388"/>
        <v/>
      </c>
      <c r="AF3695" t="str">
        <f t="shared" si="386"/>
        <v/>
      </c>
      <c r="AG3695" t="str">
        <f t="shared" si="387"/>
        <v/>
      </c>
      <c r="AN3695" t="str">
        <f t="shared" si="383"/>
        <v>Defensive</v>
      </c>
    </row>
    <row r="3696" spans="2:40" x14ac:dyDescent="0.2">
      <c r="B3696" t="str">
        <f t="shared" ref="B3696:B3759" si="389">IF(A3696=A3695,B3695,"")</f>
        <v/>
      </c>
      <c r="U3696" s="8">
        <f t="shared" si="385"/>
        <v>2</v>
      </c>
      <c r="AD3696" t="str">
        <f t="shared" si="384"/>
        <v>o</v>
      </c>
      <c r="AE3696" t="str">
        <f t="shared" si="388"/>
        <v/>
      </c>
      <c r="AF3696" t="str">
        <f t="shared" si="386"/>
        <v/>
      </c>
      <c r="AG3696" t="str">
        <f t="shared" si="387"/>
        <v/>
      </c>
      <c r="AN3696" t="str">
        <f t="shared" si="383"/>
        <v>Defensive</v>
      </c>
    </row>
    <row r="3697" spans="2:40" x14ac:dyDescent="0.2">
      <c r="B3697" t="str">
        <f t="shared" si="389"/>
        <v/>
      </c>
      <c r="U3697" s="8">
        <f t="shared" si="385"/>
        <v>2</v>
      </c>
      <c r="AD3697" t="str">
        <f t="shared" si="384"/>
        <v>o</v>
      </c>
      <c r="AE3697" t="str">
        <f t="shared" si="388"/>
        <v/>
      </c>
      <c r="AF3697" t="str">
        <f t="shared" si="386"/>
        <v/>
      </c>
      <c r="AG3697" t="str">
        <f t="shared" si="387"/>
        <v/>
      </c>
      <c r="AN3697" t="str">
        <f t="shared" si="383"/>
        <v>Defensive</v>
      </c>
    </row>
    <row r="3698" spans="2:40" x14ac:dyDescent="0.2">
      <c r="B3698" t="str">
        <f t="shared" si="389"/>
        <v/>
      </c>
      <c r="U3698" s="8">
        <f t="shared" si="385"/>
        <v>2</v>
      </c>
      <c r="AD3698" t="str">
        <f t="shared" si="384"/>
        <v>o</v>
      </c>
      <c r="AE3698" t="str">
        <f t="shared" si="388"/>
        <v/>
      </c>
      <c r="AF3698" t="str">
        <f t="shared" si="386"/>
        <v/>
      </c>
      <c r="AG3698" t="str">
        <f t="shared" si="387"/>
        <v/>
      </c>
      <c r="AN3698" t="str">
        <f t="shared" si="383"/>
        <v>Defensive</v>
      </c>
    </row>
    <row r="3699" spans="2:40" x14ac:dyDescent="0.2">
      <c r="B3699" t="str">
        <f t="shared" si="389"/>
        <v/>
      </c>
      <c r="U3699" s="8">
        <f t="shared" si="385"/>
        <v>2</v>
      </c>
      <c r="AD3699" t="str">
        <f t="shared" si="384"/>
        <v>o</v>
      </c>
      <c r="AE3699" t="str">
        <f t="shared" si="388"/>
        <v/>
      </c>
      <c r="AF3699" t="str">
        <f t="shared" si="386"/>
        <v/>
      </c>
      <c r="AG3699" t="str">
        <f t="shared" si="387"/>
        <v/>
      </c>
      <c r="AN3699" t="str">
        <f t="shared" si="383"/>
        <v>Defensive</v>
      </c>
    </row>
    <row r="3700" spans="2:40" x14ac:dyDescent="0.2">
      <c r="B3700" t="str">
        <f t="shared" si="389"/>
        <v/>
      </c>
      <c r="U3700" s="8">
        <f t="shared" si="385"/>
        <v>2</v>
      </c>
      <c r="AD3700" t="str">
        <f t="shared" si="384"/>
        <v>o</v>
      </c>
      <c r="AE3700" t="str">
        <f t="shared" si="388"/>
        <v/>
      </c>
      <c r="AF3700" t="str">
        <f t="shared" si="386"/>
        <v/>
      </c>
      <c r="AG3700" t="str">
        <f t="shared" si="387"/>
        <v/>
      </c>
      <c r="AN3700" t="str">
        <f t="shared" si="383"/>
        <v>Defensive</v>
      </c>
    </row>
    <row r="3701" spans="2:40" x14ac:dyDescent="0.2">
      <c r="B3701" t="str">
        <f t="shared" si="389"/>
        <v/>
      </c>
      <c r="U3701" s="8">
        <f t="shared" si="385"/>
        <v>2</v>
      </c>
      <c r="AD3701" t="str">
        <f t="shared" si="384"/>
        <v>o</v>
      </c>
      <c r="AE3701" t="str">
        <f t="shared" si="388"/>
        <v/>
      </c>
      <c r="AF3701" t="str">
        <f t="shared" si="386"/>
        <v/>
      </c>
      <c r="AG3701" t="str">
        <f t="shared" si="387"/>
        <v/>
      </c>
      <c r="AN3701" t="str">
        <f t="shared" si="383"/>
        <v>Defensive</v>
      </c>
    </row>
    <row r="3702" spans="2:40" x14ac:dyDescent="0.2">
      <c r="B3702" t="str">
        <f t="shared" si="389"/>
        <v/>
      </c>
      <c r="U3702" s="8">
        <f t="shared" si="385"/>
        <v>2</v>
      </c>
      <c r="AD3702" t="str">
        <f t="shared" si="384"/>
        <v>o</v>
      </c>
      <c r="AE3702" t="str">
        <f t="shared" si="388"/>
        <v/>
      </c>
      <c r="AF3702" t="str">
        <f t="shared" si="386"/>
        <v/>
      </c>
      <c r="AG3702" t="str">
        <f t="shared" si="387"/>
        <v/>
      </c>
      <c r="AN3702" t="str">
        <f t="shared" si="383"/>
        <v>Defensive</v>
      </c>
    </row>
    <row r="3703" spans="2:40" x14ac:dyDescent="0.2">
      <c r="B3703" t="str">
        <f t="shared" si="389"/>
        <v/>
      </c>
      <c r="U3703" s="8">
        <f t="shared" si="385"/>
        <v>2</v>
      </c>
      <c r="AD3703" t="str">
        <f t="shared" si="384"/>
        <v>o</v>
      </c>
      <c r="AE3703" t="str">
        <f t="shared" si="388"/>
        <v/>
      </c>
      <c r="AF3703" t="str">
        <f t="shared" si="386"/>
        <v/>
      </c>
      <c r="AG3703" t="str">
        <f t="shared" si="387"/>
        <v/>
      </c>
      <c r="AN3703" t="str">
        <f t="shared" si="383"/>
        <v>Defensive</v>
      </c>
    </row>
    <row r="3704" spans="2:40" x14ac:dyDescent="0.2">
      <c r="B3704" t="str">
        <f t="shared" si="389"/>
        <v/>
      </c>
      <c r="U3704" s="8">
        <f t="shared" si="385"/>
        <v>2</v>
      </c>
      <c r="AD3704" t="str">
        <f t="shared" si="384"/>
        <v>o</v>
      </c>
      <c r="AE3704" t="str">
        <f t="shared" si="388"/>
        <v/>
      </c>
      <c r="AF3704" t="str">
        <f t="shared" si="386"/>
        <v/>
      </c>
      <c r="AG3704" t="str">
        <f t="shared" si="387"/>
        <v/>
      </c>
      <c r="AN3704" t="str">
        <f t="shared" si="383"/>
        <v>Defensive</v>
      </c>
    </row>
    <row r="3705" spans="2:40" x14ac:dyDescent="0.2">
      <c r="B3705" t="str">
        <f t="shared" si="389"/>
        <v/>
      </c>
      <c r="U3705" s="8">
        <f t="shared" si="385"/>
        <v>2</v>
      </c>
      <c r="AD3705" t="str">
        <f t="shared" si="384"/>
        <v>o</v>
      </c>
      <c r="AE3705" t="str">
        <f t="shared" si="388"/>
        <v/>
      </c>
      <c r="AF3705" t="str">
        <f t="shared" si="386"/>
        <v/>
      </c>
      <c r="AG3705" t="str">
        <f t="shared" si="387"/>
        <v/>
      </c>
      <c r="AN3705" t="str">
        <f t="shared" ref="AN3705:AN3768" si="390">IF(AND(AD3705="e",OR(AE3705="Save",AF3705="Turnover_Takeaway",AF3705="Play_Defensive")),"Defensive",IF(AND(AD3705="o",OR(AE3705="Save",AF3705="Turnover_Takeaway",AF3705="Play_Defensive")),"Offensive",IF(OR(AE3705="Deadice",AE3705="Stoppage",AE3705="Intermission"),"",IF(AD3705="e","Offensive",IF(AD3705="o","Defensive","")))))</f>
        <v>Defensive</v>
      </c>
    </row>
    <row r="3706" spans="2:40" x14ac:dyDescent="0.2">
      <c r="B3706" t="str">
        <f t="shared" si="389"/>
        <v/>
      </c>
      <c r="U3706" s="8">
        <f t="shared" si="385"/>
        <v>2</v>
      </c>
      <c r="AD3706" t="str">
        <f t="shared" si="384"/>
        <v>o</v>
      </c>
      <c r="AE3706" t="str">
        <f t="shared" si="388"/>
        <v/>
      </c>
      <c r="AF3706" t="str">
        <f t="shared" si="386"/>
        <v/>
      </c>
      <c r="AG3706" t="str">
        <f t="shared" si="387"/>
        <v/>
      </c>
      <c r="AN3706" t="str">
        <f t="shared" si="390"/>
        <v>Defensive</v>
      </c>
    </row>
    <row r="3707" spans="2:40" x14ac:dyDescent="0.2">
      <c r="B3707" t="str">
        <f t="shared" si="389"/>
        <v/>
      </c>
      <c r="U3707" s="8">
        <f t="shared" si="385"/>
        <v>2</v>
      </c>
      <c r="AD3707" t="str">
        <f t="shared" si="384"/>
        <v>o</v>
      </c>
      <c r="AE3707" t="str">
        <f t="shared" si="388"/>
        <v/>
      </c>
      <c r="AF3707" t="str">
        <f t="shared" si="386"/>
        <v/>
      </c>
      <c r="AG3707" t="str">
        <f t="shared" si="387"/>
        <v/>
      </c>
      <c r="AN3707" t="str">
        <f t="shared" si="390"/>
        <v>Defensive</v>
      </c>
    </row>
    <row r="3708" spans="2:40" x14ac:dyDescent="0.2">
      <c r="B3708" t="str">
        <f t="shared" si="389"/>
        <v/>
      </c>
      <c r="U3708" s="8">
        <f t="shared" si="385"/>
        <v>2</v>
      </c>
      <c r="AD3708" t="str">
        <f t="shared" si="384"/>
        <v>o</v>
      </c>
      <c r="AE3708" t="str">
        <f t="shared" si="388"/>
        <v/>
      </c>
      <c r="AF3708" t="str">
        <f t="shared" si="386"/>
        <v/>
      </c>
      <c r="AG3708" t="str">
        <f t="shared" si="387"/>
        <v/>
      </c>
      <c r="AN3708" t="str">
        <f t="shared" si="390"/>
        <v>Defensive</v>
      </c>
    </row>
    <row r="3709" spans="2:40" x14ac:dyDescent="0.2">
      <c r="B3709" t="str">
        <f t="shared" si="389"/>
        <v/>
      </c>
      <c r="U3709" s="8">
        <f t="shared" si="385"/>
        <v>2</v>
      </c>
      <c r="AD3709" t="str">
        <f t="shared" si="384"/>
        <v>o</v>
      </c>
      <c r="AE3709" t="str">
        <f t="shared" si="388"/>
        <v/>
      </c>
      <c r="AF3709" t="str">
        <f t="shared" si="386"/>
        <v/>
      </c>
      <c r="AG3709" t="str">
        <f t="shared" si="387"/>
        <v/>
      </c>
      <c r="AN3709" t="str">
        <f t="shared" si="390"/>
        <v>Defensive</v>
      </c>
    </row>
    <row r="3710" spans="2:40" x14ac:dyDescent="0.2">
      <c r="B3710" t="str">
        <f t="shared" si="389"/>
        <v/>
      </c>
      <c r="U3710" s="8">
        <f t="shared" si="385"/>
        <v>2</v>
      </c>
      <c r="AD3710" t="str">
        <f t="shared" si="384"/>
        <v>o</v>
      </c>
      <c r="AE3710" t="str">
        <f t="shared" si="388"/>
        <v/>
      </c>
      <c r="AF3710" t="str">
        <f t="shared" si="386"/>
        <v/>
      </c>
      <c r="AG3710" t="str">
        <f t="shared" si="387"/>
        <v/>
      </c>
      <c r="AN3710" t="str">
        <f t="shared" si="390"/>
        <v>Defensive</v>
      </c>
    </row>
    <row r="3711" spans="2:40" x14ac:dyDescent="0.2">
      <c r="B3711" t="str">
        <f t="shared" si="389"/>
        <v/>
      </c>
      <c r="U3711" s="8">
        <f t="shared" si="385"/>
        <v>2</v>
      </c>
      <c r="AD3711" t="str">
        <f t="shared" si="384"/>
        <v>o</v>
      </c>
      <c r="AE3711" t="str">
        <f t="shared" si="388"/>
        <v/>
      </c>
      <c r="AF3711" t="str">
        <f t="shared" si="386"/>
        <v/>
      </c>
      <c r="AG3711" t="str">
        <f t="shared" si="387"/>
        <v/>
      </c>
      <c r="AN3711" t="str">
        <f t="shared" si="390"/>
        <v>Defensive</v>
      </c>
    </row>
    <row r="3712" spans="2:40" x14ac:dyDescent="0.2">
      <c r="B3712" t="str">
        <f t="shared" si="389"/>
        <v/>
      </c>
      <c r="U3712" s="8">
        <f t="shared" si="385"/>
        <v>2</v>
      </c>
      <c r="AD3712" t="str">
        <f t="shared" si="384"/>
        <v>o</v>
      </c>
      <c r="AE3712" t="str">
        <f t="shared" si="388"/>
        <v/>
      </c>
      <c r="AF3712" t="str">
        <f t="shared" si="386"/>
        <v/>
      </c>
      <c r="AG3712" t="str">
        <f t="shared" si="387"/>
        <v/>
      </c>
      <c r="AN3712" t="str">
        <f t="shared" si="390"/>
        <v>Defensive</v>
      </c>
    </row>
    <row r="3713" spans="2:40" x14ac:dyDescent="0.2">
      <c r="B3713" t="str">
        <f t="shared" si="389"/>
        <v/>
      </c>
      <c r="U3713" s="8">
        <f t="shared" si="385"/>
        <v>2</v>
      </c>
      <c r="AD3713" t="str">
        <f t="shared" si="384"/>
        <v>o</v>
      </c>
      <c r="AE3713" t="str">
        <f t="shared" si="388"/>
        <v/>
      </c>
      <c r="AF3713" t="str">
        <f t="shared" si="386"/>
        <v/>
      </c>
      <c r="AG3713" t="str">
        <f t="shared" si="387"/>
        <v/>
      </c>
      <c r="AN3713" t="str">
        <f t="shared" si="390"/>
        <v>Defensive</v>
      </c>
    </row>
    <row r="3714" spans="2:40" x14ac:dyDescent="0.2">
      <c r="B3714" t="str">
        <f t="shared" si="389"/>
        <v/>
      </c>
      <c r="U3714" s="8">
        <f t="shared" si="385"/>
        <v>2</v>
      </c>
      <c r="AD3714" t="str">
        <f t="shared" ref="AD3714:AD3777" si="391">IF(K3714="x","",IF(K3714=1,"e","o"))</f>
        <v>o</v>
      </c>
      <c r="AE3714" t="str">
        <f t="shared" si="388"/>
        <v/>
      </c>
      <c r="AF3714" t="str">
        <f t="shared" si="386"/>
        <v/>
      </c>
      <c r="AG3714" t="str">
        <f t="shared" si="387"/>
        <v/>
      </c>
      <c r="AN3714" t="str">
        <f t="shared" si="390"/>
        <v>Defensive</v>
      </c>
    </row>
    <row r="3715" spans="2:40" x14ac:dyDescent="0.2">
      <c r="B3715" t="str">
        <f t="shared" si="389"/>
        <v/>
      </c>
      <c r="U3715" s="8">
        <f t="shared" ref="U3715:U3778" si="392">IF(M3715="Intermission",U3714+1,U3714)</f>
        <v>2</v>
      </c>
      <c r="AD3715" t="str">
        <f t="shared" si="391"/>
        <v>o</v>
      </c>
      <c r="AE3715" t="str">
        <f t="shared" si="388"/>
        <v/>
      </c>
      <c r="AF3715" t="str">
        <f t="shared" ref="AF3715:AF3778" si="393">IF(N3715&lt;&gt;"",N3715,IF($A3715=$A3714,AF3714,""))</f>
        <v/>
      </c>
      <c r="AG3715" t="str">
        <f t="shared" ref="AG3715:AG3778" si="394">IF(O3715&lt;&gt;"",O3715,IF($A3715=$A3714,AG3714,""))</f>
        <v/>
      </c>
      <c r="AN3715" t="str">
        <f t="shared" si="390"/>
        <v>Defensive</v>
      </c>
    </row>
    <row r="3716" spans="2:40" x14ac:dyDescent="0.2">
      <c r="B3716" t="str">
        <f t="shared" si="389"/>
        <v/>
      </c>
      <c r="U3716" s="8">
        <f t="shared" si="392"/>
        <v>2</v>
      </c>
      <c r="AD3716" t="str">
        <f t="shared" si="391"/>
        <v>o</v>
      </c>
      <c r="AE3716" t="str">
        <f t="shared" ref="AE3716:AE3779" si="395">IF(M3716&lt;&gt;"",M3716,IF($A3716=$A3715,AE3715,""))</f>
        <v/>
      </c>
      <c r="AF3716" t="str">
        <f t="shared" si="393"/>
        <v/>
      </c>
      <c r="AG3716" t="str">
        <f t="shared" si="394"/>
        <v/>
      </c>
      <c r="AN3716" t="str">
        <f t="shared" si="390"/>
        <v>Defensive</v>
      </c>
    </row>
    <row r="3717" spans="2:40" x14ac:dyDescent="0.2">
      <c r="B3717" t="str">
        <f t="shared" si="389"/>
        <v/>
      </c>
      <c r="U3717" s="8">
        <f t="shared" si="392"/>
        <v>2</v>
      </c>
      <c r="AD3717" t="str">
        <f t="shared" si="391"/>
        <v>o</v>
      </c>
      <c r="AE3717" t="str">
        <f t="shared" si="395"/>
        <v/>
      </c>
      <c r="AF3717" t="str">
        <f t="shared" si="393"/>
        <v/>
      </c>
      <c r="AG3717" t="str">
        <f t="shared" si="394"/>
        <v/>
      </c>
      <c r="AN3717" t="str">
        <f t="shared" si="390"/>
        <v>Defensive</v>
      </c>
    </row>
    <row r="3718" spans="2:40" x14ac:dyDescent="0.2">
      <c r="B3718" t="str">
        <f t="shared" si="389"/>
        <v/>
      </c>
      <c r="U3718" s="8">
        <f t="shared" si="392"/>
        <v>2</v>
      </c>
      <c r="AD3718" t="str">
        <f t="shared" si="391"/>
        <v>o</v>
      </c>
      <c r="AE3718" t="str">
        <f t="shared" si="395"/>
        <v/>
      </c>
      <c r="AF3718" t="str">
        <f t="shared" si="393"/>
        <v/>
      </c>
      <c r="AG3718" t="str">
        <f t="shared" si="394"/>
        <v/>
      </c>
      <c r="AN3718" t="str">
        <f t="shared" si="390"/>
        <v>Defensive</v>
      </c>
    </row>
    <row r="3719" spans="2:40" x14ac:dyDescent="0.2">
      <c r="B3719" t="str">
        <f t="shared" si="389"/>
        <v/>
      </c>
      <c r="U3719" s="8">
        <f t="shared" si="392"/>
        <v>2</v>
      </c>
      <c r="AD3719" t="str">
        <f t="shared" si="391"/>
        <v>o</v>
      </c>
      <c r="AE3719" t="str">
        <f t="shared" si="395"/>
        <v/>
      </c>
      <c r="AF3719" t="str">
        <f t="shared" si="393"/>
        <v/>
      </c>
      <c r="AG3719" t="str">
        <f t="shared" si="394"/>
        <v/>
      </c>
      <c r="AN3719" t="str">
        <f t="shared" si="390"/>
        <v>Defensive</v>
      </c>
    </row>
    <row r="3720" spans="2:40" x14ac:dyDescent="0.2">
      <c r="B3720" t="str">
        <f t="shared" si="389"/>
        <v/>
      </c>
      <c r="U3720" s="8">
        <f t="shared" si="392"/>
        <v>2</v>
      </c>
      <c r="AD3720" t="str">
        <f t="shared" si="391"/>
        <v>o</v>
      </c>
      <c r="AE3720" t="str">
        <f t="shared" si="395"/>
        <v/>
      </c>
      <c r="AF3720" t="str">
        <f t="shared" si="393"/>
        <v/>
      </c>
      <c r="AG3720" t="str">
        <f t="shared" si="394"/>
        <v/>
      </c>
      <c r="AN3720" t="str">
        <f t="shared" si="390"/>
        <v>Defensive</v>
      </c>
    </row>
    <row r="3721" spans="2:40" x14ac:dyDescent="0.2">
      <c r="B3721" t="str">
        <f t="shared" si="389"/>
        <v/>
      </c>
      <c r="U3721" s="8">
        <f t="shared" si="392"/>
        <v>2</v>
      </c>
      <c r="AD3721" t="str">
        <f t="shared" si="391"/>
        <v>o</v>
      </c>
      <c r="AE3721" t="str">
        <f t="shared" si="395"/>
        <v/>
      </c>
      <c r="AF3721" t="str">
        <f t="shared" si="393"/>
        <v/>
      </c>
      <c r="AG3721" t="str">
        <f t="shared" si="394"/>
        <v/>
      </c>
      <c r="AN3721" t="str">
        <f t="shared" si="390"/>
        <v>Defensive</v>
      </c>
    </row>
    <row r="3722" spans="2:40" x14ac:dyDescent="0.2">
      <c r="B3722" t="str">
        <f t="shared" si="389"/>
        <v/>
      </c>
      <c r="U3722" s="8">
        <f t="shared" si="392"/>
        <v>2</v>
      </c>
      <c r="AD3722" t="str">
        <f t="shared" si="391"/>
        <v>o</v>
      </c>
      <c r="AE3722" t="str">
        <f t="shared" si="395"/>
        <v/>
      </c>
      <c r="AF3722" t="str">
        <f t="shared" si="393"/>
        <v/>
      </c>
      <c r="AG3722" t="str">
        <f t="shared" si="394"/>
        <v/>
      </c>
      <c r="AN3722" t="str">
        <f t="shared" si="390"/>
        <v>Defensive</v>
      </c>
    </row>
    <row r="3723" spans="2:40" x14ac:dyDescent="0.2">
      <c r="B3723" t="str">
        <f t="shared" si="389"/>
        <v/>
      </c>
      <c r="U3723" s="8">
        <f t="shared" si="392"/>
        <v>2</v>
      </c>
      <c r="AD3723" t="str">
        <f t="shared" si="391"/>
        <v>o</v>
      </c>
      <c r="AE3723" t="str">
        <f t="shared" si="395"/>
        <v/>
      </c>
      <c r="AF3723" t="str">
        <f t="shared" si="393"/>
        <v/>
      </c>
      <c r="AG3723" t="str">
        <f t="shared" si="394"/>
        <v/>
      </c>
      <c r="AN3723" t="str">
        <f t="shared" si="390"/>
        <v>Defensive</v>
      </c>
    </row>
    <row r="3724" spans="2:40" x14ac:dyDescent="0.2">
      <c r="B3724" t="str">
        <f t="shared" si="389"/>
        <v/>
      </c>
      <c r="U3724" s="8">
        <f t="shared" si="392"/>
        <v>2</v>
      </c>
      <c r="AD3724" t="str">
        <f t="shared" si="391"/>
        <v>o</v>
      </c>
      <c r="AE3724" t="str">
        <f t="shared" si="395"/>
        <v/>
      </c>
      <c r="AF3724" t="str">
        <f t="shared" si="393"/>
        <v/>
      </c>
      <c r="AG3724" t="str">
        <f t="shared" si="394"/>
        <v/>
      </c>
      <c r="AN3724" t="str">
        <f t="shared" si="390"/>
        <v>Defensive</v>
      </c>
    </row>
    <row r="3725" spans="2:40" x14ac:dyDescent="0.2">
      <c r="B3725" t="str">
        <f t="shared" si="389"/>
        <v/>
      </c>
      <c r="U3725" s="8">
        <f t="shared" si="392"/>
        <v>2</v>
      </c>
      <c r="AD3725" t="str">
        <f t="shared" si="391"/>
        <v>o</v>
      </c>
      <c r="AE3725" t="str">
        <f t="shared" si="395"/>
        <v/>
      </c>
      <c r="AF3725" t="str">
        <f t="shared" si="393"/>
        <v/>
      </c>
      <c r="AG3725" t="str">
        <f t="shared" si="394"/>
        <v/>
      </c>
      <c r="AN3725" t="str">
        <f t="shared" si="390"/>
        <v>Defensive</v>
      </c>
    </row>
    <row r="3726" spans="2:40" x14ac:dyDescent="0.2">
      <c r="B3726" t="str">
        <f t="shared" si="389"/>
        <v/>
      </c>
      <c r="U3726" s="8">
        <f t="shared" si="392"/>
        <v>2</v>
      </c>
      <c r="AD3726" t="str">
        <f t="shared" si="391"/>
        <v>o</v>
      </c>
      <c r="AE3726" t="str">
        <f t="shared" si="395"/>
        <v/>
      </c>
      <c r="AF3726" t="str">
        <f t="shared" si="393"/>
        <v/>
      </c>
      <c r="AG3726" t="str">
        <f t="shared" si="394"/>
        <v/>
      </c>
      <c r="AN3726" t="str">
        <f t="shared" si="390"/>
        <v>Defensive</v>
      </c>
    </row>
    <row r="3727" spans="2:40" x14ac:dyDescent="0.2">
      <c r="B3727" t="str">
        <f t="shared" si="389"/>
        <v/>
      </c>
      <c r="U3727" s="8">
        <f t="shared" si="392"/>
        <v>2</v>
      </c>
      <c r="AD3727" t="str">
        <f t="shared" si="391"/>
        <v>o</v>
      </c>
      <c r="AE3727" t="str">
        <f t="shared" si="395"/>
        <v/>
      </c>
      <c r="AF3727" t="str">
        <f t="shared" si="393"/>
        <v/>
      </c>
      <c r="AG3727" t="str">
        <f t="shared" si="394"/>
        <v/>
      </c>
      <c r="AN3727" t="str">
        <f t="shared" si="390"/>
        <v>Defensive</v>
      </c>
    </row>
    <row r="3728" spans="2:40" x14ac:dyDescent="0.2">
      <c r="B3728" t="str">
        <f t="shared" si="389"/>
        <v/>
      </c>
      <c r="U3728" s="8">
        <f t="shared" si="392"/>
        <v>2</v>
      </c>
      <c r="AD3728" t="str">
        <f t="shared" si="391"/>
        <v>o</v>
      </c>
      <c r="AE3728" t="str">
        <f t="shared" si="395"/>
        <v/>
      </c>
      <c r="AF3728" t="str">
        <f t="shared" si="393"/>
        <v/>
      </c>
      <c r="AG3728" t="str">
        <f t="shared" si="394"/>
        <v/>
      </c>
      <c r="AN3728" t="str">
        <f t="shared" si="390"/>
        <v>Defensive</v>
      </c>
    </row>
    <row r="3729" spans="2:40" x14ac:dyDescent="0.2">
      <c r="B3729" t="str">
        <f t="shared" si="389"/>
        <v/>
      </c>
      <c r="U3729" s="8">
        <f t="shared" si="392"/>
        <v>2</v>
      </c>
      <c r="AD3729" t="str">
        <f t="shared" si="391"/>
        <v>o</v>
      </c>
      <c r="AE3729" t="str">
        <f t="shared" si="395"/>
        <v/>
      </c>
      <c r="AF3729" t="str">
        <f t="shared" si="393"/>
        <v/>
      </c>
      <c r="AG3729" t="str">
        <f t="shared" si="394"/>
        <v/>
      </c>
      <c r="AN3729" t="str">
        <f t="shared" si="390"/>
        <v>Defensive</v>
      </c>
    </row>
    <row r="3730" spans="2:40" x14ac:dyDescent="0.2">
      <c r="B3730" t="str">
        <f t="shared" si="389"/>
        <v/>
      </c>
      <c r="U3730" s="8">
        <f t="shared" si="392"/>
        <v>2</v>
      </c>
      <c r="AD3730" t="str">
        <f t="shared" si="391"/>
        <v>o</v>
      </c>
      <c r="AE3730" t="str">
        <f t="shared" si="395"/>
        <v/>
      </c>
      <c r="AF3730" t="str">
        <f t="shared" si="393"/>
        <v/>
      </c>
      <c r="AG3730" t="str">
        <f t="shared" si="394"/>
        <v/>
      </c>
      <c r="AN3730" t="str">
        <f t="shared" si="390"/>
        <v>Defensive</v>
      </c>
    </row>
    <row r="3731" spans="2:40" x14ac:dyDescent="0.2">
      <c r="B3731" t="str">
        <f t="shared" si="389"/>
        <v/>
      </c>
      <c r="U3731" s="8">
        <f t="shared" si="392"/>
        <v>2</v>
      </c>
      <c r="AD3731" t="str">
        <f t="shared" si="391"/>
        <v>o</v>
      </c>
      <c r="AE3731" t="str">
        <f t="shared" si="395"/>
        <v/>
      </c>
      <c r="AF3731" t="str">
        <f t="shared" si="393"/>
        <v/>
      </c>
      <c r="AG3731" t="str">
        <f t="shared" si="394"/>
        <v/>
      </c>
      <c r="AN3731" t="str">
        <f t="shared" si="390"/>
        <v>Defensive</v>
      </c>
    </row>
    <row r="3732" spans="2:40" x14ac:dyDescent="0.2">
      <c r="B3732" t="str">
        <f t="shared" si="389"/>
        <v/>
      </c>
      <c r="U3732" s="8">
        <f t="shared" si="392"/>
        <v>2</v>
      </c>
      <c r="AD3732" t="str">
        <f t="shared" si="391"/>
        <v>o</v>
      </c>
      <c r="AE3732" t="str">
        <f t="shared" si="395"/>
        <v/>
      </c>
      <c r="AF3732" t="str">
        <f t="shared" si="393"/>
        <v/>
      </c>
      <c r="AG3732" t="str">
        <f t="shared" si="394"/>
        <v/>
      </c>
      <c r="AN3732" t="str">
        <f t="shared" si="390"/>
        <v>Defensive</v>
      </c>
    </row>
    <row r="3733" spans="2:40" x14ac:dyDescent="0.2">
      <c r="B3733" t="str">
        <f t="shared" si="389"/>
        <v/>
      </c>
      <c r="U3733" s="8">
        <f t="shared" si="392"/>
        <v>2</v>
      </c>
      <c r="AD3733" t="str">
        <f t="shared" si="391"/>
        <v>o</v>
      </c>
      <c r="AE3733" t="str">
        <f t="shared" si="395"/>
        <v/>
      </c>
      <c r="AF3733" t="str">
        <f t="shared" si="393"/>
        <v/>
      </c>
      <c r="AG3733" t="str">
        <f t="shared" si="394"/>
        <v/>
      </c>
      <c r="AN3733" t="str">
        <f t="shared" si="390"/>
        <v>Defensive</v>
      </c>
    </row>
    <row r="3734" spans="2:40" x14ac:dyDescent="0.2">
      <c r="B3734" t="str">
        <f t="shared" si="389"/>
        <v/>
      </c>
      <c r="U3734" s="8">
        <f t="shared" si="392"/>
        <v>2</v>
      </c>
      <c r="AD3734" t="str">
        <f t="shared" si="391"/>
        <v>o</v>
      </c>
      <c r="AE3734" t="str">
        <f t="shared" si="395"/>
        <v/>
      </c>
      <c r="AF3734" t="str">
        <f t="shared" si="393"/>
        <v/>
      </c>
      <c r="AG3734" t="str">
        <f t="shared" si="394"/>
        <v/>
      </c>
      <c r="AN3734" t="str">
        <f t="shared" si="390"/>
        <v>Defensive</v>
      </c>
    </row>
    <row r="3735" spans="2:40" x14ac:dyDescent="0.2">
      <c r="B3735" t="str">
        <f t="shared" si="389"/>
        <v/>
      </c>
      <c r="U3735" s="8">
        <f t="shared" si="392"/>
        <v>2</v>
      </c>
      <c r="AD3735" t="str">
        <f t="shared" si="391"/>
        <v>o</v>
      </c>
      <c r="AE3735" t="str">
        <f t="shared" si="395"/>
        <v/>
      </c>
      <c r="AF3735" t="str">
        <f t="shared" si="393"/>
        <v/>
      </c>
      <c r="AG3735" t="str">
        <f t="shared" si="394"/>
        <v/>
      </c>
      <c r="AN3735" t="str">
        <f t="shared" si="390"/>
        <v>Defensive</v>
      </c>
    </row>
    <row r="3736" spans="2:40" x14ac:dyDescent="0.2">
      <c r="B3736" t="str">
        <f t="shared" si="389"/>
        <v/>
      </c>
      <c r="U3736" s="8">
        <f t="shared" si="392"/>
        <v>2</v>
      </c>
      <c r="AD3736" t="str">
        <f t="shared" si="391"/>
        <v>o</v>
      </c>
      <c r="AE3736" t="str">
        <f t="shared" si="395"/>
        <v/>
      </c>
      <c r="AF3736" t="str">
        <f t="shared" si="393"/>
        <v/>
      </c>
      <c r="AG3736" t="str">
        <f t="shared" si="394"/>
        <v/>
      </c>
      <c r="AN3736" t="str">
        <f t="shared" si="390"/>
        <v>Defensive</v>
      </c>
    </row>
    <row r="3737" spans="2:40" x14ac:dyDescent="0.2">
      <c r="B3737" t="str">
        <f t="shared" si="389"/>
        <v/>
      </c>
      <c r="U3737" s="8">
        <f t="shared" si="392"/>
        <v>2</v>
      </c>
      <c r="AD3737" t="str">
        <f t="shared" si="391"/>
        <v>o</v>
      </c>
      <c r="AE3737" t="str">
        <f t="shared" si="395"/>
        <v/>
      </c>
      <c r="AF3737" t="str">
        <f t="shared" si="393"/>
        <v/>
      </c>
      <c r="AG3737" t="str">
        <f t="shared" si="394"/>
        <v/>
      </c>
      <c r="AN3737" t="str">
        <f t="shared" si="390"/>
        <v>Defensive</v>
      </c>
    </row>
    <row r="3738" spans="2:40" x14ac:dyDescent="0.2">
      <c r="B3738" t="str">
        <f t="shared" si="389"/>
        <v/>
      </c>
      <c r="U3738" s="8">
        <f t="shared" si="392"/>
        <v>2</v>
      </c>
      <c r="AD3738" t="str">
        <f t="shared" si="391"/>
        <v>o</v>
      </c>
      <c r="AE3738" t="str">
        <f t="shared" si="395"/>
        <v/>
      </c>
      <c r="AF3738" t="str">
        <f t="shared" si="393"/>
        <v/>
      </c>
      <c r="AG3738" t="str">
        <f t="shared" si="394"/>
        <v/>
      </c>
      <c r="AN3738" t="str">
        <f t="shared" si="390"/>
        <v>Defensive</v>
      </c>
    </row>
    <row r="3739" spans="2:40" x14ac:dyDescent="0.2">
      <c r="B3739" t="str">
        <f t="shared" si="389"/>
        <v/>
      </c>
      <c r="U3739" s="8">
        <f t="shared" si="392"/>
        <v>2</v>
      </c>
      <c r="AD3739" t="str">
        <f t="shared" si="391"/>
        <v>o</v>
      </c>
      <c r="AE3739" t="str">
        <f t="shared" si="395"/>
        <v/>
      </c>
      <c r="AF3739" t="str">
        <f t="shared" si="393"/>
        <v/>
      </c>
      <c r="AG3739" t="str">
        <f t="shared" si="394"/>
        <v/>
      </c>
      <c r="AN3739" t="str">
        <f t="shared" si="390"/>
        <v>Defensive</v>
      </c>
    </row>
    <row r="3740" spans="2:40" x14ac:dyDescent="0.2">
      <c r="B3740" t="str">
        <f t="shared" si="389"/>
        <v/>
      </c>
      <c r="U3740" s="8">
        <f t="shared" si="392"/>
        <v>2</v>
      </c>
      <c r="AD3740" t="str">
        <f t="shared" si="391"/>
        <v>o</v>
      </c>
      <c r="AE3740" t="str">
        <f t="shared" si="395"/>
        <v/>
      </c>
      <c r="AF3740" t="str">
        <f t="shared" si="393"/>
        <v/>
      </c>
      <c r="AG3740" t="str">
        <f t="shared" si="394"/>
        <v/>
      </c>
      <c r="AN3740" t="str">
        <f t="shared" si="390"/>
        <v>Defensive</v>
      </c>
    </row>
    <row r="3741" spans="2:40" x14ac:dyDescent="0.2">
      <c r="B3741" t="str">
        <f t="shared" si="389"/>
        <v/>
      </c>
      <c r="U3741" s="8">
        <f t="shared" si="392"/>
        <v>2</v>
      </c>
      <c r="AD3741" t="str">
        <f t="shared" si="391"/>
        <v>o</v>
      </c>
      <c r="AE3741" t="str">
        <f t="shared" si="395"/>
        <v/>
      </c>
      <c r="AF3741" t="str">
        <f t="shared" si="393"/>
        <v/>
      </c>
      <c r="AG3741" t="str">
        <f t="shared" si="394"/>
        <v/>
      </c>
      <c r="AN3741" t="str">
        <f t="shared" si="390"/>
        <v>Defensive</v>
      </c>
    </row>
    <row r="3742" spans="2:40" x14ac:dyDescent="0.2">
      <c r="B3742" t="str">
        <f t="shared" si="389"/>
        <v/>
      </c>
      <c r="U3742" s="8">
        <f t="shared" si="392"/>
        <v>2</v>
      </c>
      <c r="AD3742" t="str">
        <f t="shared" si="391"/>
        <v>o</v>
      </c>
      <c r="AE3742" t="str">
        <f t="shared" si="395"/>
        <v/>
      </c>
      <c r="AF3742" t="str">
        <f t="shared" si="393"/>
        <v/>
      </c>
      <c r="AG3742" t="str">
        <f t="shared" si="394"/>
        <v/>
      </c>
      <c r="AN3742" t="str">
        <f t="shared" si="390"/>
        <v>Defensive</v>
      </c>
    </row>
    <row r="3743" spans="2:40" x14ac:dyDescent="0.2">
      <c r="B3743" t="str">
        <f t="shared" si="389"/>
        <v/>
      </c>
      <c r="U3743" s="8">
        <f t="shared" si="392"/>
        <v>2</v>
      </c>
      <c r="AD3743" t="str">
        <f t="shared" si="391"/>
        <v>o</v>
      </c>
      <c r="AE3743" t="str">
        <f t="shared" si="395"/>
        <v/>
      </c>
      <c r="AF3743" t="str">
        <f t="shared" si="393"/>
        <v/>
      </c>
      <c r="AG3743" t="str">
        <f t="shared" si="394"/>
        <v/>
      </c>
      <c r="AN3743" t="str">
        <f t="shared" si="390"/>
        <v>Defensive</v>
      </c>
    </row>
    <row r="3744" spans="2:40" x14ac:dyDescent="0.2">
      <c r="B3744" t="str">
        <f t="shared" si="389"/>
        <v/>
      </c>
      <c r="U3744" s="8">
        <f t="shared" si="392"/>
        <v>2</v>
      </c>
      <c r="AD3744" t="str">
        <f t="shared" si="391"/>
        <v>o</v>
      </c>
      <c r="AE3744" t="str">
        <f t="shared" si="395"/>
        <v/>
      </c>
      <c r="AF3744" t="str">
        <f t="shared" si="393"/>
        <v/>
      </c>
      <c r="AG3744" t="str">
        <f t="shared" si="394"/>
        <v/>
      </c>
      <c r="AN3744" t="str">
        <f t="shared" si="390"/>
        <v>Defensive</v>
      </c>
    </row>
    <row r="3745" spans="2:40" x14ac:dyDescent="0.2">
      <c r="B3745" t="str">
        <f t="shared" si="389"/>
        <v/>
      </c>
      <c r="U3745" s="8">
        <f t="shared" si="392"/>
        <v>2</v>
      </c>
      <c r="AD3745" t="str">
        <f t="shared" si="391"/>
        <v>o</v>
      </c>
      <c r="AE3745" t="str">
        <f t="shared" si="395"/>
        <v/>
      </c>
      <c r="AF3745" t="str">
        <f t="shared" si="393"/>
        <v/>
      </c>
      <c r="AG3745" t="str">
        <f t="shared" si="394"/>
        <v/>
      </c>
      <c r="AN3745" t="str">
        <f t="shared" si="390"/>
        <v>Defensive</v>
      </c>
    </row>
    <row r="3746" spans="2:40" x14ac:dyDescent="0.2">
      <c r="B3746" t="str">
        <f t="shared" si="389"/>
        <v/>
      </c>
      <c r="U3746" s="8">
        <f t="shared" si="392"/>
        <v>2</v>
      </c>
      <c r="AD3746" t="str">
        <f t="shared" si="391"/>
        <v>o</v>
      </c>
      <c r="AE3746" t="str">
        <f t="shared" si="395"/>
        <v/>
      </c>
      <c r="AF3746" t="str">
        <f t="shared" si="393"/>
        <v/>
      </c>
      <c r="AG3746" t="str">
        <f t="shared" si="394"/>
        <v/>
      </c>
      <c r="AN3746" t="str">
        <f t="shared" si="390"/>
        <v>Defensive</v>
      </c>
    </row>
    <row r="3747" spans="2:40" x14ac:dyDescent="0.2">
      <c r="B3747" t="str">
        <f t="shared" si="389"/>
        <v/>
      </c>
      <c r="U3747" s="8">
        <f t="shared" si="392"/>
        <v>2</v>
      </c>
      <c r="AD3747" t="str">
        <f t="shared" si="391"/>
        <v>o</v>
      </c>
      <c r="AE3747" t="str">
        <f t="shared" si="395"/>
        <v/>
      </c>
      <c r="AF3747" t="str">
        <f t="shared" si="393"/>
        <v/>
      </c>
      <c r="AG3747" t="str">
        <f t="shared" si="394"/>
        <v/>
      </c>
      <c r="AN3747" t="str">
        <f t="shared" si="390"/>
        <v>Defensive</v>
      </c>
    </row>
    <row r="3748" spans="2:40" x14ac:dyDescent="0.2">
      <c r="B3748" t="str">
        <f t="shared" si="389"/>
        <v/>
      </c>
      <c r="U3748" s="8">
        <f t="shared" si="392"/>
        <v>2</v>
      </c>
      <c r="AD3748" t="str">
        <f t="shared" si="391"/>
        <v>o</v>
      </c>
      <c r="AE3748" t="str">
        <f t="shared" si="395"/>
        <v/>
      </c>
      <c r="AF3748" t="str">
        <f t="shared" si="393"/>
        <v/>
      </c>
      <c r="AG3748" t="str">
        <f t="shared" si="394"/>
        <v/>
      </c>
      <c r="AN3748" t="str">
        <f t="shared" si="390"/>
        <v>Defensive</v>
      </c>
    </row>
    <row r="3749" spans="2:40" x14ac:dyDescent="0.2">
      <c r="B3749" t="str">
        <f t="shared" si="389"/>
        <v/>
      </c>
      <c r="U3749" s="8">
        <f t="shared" si="392"/>
        <v>2</v>
      </c>
      <c r="AD3749" t="str">
        <f t="shared" si="391"/>
        <v>o</v>
      </c>
      <c r="AE3749" t="str">
        <f t="shared" si="395"/>
        <v/>
      </c>
      <c r="AF3749" t="str">
        <f t="shared" si="393"/>
        <v/>
      </c>
      <c r="AG3749" t="str">
        <f t="shared" si="394"/>
        <v/>
      </c>
      <c r="AN3749" t="str">
        <f t="shared" si="390"/>
        <v>Defensive</v>
      </c>
    </row>
    <row r="3750" spans="2:40" x14ac:dyDescent="0.2">
      <c r="B3750" t="str">
        <f t="shared" si="389"/>
        <v/>
      </c>
      <c r="U3750" s="8">
        <f t="shared" si="392"/>
        <v>2</v>
      </c>
      <c r="AD3750" t="str">
        <f t="shared" si="391"/>
        <v>o</v>
      </c>
      <c r="AE3750" t="str">
        <f t="shared" si="395"/>
        <v/>
      </c>
      <c r="AF3750" t="str">
        <f t="shared" si="393"/>
        <v/>
      </c>
      <c r="AG3750" t="str">
        <f t="shared" si="394"/>
        <v/>
      </c>
      <c r="AN3750" t="str">
        <f t="shared" si="390"/>
        <v>Defensive</v>
      </c>
    </row>
    <row r="3751" spans="2:40" x14ac:dyDescent="0.2">
      <c r="B3751" t="str">
        <f t="shared" si="389"/>
        <v/>
      </c>
      <c r="U3751" s="8">
        <f t="shared" si="392"/>
        <v>2</v>
      </c>
      <c r="AD3751" t="str">
        <f t="shared" si="391"/>
        <v>o</v>
      </c>
      <c r="AE3751" t="str">
        <f t="shared" si="395"/>
        <v/>
      </c>
      <c r="AF3751" t="str">
        <f t="shared" si="393"/>
        <v/>
      </c>
      <c r="AG3751" t="str">
        <f t="shared" si="394"/>
        <v/>
      </c>
      <c r="AN3751" t="str">
        <f t="shared" si="390"/>
        <v>Defensive</v>
      </c>
    </row>
    <row r="3752" spans="2:40" x14ac:dyDescent="0.2">
      <c r="B3752" t="str">
        <f t="shared" si="389"/>
        <v/>
      </c>
      <c r="U3752" s="8">
        <f t="shared" si="392"/>
        <v>2</v>
      </c>
      <c r="AD3752" t="str">
        <f t="shared" si="391"/>
        <v>o</v>
      </c>
      <c r="AE3752" t="str">
        <f t="shared" si="395"/>
        <v/>
      </c>
      <c r="AF3752" t="str">
        <f t="shared" si="393"/>
        <v/>
      </c>
      <c r="AG3752" t="str">
        <f t="shared" si="394"/>
        <v/>
      </c>
      <c r="AN3752" t="str">
        <f t="shared" si="390"/>
        <v>Defensive</v>
      </c>
    </row>
    <row r="3753" spans="2:40" x14ac:dyDescent="0.2">
      <c r="B3753" t="str">
        <f t="shared" si="389"/>
        <v/>
      </c>
      <c r="U3753" s="8">
        <f t="shared" si="392"/>
        <v>2</v>
      </c>
      <c r="AD3753" t="str">
        <f t="shared" si="391"/>
        <v>o</v>
      </c>
      <c r="AE3753" t="str">
        <f t="shared" si="395"/>
        <v/>
      </c>
      <c r="AF3753" t="str">
        <f t="shared" si="393"/>
        <v/>
      </c>
      <c r="AG3753" t="str">
        <f t="shared" si="394"/>
        <v/>
      </c>
      <c r="AN3753" t="str">
        <f t="shared" si="390"/>
        <v>Defensive</v>
      </c>
    </row>
    <row r="3754" spans="2:40" x14ac:dyDescent="0.2">
      <c r="B3754" t="str">
        <f t="shared" si="389"/>
        <v/>
      </c>
      <c r="U3754" s="8">
        <f t="shared" si="392"/>
        <v>2</v>
      </c>
      <c r="AD3754" t="str">
        <f t="shared" si="391"/>
        <v>o</v>
      </c>
      <c r="AE3754" t="str">
        <f t="shared" si="395"/>
        <v/>
      </c>
      <c r="AF3754" t="str">
        <f t="shared" si="393"/>
        <v/>
      </c>
      <c r="AG3754" t="str">
        <f t="shared" si="394"/>
        <v/>
      </c>
      <c r="AN3754" t="str">
        <f t="shared" si="390"/>
        <v>Defensive</v>
      </c>
    </row>
    <row r="3755" spans="2:40" x14ac:dyDescent="0.2">
      <c r="B3755" t="str">
        <f t="shared" si="389"/>
        <v/>
      </c>
      <c r="U3755" s="8">
        <f t="shared" si="392"/>
        <v>2</v>
      </c>
      <c r="AD3755" t="str">
        <f t="shared" si="391"/>
        <v>o</v>
      </c>
      <c r="AE3755" t="str">
        <f t="shared" si="395"/>
        <v/>
      </c>
      <c r="AF3755" t="str">
        <f t="shared" si="393"/>
        <v/>
      </c>
      <c r="AG3755" t="str">
        <f t="shared" si="394"/>
        <v/>
      </c>
      <c r="AN3755" t="str">
        <f t="shared" si="390"/>
        <v>Defensive</v>
      </c>
    </row>
    <row r="3756" spans="2:40" x14ac:dyDescent="0.2">
      <c r="B3756" t="str">
        <f t="shared" si="389"/>
        <v/>
      </c>
      <c r="U3756" s="8">
        <f t="shared" si="392"/>
        <v>2</v>
      </c>
      <c r="AD3756" t="str">
        <f t="shared" si="391"/>
        <v>o</v>
      </c>
      <c r="AE3756" t="str">
        <f t="shared" si="395"/>
        <v/>
      </c>
      <c r="AF3756" t="str">
        <f t="shared" si="393"/>
        <v/>
      </c>
      <c r="AG3756" t="str">
        <f t="shared" si="394"/>
        <v/>
      </c>
      <c r="AN3756" t="str">
        <f t="shared" si="390"/>
        <v>Defensive</v>
      </c>
    </row>
    <row r="3757" spans="2:40" x14ac:dyDescent="0.2">
      <c r="B3757" t="str">
        <f t="shared" si="389"/>
        <v/>
      </c>
      <c r="U3757" s="8">
        <f t="shared" si="392"/>
        <v>2</v>
      </c>
      <c r="AD3757" t="str">
        <f t="shared" si="391"/>
        <v>o</v>
      </c>
      <c r="AE3757" t="str">
        <f t="shared" si="395"/>
        <v/>
      </c>
      <c r="AF3757" t="str">
        <f t="shared" si="393"/>
        <v/>
      </c>
      <c r="AG3757" t="str">
        <f t="shared" si="394"/>
        <v/>
      </c>
      <c r="AN3757" t="str">
        <f t="shared" si="390"/>
        <v>Defensive</v>
      </c>
    </row>
    <row r="3758" spans="2:40" x14ac:dyDescent="0.2">
      <c r="B3758" t="str">
        <f t="shared" si="389"/>
        <v/>
      </c>
      <c r="U3758" s="8">
        <f t="shared" si="392"/>
        <v>2</v>
      </c>
      <c r="AD3758" t="str">
        <f t="shared" si="391"/>
        <v>o</v>
      </c>
      <c r="AE3758" t="str">
        <f t="shared" si="395"/>
        <v/>
      </c>
      <c r="AF3758" t="str">
        <f t="shared" si="393"/>
        <v/>
      </c>
      <c r="AG3758" t="str">
        <f t="shared" si="394"/>
        <v/>
      </c>
      <c r="AN3758" t="str">
        <f t="shared" si="390"/>
        <v>Defensive</v>
      </c>
    </row>
    <row r="3759" spans="2:40" x14ac:dyDescent="0.2">
      <c r="B3759" t="str">
        <f t="shared" si="389"/>
        <v/>
      </c>
      <c r="U3759" s="8">
        <f t="shared" si="392"/>
        <v>2</v>
      </c>
      <c r="AD3759" t="str">
        <f t="shared" si="391"/>
        <v>o</v>
      </c>
      <c r="AE3759" t="str">
        <f t="shared" si="395"/>
        <v/>
      </c>
      <c r="AF3759" t="str">
        <f t="shared" si="393"/>
        <v/>
      </c>
      <c r="AG3759" t="str">
        <f t="shared" si="394"/>
        <v/>
      </c>
      <c r="AN3759" t="str">
        <f t="shared" si="390"/>
        <v>Defensive</v>
      </c>
    </row>
    <row r="3760" spans="2:40" x14ac:dyDescent="0.2">
      <c r="B3760" t="str">
        <f t="shared" ref="B3760:B3823" si="396">IF(A3760=A3759,B3759,"")</f>
        <v/>
      </c>
      <c r="U3760" s="8">
        <f t="shared" si="392"/>
        <v>2</v>
      </c>
      <c r="AD3760" t="str">
        <f t="shared" si="391"/>
        <v>o</v>
      </c>
      <c r="AE3760" t="str">
        <f t="shared" si="395"/>
        <v/>
      </c>
      <c r="AF3760" t="str">
        <f t="shared" si="393"/>
        <v/>
      </c>
      <c r="AG3760" t="str">
        <f t="shared" si="394"/>
        <v/>
      </c>
      <c r="AN3760" t="str">
        <f t="shared" si="390"/>
        <v>Defensive</v>
      </c>
    </row>
    <row r="3761" spans="2:40" x14ac:dyDescent="0.2">
      <c r="B3761" t="str">
        <f t="shared" si="396"/>
        <v/>
      </c>
      <c r="U3761" s="8">
        <f t="shared" si="392"/>
        <v>2</v>
      </c>
      <c r="AD3761" t="str">
        <f t="shared" si="391"/>
        <v>o</v>
      </c>
      <c r="AE3761" t="str">
        <f t="shared" si="395"/>
        <v/>
      </c>
      <c r="AF3761" t="str">
        <f t="shared" si="393"/>
        <v/>
      </c>
      <c r="AG3761" t="str">
        <f t="shared" si="394"/>
        <v/>
      </c>
      <c r="AN3761" t="str">
        <f t="shared" si="390"/>
        <v>Defensive</v>
      </c>
    </row>
    <row r="3762" spans="2:40" x14ac:dyDescent="0.2">
      <c r="B3762" t="str">
        <f t="shared" si="396"/>
        <v/>
      </c>
      <c r="U3762" s="8">
        <f t="shared" si="392"/>
        <v>2</v>
      </c>
      <c r="AD3762" t="str">
        <f t="shared" si="391"/>
        <v>o</v>
      </c>
      <c r="AE3762" t="str">
        <f t="shared" si="395"/>
        <v/>
      </c>
      <c r="AF3762" t="str">
        <f t="shared" si="393"/>
        <v/>
      </c>
      <c r="AG3762" t="str">
        <f t="shared" si="394"/>
        <v/>
      </c>
      <c r="AN3762" t="str">
        <f t="shared" si="390"/>
        <v>Defensive</v>
      </c>
    </row>
    <row r="3763" spans="2:40" x14ac:dyDescent="0.2">
      <c r="B3763" t="str">
        <f t="shared" si="396"/>
        <v/>
      </c>
      <c r="U3763" s="8">
        <f t="shared" si="392"/>
        <v>2</v>
      </c>
      <c r="AD3763" t="str">
        <f t="shared" si="391"/>
        <v>o</v>
      </c>
      <c r="AE3763" t="str">
        <f t="shared" si="395"/>
        <v/>
      </c>
      <c r="AF3763" t="str">
        <f t="shared" si="393"/>
        <v/>
      </c>
      <c r="AG3763" t="str">
        <f t="shared" si="394"/>
        <v/>
      </c>
      <c r="AN3763" t="str">
        <f t="shared" si="390"/>
        <v>Defensive</v>
      </c>
    </row>
    <row r="3764" spans="2:40" x14ac:dyDescent="0.2">
      <c r="B3764" t="str">
        <f t="shared" si="396"/>
        <v/>
      </c>
      <c r="U3764" s="8">
        <f t="shared" si="392"/>
        <v>2</v>
      </c>
      <c r="AD3764" t="str">
        <f t="shared" si="391"/>
        <v>o</v>
      </c>
      <c r="AE3764" t="str">
        <f t="shared" si="395"/>
        <v/>
      </c>
      <c r="AF3764" t="str">
        <f t="shared" si="393"/>
        <v/>
      </c>
      <c r="AG3764" t="str">
        <f t="shared" si="394"/>
        <v/>
      </c>
      <c r="AN3764" t="str">
        <f t="shared" si="390"/>
        <v>Defensive</v>
      </c>
    </row>
    <row r="3765" spans="2:40" x14ac:dyDescent="0.2">
      <c r="B3765" t="str">
        <f t="shared" si="396"/>
        <v/>
      </c>
      <c r="U3765" s="8">
        <f t="shared" si="392"/>
        <v>2</v>
      </c>
      <c r="AD3765" t="str">
        <f t="shared" si="391"/>
        <v>o</v>
      </c>
      <c r="AE3765" t="str">
        <f t="shared" si="395"/>
        <v/>
      </c>
      <c r="AF3765" t="str">
        <f t="shared" si="393"/>
        <v/>
      </c>
      <c r="AG3765" t="str">
        <f t="shared" si="394"/>
        <v/>
      </c>
      <c r="AN3765" t="str">
        <f t="shared" si="390"/>
        <v>Defensive</v>
      </c>
    </row>
    <row r="3766" spans="2:40" x14ac:dyDescent="0.2">
      <c r="B3766" t="str">
        <f t="shared" si="396"/>
        <v/>
      </c>
      <c r="U3766" s="8">
        <f t="shared" si="392"/>
        <v>2</v>
      </c>
      <c r="AD3766" t="str">
        <f t="shared" si="391"/>
        <v>o</v>
      </c>
      <c r="AE3766" t="str">
        <f t="shared" si="395"/>
        <v/>
      </c>
      <c r="AF3766" t="str">
        <f t="shared" si="393"/>
        <v/>
      </c>
      <c r="AG3766" t="str">
        <f t="shared" si="394"/>
        <v/>
      </c>
      <c r="AN3766" t="str">
        <f t="shared" si="390"/>
        <v>Defensive</v>
      </c>
    </row>
    <row r="3767" spans="2:40" x14ac:dyDescent="0.2">
      <c r="B3767" t="str">
        <f t="shared" si="396"/>
        <v/>
      </c>
      <c r="U3767" s="8">
        <f t="shared" si="392"/>
        <v>2</v>
      </c>
      <c r="AD3767" t="str">
        <f t="shared" si="391"/>
        <v>o</v>
      </c>
      <c r="AE3767" t="str">
        <f t="shared" si="395"/>
        <v/>
      </c>
      <c r="AF3767" t="str">
        <f t="shared" si="393"/>
        <v/>
      </c>
      <c r="AG3767" t="str">
        <f t="shared" si="394"/>
        <v/>
      </c>
      <c r="AN3767" t="str">
        <f t="shared" si="390"/>
        <v>Defensive</v>
      </c>
    </row>
    <row r="3768" spans="2:40" x14ac:dyDescent="0.2">
      <c r="B3768" t="str">
        <f t="shared" si="396"/>
        <v/>
      </c>
      <c r="U3768" s="8">
        <f t="shared" si="392"/>
        <v>2</v>
      </c>
      <c r="AD3768" t="str">
        <f t="shared" si="391"/>
        <v>o</v>
      </c>
      <c r="AE3768" t="str">
        <f t="shared" si="395"/>
        <v/>
      </c>
      <c r="AF3768" t="str">
        <f t="shared" si="393"/>
        <v/>
      </c>
      <c r="AG3768" t="str">
        <f t="shared" si="394"/>
        <v/>
      </c>
      <c r="AN3768" t="str">
        <f t="shared" si="390"/>
        <v>Defensive</v>
      </c>
    </row>
    <row r="3769" spans="2:40" x14ac:dyDescent="0.2">
      <c r="B3769" t="str">
        <f t="shared" si="396"/>
        <v/>
      </c>
      <c r="U3769" s="8">
        <f t="shared" si="392"/>
        <v>2</v>
      </c>
      <c r="AD3769" t="str">
        <f t="shared" si="391"/>
        <v>o</v>
      </c>
      <c r="AE3769" t="str">
        <f t="shared" si="395"/>
        <v/>
      </c>
      <c r="AF3769" t="str">
        <f t="shared" si="393"/>
        <v/>
      </c>
      <c r="AG3769" t="str">
        <f t="shared" si="394"/>
        <v/>
      </c>
      <c r="AN3769" t="str">
        <f t="shared" ref="AN3769:AN3832" si="397">IF(AND(AD3769="e",OR(AE3769="Save",AF3769="Turnover_Takeaway",AF3769="Play_Defensive")),"Defensive",IF(AND(AD3769="o",OR(AE3769="Save",AF3769="Turnover_Takeaway",AF3769="Play_Defensive")),"Offensive",IF(OR(AE3769="Deadice",AE3769="Stoppage",AE3769="Intermission"),"",IF(AD3769="e","Offensive",IF(AD3769="o","Defensive","")))))</f>
        <v>Defensive</v>
      </c>
    </row>
    <row r="3770" spans="2:40" x14ac:dyDescent="0.2">
      <c r="B3770" t="str">
        <f t="shared" si="396"/>
        <v/>
      </c>
      <c r="U3770" s="8">
        <f t="shared" si="392"/>
        <v>2</v>
      </c>
      <c r="AD3770" t="str">
        <f t="shared" si="391"/>
        <v>o</v>
      </c>
      <c r="AE3770" t="str">
        <f t="shared" si="395"/>
        <v/>
      </c>
      <c r="AF3770" t="str">
        <f t="shared" si="393"/>
        <v/>
      </c>
      <c r="AG3770" t="str">
        <f t="shared" si="394"/>
        <v/>
      </c>
      <c r="AN3770" t="str">
        <f t="shared" si="397"/>
        <v>Defensive</v>
      </c>
    </row>
    <row r="3771" spans="2:40" x14ac:dyDescent="0.2">
      <c r="B3771" t="str">
        <f t="shared" si="396"/>
        <v/>
      </c>
      <c r="U3771" s="8">
        <f t="shared" si="392"/>
        <v>2</v>
      </c>
      <c r="AD3771" t="str">
        <f t="shared" si="391"/>
        <v>o</v>
      </c>
      <c r="AE3771" t="str">
        <f t="shared" si="395"/>
        <v/>
      </c>
      <c r="AF3771" t="str">
        <f t="shared" si="393"/>
        <v/>
      </c>
      <c r="AG3771" t="str">
        <f t="shared" si="394"/>
        <v/>
      </c>
      <c r="AN3771" t="str">
        <f t="shared" si="397"/>
        <v>Defensive</v>
      </c>
    </row>
    <row r="3772" spans="2:40" x14ac:dyDescent="0.2">
      <c r="B3772" t="str">
        <f t="shared" si="396"/>
        <v/>
      </c>
      <c r="U3772" s="8">
        <f t="shared" si="392"/>
        <v>2</v>
      </c>
      <c r="AD3772" t="str">
        <f t="shared" si="391"/>
        <v>o</v>
      </c>
      <c r="AE3772" t="str">
        <f t="shared" si="395"/>
        <v/>
      </c>
      <c r="AF3772" t="str">
        <f t="shared" si="393"/>
        <v/>
      </c>
      <c r="AG3772" t="str">
        <f t="shared" si="394"/>
        <v/>
      </c>
      <c r="AN3772" t="str">
        <f t="shared" si="397"/>
        <v>Defensive</v>
      </c>
    </row>
    <row r="3773" spans="2:40" x14ac:dyDescent="0.2">
      <c r="B3773" t="str">
        <f t="shared" si="396"/>
        <v/>
      </c>
      <c r="U3773" s="8">
        <f t="shared" si="392"/>
        <v>2</v>
      </c>
      <c r="AD3773" t="str">
        <f t="shared" si="391"/>
        <v>o</v>
      </c>
      <c r="AE3773" t="str">
        <f t="shared" si="395"/>
        <v/>
      </c>
      <c r="AF3773" t="str">
        <f t="shared" si="393"/>
        <v/>
      </c>
      <c r="AG3773" t="str">
        <f t="shared" si="394"/>
        <v/>
      </c>
      <c r="AN3773" t="str">
        <f t="shared" si="397"/>
        <v>Defensive</v>
      </c>
    </row>
    <row r="3774" spans="2:40" x14ac:dyDescent="0.2">
      <c r="B3774" t="str">
        <f t="shared" si="396"/>
        <v/>
      </c>
      <c r="U3774" s="8">
        <f t="shared" si="392"/>
        <v>2</v>
      </c>
      <c r="AD3774" t="str">
        <f t="shared" si="391"/>
        <v>o</v>
      </c>
      <c r="AE3774" t="str">
        <f t="shared" si="395"/>
        <v/>
      </c>
      <c r="AF3774" t="str">
        <f t="shared" si="393"/>
        <v/>
      </c>
      <c r="AG3774" t="str">
        <f t="shared" si="394"/>
        <v/>
      </c>
      <c r="AN3774" t="str">
        <f t="shared" si="397"/>
        <v>Defensive</v>
      </c>
    </row>
    <row r="3775" spans="2:40" x14ac:dyDescent="0.2">
      <c r="B3775" t="str">
        <f t="shared" si="396"/>
        <v/>
      </c>
      <c r="U3775" s="8">
        <f t="shared" si="392"/>
        <v>2</v>
      </c>
      <c r="AD3775" t="str">
        <f t="shared" si="391"/>
        <v>o</v>
      </c>
      <c r="AE3775" t="str">
        <f t="shared" si="395"/>
        <v/>
      </c>
      <c r="AF3775" t="str">
        <f t="shared" si="393"/>
        <v/>
      </c>
      <c r="AG3775" t="str">
        <f t="shared" si="394"/>
        <v/>
      </c>
      <c r="AN3775" t="str">
        <f t="shared" si="397"/>
        <v>Defensive</v>
      </c>
    </row>
    <row r="3776" spans="2:40" x14ac:dyDescent="0.2">
      <c r="B3776" t="str">
        <f t="shared" si="396"/>
        <v/>
      </c>
      <c r="U3776" s="8">
        <f t="shared" si="392"/>
        <v>2</v>
      </c>
      <c r="AD3776" t="str">
        <f t="shared" si="391"/>
        <v>o</v>
      </c>
      <c r="AE3776" t="str">
        <f t="shared" si="395"/>
        <v/>
      </c>
      <c r="AF3776" t="str">
        <f t="shared" si="393"/>
        <v/>
      </c>
      <c r="AG3776" t="str">
        <f t="shared" si="394"/>
        <v/>
      </c>
      <c r="AN3776" t="str">
        <f t="shared" si="397"/>
        <v>Defensive</v>
      </c>
    </row>
    <row r="3777" spans="2:40" x14ac:dyDescent="0.2">
      <c r="B3777" t="str">
        <f t="shared" si="396"/>
        <v/>
      </c>
      <c r="U3777" s="8">
        <f t="shared" si="392"/>
        <v>2</v>
      </c>
      <c r="AD3777" t="str">
        <f t="shared" si="391"/>
        <v>o</v>
      </c>
      <c r="AE3777" t="str">
        <f t="shared" si="395"/>
        <v/>
      </c>
      <c r="AF3777" t="str">
        <f t="shared" si="393"/>
        <v/>
      </c>
      <c r="AG3777" t="str">
        <f t="shared" si="394"/>
        <v/>
      </c>
      <c r="AN3777" t="str">
        <f t="shared" si="397"/>
        <v>Defensive</v>
      </c>
    </row>
    <row r="3778" spans="2:40" x14ac:dyDescent="0.2">
      <c r="B3778" t="str">
        <f t="shared" si="396"/>
        <v/>
      </c>
      <c r="U3778" s="8">
        <f t="shared" si="392"/>
        <v>2</v>
      </c>
      <c r="AD3778" t="str">
        <f t="shared" ref="AD3778:AD3841" si="398">IF(K3778="x","",IF(K3778=1,"e","o"))</f>
        <v>o</v>
      </c>
      <c r="AE3778" t="str">
        <f t="shared" si="395"/>
        <v/>
      </c>
      <c r="AF3778" t="str">
        <f t="shared" si="393"/>
        <v/>
      </c>
      <c r="AG3778" t="str">
        <f t="shared" si="394"/>
        <v/>
      </c>
      <c r="AN3778" t="str">
        <f t="shared" si="397"/>
        <v>Defensive</v>
      </c>
    </row>
    <row r="3779" spans="2:40" x14ac:dyDescent="0.2">
      <c r="B3779" t="str">
        <f t="shared" si="396"/>
        <v/>
      </c>
      <c r="U3779" s="8">
        <f t="shared" ref="U3779:U3842" si="399">IF(M3779="Intermission",U3778+1,U3778)</f>
        <v>2</v>
      </c>
      <c r="AD3779" t="str">
        <f t="shared" si="398"/>
        <v>o</v>
      </c>
      <c r="AE3779" t="str">
        <f t="shared" si="395"/>
        <v/>
      </c>
      <c r="AF3779" t="str">
        <f t="shared" ref="AF3779:AF3842" si="400">IF(N3779&lt;&gt;"",N3779,IF($A3779=$A3778,AF3778,""))</f>
        <v/>
      </c>
      <c r="AG3779" t="str">
        <f t="shared" ref="AG3779:AG3842" si="401">IF(O3779&lt;&gt;"",O3779,IF($A3779=$A3778,AG3778,""))</f>
        <v/>
      </c>
      <c r="AN3779" t="str">
        <f t="shared" si="397"/>
        <v>Defensive</v>
      </c>
    </row>
    <row r="3780" spans="2:40" x14ac:dyDescent="0.2">
      <c r="B3780" t="str">
        <f t="shared" si="396"/>
        <v/>
      </c>
      <c r="U3780" s="8">
        <f t="shared" si="399"/>
        <v>2</v>
      </c>
      <c r="AD3780" t="str">
        <f t="shared" si="398"/>
        <v>o</v>
      </c>
      <c r="AE3780" t="str">
        <f t="shared" ref="AE3780:AE3843" si="402">IF(M3780&lt;&gt;"",M3780,IF($A3780=$A3779,AE3779,""))</f>
        <v/>
      </c>
      <c r="AF3780" t="str">
        <f t="shared" si="400"/>
        <v/>
      </c>
      <c r="AG3780" t="str">
        <f t="shared" si="401"/>
        <v/>
      </c>
      <c r="AN3780" t="str">
        <f t="shared" si="397"/>
        <v>Defensive</v>
      </c>
    </row>
    <row r="3781" spans="2:40" x14ac:dyDescent="0.2">
      <c r="B3781" t="str">
        <f t="shared" si="396"/>
        <v/>
      </c>
      <c r="U3781" s="8">
        <f t="shared" si="399"/>
        <v>2</v>
      </c>
      <c r="AD3781" t="str">
        <f t="shared" si="398"/>
        <v>o</v>
      </c>
      <c r="AE3781" t="str">
        <f t="shared" si="402"/>
        <v/>
      </c>
      <c r="AF3781" t="str">
        <f t="shared" si="400"/>
        <v/>
      </c>
      <c r="AG3781" t="str">
        <f t="shared" si="401"/>
        <v/>
      </c>
      <c r="AN3781" t="str">
        <f t="shared" si="397"/>
        <v>Defensive</v>
      </c>
    </row>
    <row r="3782" spans="2:40" x14ac:dyDescent="0.2">
      <c r="B3782" t="str">
        <f t="shared" si="396"/>
        <v/>
      </c>
      <c r="U3782" s="8">
        <f t="shared" si="399"/>
        <v>2</v>
      </c>
      <c r="AD3782" t="str">
        <f t="shared" si="398"/>
        <v>o</v>
      </c>
      <c r="AE3782" t="str">
        <f t="shared" si="402"/>
        <v/>
      </c>
      <c r="AF3782" t="str">
        <f t="shared" si="400"/>
        <v/>
      </c>
      <c r="AG3782" t="str">
        <f t="shared" si="401"/>
        <v/>
      </c>
      <c r="AN3782" t="str">
        <f t="shared" si="397"/>
        <v>Defensive</v>
      </c>
    </row>
    <row r="3783" spans="2:40" x14ac:dyDescent="0.2">
      <c r="B3783" t="str">
        <f t="shared" si="396"/>
        <v/>
      </c>
      <c r="U3783" s="8">
        <f t="shared" si="399"/>
        <v>2</v>
      </c>
      <c r="AD3783" t="str">
        <f t="shared" si="398"/>
        <v>o</v>
      </c>
      <c r="AE3783" t="str">
        <f t="shared" si="402"/>
        <v/>
      </c>
      <c r="AF3783" t="str">
        <f t="shared" si="400"/>
        <v/>
      </c>
      <c r="AG3783" t="str">
        <f t="shared" si="401"/>
        <v/>
      </c>
      <c r="AN3783" t="str">
        <f t="shared" si="397"/>
        <v>Defensive</v>
      </c>
    </row>
    <row r="3784" spans="2:40" x14ac:dyDescent="0.2">
      <c r="B3784" t="str">
        <f t="shared" si="396"/>
        <v/>
      </c>
      <c r="U3784" s="8">
        <f t="shared" si="399"/>
        <v>2</v>
      </c>
      <c r="AD3784" t="str">
        <f t="shared" si="398"/>
        <v>o</v>
      </c>
      <c r="AE3784" t="str">
        <f t="shared" si="402"/>
        <v/>
      </c>
      <c r="AF3784" t="str">
        <f t="shared" si="400"/>
        <v/>
      </c>
      <c r="AG3784" t="str">
        <f t="shared" si="401"/>
        <v/>
      </c>
      <c r="AN3784" t="str">
        <f t="shared" si="397"/>
        <v>Defensive</v>
      </c>
    </row>
    <row r="3785" spans="2:40" x14ac:dyDescent="0.2">
      <c r="B3785" t="str">
        <f t="shared" si="396"/>
        <v/>
      </c>
      <c r="U3785" s="8">
        <f t="shared" si="399"/>
        <v>2</v>
      </c>
      <c r="AD3785" t="str">
        <f t="shared" si="398"/>
        <v>o</v>
      </c>
      <c r="AE3785" t="str">
        <f t="shared" si="402"/>
        <v/>
      </c>
      <c r="AF3785" t="str">
        <f t="shared" si="400"/>
        <v/>
      </c>
      <c r="AG3785" t="str">
        <f t="shared" si="401"/>
        <v/>
      </c>
      <c r="AN3785" t="str">
        <f t="shared" si="397"/>
        <v>Defensive</v>
      </c>
    </row>
    <row r="3786" spans="2:40" x14ac:dyDescent="0.2">
      <c r="B3786" t="str">
        <f t="shared" si="396"/>
        <v/>
      </c>
      <c r="U3786" s="8">
        <f t="shared" si="399"/>
        <v>2</v>
      </c>
      <c r="AD3786" t="str">
        <f t="shared" si="398"/>
        <v>o</v>
      </c>
      <c r="AE3786" t="str">
        <f t="shared" si="402"/>
        <v/>
      </c>
      <c r="AF3786" t="str">
        <f t="shared" si="400"/>
        <v/>
      </c>
      <c r="AG3786" t="str">
        <f t="shared" si="401"/>
        <v/>
      </c>
      <c r="AN3786" t="str">
        <f t="shared" si="397"/>
        <v>Defensive</v>
      </c>
    </row>
    <row r="3787" spans="2:40" x14ac:dyDescent="0.2">
      <c r="B3787" t="str">
        <f t="shared" si="396"/>
        <v/>
      </c>
      <c r="U3787" s="8">
        <f t="shared" si="399"/>
        <v>2</v>
      </c>
      <c r="AD3787" t="str">
        <f t="shared" si="398"/>
        <v>o</v>
      </c>
      <c r="AE3787" t="str">
        <f t="shared" si="402"/>
        <v/>
      </c>
      <c r="AF3787" t="str">
        <f t="shared" si="400"/>
        <v/>
      </c>
      <c r="AG3787" t="str">
        <f t="shared" si="401"/>
        <v/>
      </c>
      <c r="AN3787" t="str">
        <f t="shared" si="397"/>
        <v>Defensive</v>
      </c>
    </row>
    <row r="3788" spans="2:40" x14ac:dyDescent="0.2">
      <c r="B3788" t="str">
        <f t="shared" si="396"/>
        <v/>
      </c>
      <c r="U3788" s="8">
        <f t="shared" si="399"/>
        <v>2</v>
      </c>
      <c r="AD3788" t="str">
        <f t="shared" si="398"/>
        <v>o</v>
      </c>
      <c r="AE3788" t="str">
        <f t="shared" si="402"/>
        <v/>
      </c>
      <c r="AF3788" t="str">
        <f t="shared" si="400"/>
        <v/>
      </c>
      <c r="AG3788" t="str">
        <f t="shared" si="401"/>
        <v/>
      </c>
      <c r="AN3788" t="str">
        <f t="shared" si="397"/>
        <v>Defensive</v>
      </c>
    </row>
    <row r="3789" spans="2:40" x14ac:dyDescent="0.2">
      <c r="B3789" t="str">
        <f t="shared" si="396"/>
        <v/>
      </c>
      <c r="U3789" s="8">
        <f t="shared" si="399"/>
        <v>2</v>
      </c>
      <c r="AD3789" t="str">
        <f t="shared" si="398"/>
        <v>o</v>
      </c>
      <c r="AE3789" t="str">
        <f t="shared" si="402"/>
        <v/>
      </c>
      <c r="AF3789" t="str">
        <f t="shared" si="400"/>
        <v/>
      </c>
      <c r="AG3789" t="str">
        <f t="shared" si="401"/>
        <v/>
      </c>
      <c r="AN3789" t="str">
        <f t="shared" si="397"/>
        <v>Defensive</v>
      </c>
    </row>
    <row r="3790" spans="2:40" x14ac:dyDescent="0.2">
      <c r="B3790" t="str">
        <f t="shared" si="396"/>
        <v/>
      </c>
      <c r="U3790" s="8">
        <f t="shared" si="399"/>
        <v>2</v>
      </c>
      <c r="AD3790" t="str">
        <f t="shared" si="398"/>
        <v>o</v>
      </c>
      <c r="AE3790" t="str">
        <f t="shared" si="402"/>
        <v/>
      </c>
      <c r="AF3790" t="str">
        <f t="shared" si="400"/>
        <v/>
      </c>
      <c r="AG3790" t="str">
        <f t="shared" si="401"/>
        <v/>
      </c>
      <c r="AN3790" t="str">
        <f t="shared" si="397"/>
        <v>Defensive</v>
      </c>
    </row>
    <row r="3791" spans="2:40" x14ac:dyDescent="0.2">
      <c r="B3791" t="str">
        <f t="shared" si="396"/>
        <v/>
      </c>
      <c r="U3791" s="8">
        <f t="shared" si="399"/>
        <v>2</v>
      </c>
      <c r="AD3791" t="str">
        <f t="shared" si="398"/>
        <v>o</v>
      </c>
      <c r="AE3791" t="str">
        <f t="shared" si="402"/>
        <v/>
      </c>
      <c r="AF3791" t="str">
        <f t="shared" si="400"/>
        <v/>
      </c>
      <c r="AG3791" t="str">
        <f t="shared" si="401"/>
        <v/>
      </c>
      <c r="AN3791" t="str">
        <f t="shared" si="397"/>
        <v>Defensive</v>
      </c>
    </row>
    <row r="3792" spans="2:40" x14ac:dyDescent="0.2">
      <c r="B3792" t="str">
        <f t="shared" si="396"/>
        <v/>
      </c>
      <c r="U3792" s="8">
        <f t="shared" si="399"/>
        <v>2</v>
      </c>
      <c r="AD3792" t="str">
        <f t="shared" si="398"/>
        <v>o</v>
      </c>
      <c r="AE3792" t="str">
        <f t="shared" si="402"/>
        <v/>
      </c>
      <c r="AF3792" t="str">
        <f t="shared" si="400"/>
        <v/>
      </c>
      <c r="AG3792" t="str">
        <f t="shared" si="401"/>
        <v/>
      </c>
      <c r="AN3792" t="str">
        <f t="shared" si="397"/>
        <v>Defensive</v>
      </c>
    </row>
    <row r="3793" spans="2:40" x14ac:dyDescent="0.2">
      <c r="B3793" t="str">
        <f t="shared" si="396"/>
        <v/>
      </c>
      <c r="U3793" s="8">
        <f t="shared" si="399"/>
        <v>2</v>
      </c>
      <c r="AD3793" t="str">
        <f t="shared" si="398"/>
        <v>o</v>
      </c>
      <c r="AE3793" t="str">
        <f t="shared" si="402"/>
        <v/>
      </c>
      <c r="AF3793" t="str">
        <f t="shared" si="400"/>
        <v/>
      </c>
      <c r="AG3793" t="str">
        <f t="shared" si="401"/>
        <v/>
      </c>
      <c r="AN3793" t="str">
        <f t="shared" si="397"/>
        <v>Defensive</v>
      </c>
    </row>
    <row r="3794" spans="2:40" x14ac:dyDescent="0.2">
      <c r="B3794" t="str">
        <f t="shared" si="396"/>
        <v/>
      </c>
      <c r="U3794" s="8">
        <f t="shared" si="399"/>
        <v>2</v>
      </c>
      <c r="AD3794" t="str">
        <f t="shared" si="398"/>
        <v>o</v>
      </c>
      <c r="AE3794" t="str">
        <f t="shared" si="402"/>
        <v/>
      </c>
      <c r="AF3794" t="str">
        <f t="shared" si="400"/>
        <v/>
      </c>
      <c r="AG3794" t="str">
        <f t="shared" si="401"/>
        <v/>
      </c>
      <c r="AN3794" t="str">
        <f t="shared" si="397"/>
        <v>Defensive</v>
      </c>
    </row>
    <row r="3795" spans="2:40" x14ac:dyDescent="0.2">
      <c r="B3795" t="str">
        <f t="shared" si="396"/>
        <v/>
      </c>
      <c r="U3795" s="8">
        <f t="shared" si="399"/>
        <v>2</v>
      </c>
      <c r="AD3795" t="str">
        <f t="shared" si="398"/>
        <v>o</v>
      </c>
      <c r="AE3795" t="str">
        <f t="shared" si="402"/>
        <v/>
      </c>
      <c r="AF3795" t="str">
        <f t="shared" si="400"/>
        <v/>
      </c>
      <c r="AG3795" t="str">
        <f t="shared" si="401"/>
        <v/>
      </c>
      <c r="AN3795" t="str">
        <f t="shared" si="397"/>
        <v>Defensive</v>
      </c>
    </row>
    <row r="3796" spans="2:40" x14ac:dyDescent="0.2">
      <c r="B3796" t="str">
        <f t="shared" si="396"/>
        <v/>
      </c>
      <c r="U3796" s="8">
        <f t="shared" si="399"/>
        <v>2</v>
      </c>
      <c r="AD3796" t="str">
        <f t="shared" si="398"/>
        <v>o</v>
      </c>
      <c r="AE3796" t="str">
        <f t="shared" si="402"/>
        <v/>
      </c>
      <c r="AF3796" t="str">
        <f t="shared" si="400"/>
        <v/>
      </c>
      <c r="AG3796" t="str">
        <f t="shared" si="401"/>
        <v/>
      </c>
      <c r="AN3796" t="str">
        <f t="shared" si="397"/>
        <v>Defensive</v>
      </c>
    </row>
    <row r="3797" spans="2:40" x14ac:dyDescent="0.2">
      <c r="B3797" t="str">
        <f t="shared" si="396"/>
        <v/>
      </c>
      <c r="U3797" s="8">
        <f t="shared" si="399"/>
        <v>2</v>
      </c>
      <c r="AD3797" t="str">
        <f t="shared" si="398"/>
        <v>o</v>
      </c>
      <c r="AE3797" t="str">
        <f t="shared" si="402"/>
        <v/>
      </c>
      <c r="AF3797" t="str">
        <f t="shared" si="400"/>
        <v/>
      </c>
      <c r="AG3797" t="str">
        <f t="shared" si="401"/>
        <v/>
      </c>
      <c r="AN3797" t="str">
        <f t="shared" si="397"/>
        <v>Defensive</v>
      </c>
    </row>
    <row r="3798" spans="2:40" x14ac:dyDescent="0.2">
      <c r="B3798" t="str">
        <f t="shared" si="396"/>
        <v/>
      </c>
      <c r="U3798" s="8">
        <f t="shared" si="399"/>
        <v>2</v>
      </c>
      <c r="AD3798" t="str">
        <f t="shared" si="398"/>
        <v>o</v>
      </c>
      <c r="AE3798" t="str">
        <f t="shared" si="402"/>
        <v/>
      </c>
      <c r="AF3798" t="str">
        <f t="shared" si="400"/>
        <v/>
      </c>
      <c r="AG3798" t="str">
        <f t="shared" si="401"/>
        <v/>
      </c>
      <c r="AN3798" t="str">
        <f t="shared" si="397"/>
        <v>Defensive</v>
      </c>
    </row>
    <row r="3799" spans="2:40" x14ac:dyDescent="0.2">
      <c r="B3799" t="str">
        <f t="shared" si="396"/>
        <v/>
      </c>
      <c r="U3799" s="8">
        <f t="shared" si="399"/>
        <v>2</v>
      </c>
      <c r="AD3799" t="str">
        <f t="shared" si="398"/>
        <v>o</v>
      </c>
      <c r="AE3799" t="str">
        <f t="shared" si="402"/>
        <v/>
      </c>
      <c r="AF3799" t="str">
        <f t="shared" si="400"/>
        <v/>
      </c>
      <c r="AG3799" t="str">
        <f t="shared" si="401"/>
        <v/>
      </c>
      <c r="AN3799" t="str">
        <f t="shared" si="397"/>
        <v>Defensive</v>
      </c>
    </row>
    <row r="3800" spans="2:40" x14ac:dyDescent="0.2">
      <c r="B3800" t="str">
        <f t="shared" si="396"/>
        <v/>
      </c>
      <c r="U3800" s="8">
        <f t="shared" si="399"/>
        <v>2</v>
      </c>
      <c r="AD3800" t="str">
        <f t="shared" si="398"/>
        <v>o</v>
      </c>
      <c r="AE3800" t="str">
        <f t="shared" si="402"/>
        <v/>
      </c>
      <c r="AF3800" t="str">
        <f t="shared" si="400"/>
        <v/>
      </c>
      <c r="AG3800" t="str">
        <f t="shared" si="401"/>
        <v/>
      </c>
      <c r="AN3800" t="str">
        <f t="shared" si="397"/>
        <v>Defensive</v>
      </c>
    </row>
    <row r="3801" spans="2:40" x14ac:dyDescent="0.2">
      <c r="B3801" t="str">
        <f t="shared" si="396"/>
        <v/>
      </c>
      <c r="U3801" s="8">
        <f t="shared" si="399"/>
        <v>2</v>
      </c>
      <c r="AD3801" t="str">
        <f t="shared" si="398"/>
        <v>o</v>
      </c>
      <c r="AE3801" t="str">
        <f t="shared" si="402"/>
        <v/>
      </c>
      <c r="AF3801" t="str">
        <f t="shared" si="400"/>
        <v/>
      </c>
      <c r="AG3801" t="str">
        <f t="shared" si="401"/>
        <v/>
      </c>
      <c r="AN3801" t="str">
        <f t="shared" si="397"/>
        <v>Defensive</v>
      </c>
    </row>
    <row r="3802" spans="2:40" x14ac:dyDescent="0.2">
      <c r="B3802" t="str">
        <f t="shared" si="396"/>
        <v/>
      </c>
      <c r="U3802" s="8">
        <f t="shared" si="399"/>
        <v>2</v>
      </c>
      <c r="AD3802" t="str">
        <f t="shared" si="398"/>
        <v>o</v>
      </c>
      <c r="AE3802" t="str">
        <f t="shared" si="402"/>
        <v/>
      </c>
      <c r="AF3802" t="str">
        <f t="shared" si="400"/>
        <v/>
      </c>
      <c r="AG3802" t="str">
        <f t="shared" si="401"/>
        <v/>
      </c>
      <c r="AN3802" t="str">
        <f t="shared" si="397"/>
        <v>Defensive</v>
      </c>
    </row>
    <row r="3803" spans="2:40" x14ac:dyDescent="0.2">
      <c r="B3803" t="str">
        <f t="shared" si="396"/>
        <v/>
      </c>
      <c r="U3803" s="8">
        <f t="shared" si="399"/>
        <v>2</v>
      </c>
      <c r="AD3803" t="str">
        <f t="shared" si="398"/>
        <v>o</v>
      </c>
      <c r="AE3803" t="str">
        <f t="shared" si="402"/>
        <v/>
      </c>
      <c r="AF3803" t="str">
        <f t="shared" si="400"/>
        <v/>
      </c>
      <c r="AG3803" t="str">
        <f t="shared" si="401"/>
        <v/>
      </c>
      <c r="AN3803" t="str">
        <f t="shared" si="397"/>
        <v>Defensive</v>
      </c>
    </row>
    <row r="3804" spans="2:40" x14ac:dyDescent="0.2">
      <c r="B3804" t="str">
        <f t="shared" si="396"/>
        <v/>
      </c>
      <c r="U3804" s="8">
        <f t="shared" si="399"/>
        <v>2</v>
      </c>
      <c r="AD3804" t="str">
        <f t="shared" si="398"/>
        <v>o</v>
      </c>
      <c r="AE3804" t="str">
        <f t="shared" si="402"/>
        <v/>
      </c>
      <c r="AF3804" t="str">
        <f t="shared" si="400"/>
        <v/>
      </c>
      <c r="AG3804" t="str">
        <f t="shared" si="401"/>
        <v/>
      </c>
      <c r="AN3804" t="str">
        <f t="shared" si="397"/>
        <v>Defensive</v>
      </c>
    </row>
    <row r="3805" spans="2:40" x14ac:dyDescent="0.2">
      <c r="B3805" t="str">
        <f t="shared" si="396"/>
        <v/>
      </c>
      <c r="U3805" s="8">
        <f t="shared" si="399"/>
        <v>2</v>
      </c>
      <c r="AD3805" t="str">
        <f t="shared" si="398"/>
        <v>o</v>
      </c>
      <c r="AE3805" t="str">
        <f t="shared" si="402"/>
        <v/>
      </c>
      <c r="AF3805" t="str">
        <f t="shared" si="400"/>
        <v/>
      </c>
      <c r="AG3805" t="str">
        <f t="shared" si="401"/>
        <v/>
      </c>
      <c r="AN3805" t="str">
        <f t="shared" si="397"/>
        <v>Defensive</v>
      </c>
    </row>
    <row r="3806" spans="2:40" x14ac:dyDescent="0.2">
      <c r="B3806" t="str">
        <f t="shared" si="396"/>
        <v/>
      </c>
      <c r="U3806" s="8">
        <f t="shared" si="399"/>
        <v>2</v>
      </c>
      <c r="AD3806" t="str">
        <f t="shared" si="398"/>
        <v>o</v>
      </c>
      <c r="AE3806" t="str">
        <f t="shared" si="402"/>
        <v/>
      </c>
      <c r="AF3806" t="str">
        <f t="shared" si="400"/>
        <v/>
      </c>
      <c r="AG3806" t="str">
        <f t="shared" si="401"/>
        <v/>
      </c>
      <c r="AN3806" t="str">
        <f t="shared" si="397"/>
        <v>Defensive</v>
      </c>
    </row>
    <row r="3807" spans="2:40" x14ac:dyDescent="0.2">
      <c r="B3807" t="str">
        <f t="shared" si="396"/>
        <v/>
      </c>
      <c r="U3807" s="8">
        <f t="shared" si="399"/>
        <v>2</v>
      </c>
      <c r="AD3807" t="str">
        <f t="shared" si="398"/>
        <v>o</v>
      </c>
      <c r="AE3807" t="str">
        <f t="shared" si="402"/>
        <v/>
      </c>
      <c r="AF3807" t="str">
        <f t="shared" si="400"/>
        <v/>
      </c>
      <c r="AG3807" t="str">
        <f t="shared" si="401"/>
        <v/>
      </c>
      <c r="AN3807" t="str">
        <f t="shared" si="397"/>
        <v>Defensive</v>
      </c>
    </row>
    <row r="3808" spans="2:40" x14ac:dyDescent="0.2">
      <c r="B3808" t="str">
        <f t="shared" si="396"/>
        <v/>
      </c>
      <c r="U3808" s="8">
        <f t="shared" si="399"/>
        <v>2</v>
      </c>
      <c r="AD3808" t="str">
        <f t="shared" si="398"/>
        <v>o</v>
      </c>
      <c r="AE3808" t="str">
        <f t="shared" si="402"/>
        <v/>
      </c>
      <c r="AF3808" t="str">
        <f t="shared" si="400"/>
        <v/>
      </c>
      <c r="AG3808" t="str">
        <f t="shared" si="401"/>
        <v/>
      </c>
      <c r="AN3808" t="str">
        <f t="shared" si="397"/>
        <v>Defensive</v>
      </c>
    </row>
    <row r="3809" spans="2:40" x14ac:dyDescent="0.2">
      <c r="B3809" t="str">
        <f t="shared" si="396"/>
        <v/>
      </c>
      <c r="U3809" s="8">
        <f t="shared" si="399"/>
        <v>2</v>
      </c>
      <c r="AD3809" t="str">
        <f t="shared" si="398"/>
        <v>o</v>
      </c>
      <c r="AE3809" t="str">
        <f t="shared" si="402"/>
        <v/>
      </c>
      <c r="AF3809" t="str">
        <f t="shared" si="400"/>
        <v/>
      </c>
      <c r="AG3809" t="str">
        <f t="shared" si="401"/>
        <v/>
      </c>
      <c r="AN3809" t="str">
        <f t="shared" si="397"/>
        <v>Defensive</v>
      </c>
    </row>
    <row r="3810" spans="2:40" x14ac:dyDescent="0.2">
      <c r="B3810" t="str">
        <f t="shared" si="396"/>
        <v/>
      </c>
      <c r="U3810" s="8">
        <f t="shared" si="399"/>
        <v>2</v>
      </c>
      <c r="AD3810" t="str">
        <f t="shared" si="398"/>
        <v>o</v>
      </c>
      <c r="AE3810" t="str">
        <f t="shared" si="402"/>
        <v/>
      </c>
      <c r="AF3810" t="str">
        <f t="shared" si="400"/>
        <v/>
      </c>
      <c r="AG3810" t="str">
        <f t="shared" si="401"/>
        <v/>
      </c>
      <c r="AN3810" t="str">
        <f t="shared" si="397"/>
        <v>Defensive</v>
      </c>
    </row>
    <row r="3811" spans="2:40" x14ac:dyDescent="0.2">
      <c r="B3811" t="str">
        <f t="shared" si="396"/>
        <v/>
      </c>
      <c r="U3811" s="8">
        <f t="shared" si="399"/>
        <v>2</v>
      </c>
      <c r="AD3811" t="str">
        <f t="shared" si="398"/>
        <v>o</v>
      </c>
      <c r="AE3811" t="str">
        <f t="shared" si="402"/>
        <v/>
      </c>
      <c r="AF3811" t="str">
        <f t="shared" si="400"/>
        <v/>
      </c>
      <c r="AG3811" t="str">
        <f t="shared" si="401"/>
        <v/>
      </c>
      <c r="AN3811" t="str">
        <f t="shared" si="397"/>
        <v>Defensive</v>
      </c>
    </row>
    <row r="3812" spans="2:40" x14ac:dyDescent="0.2">
      <c r="B3812" t="str">
        <f t="shared" si="396"/>
        <v/>
      </c>
      <c r="U3812" s="8">
        <f t="shared" si="399"/>
        <v>2</v>
      </c>
      <c r="AD3812" t="str">
        <f t="shared" si="398"/>
        <v>o</v>
      </c>
      <c r="AE3812" t="str">
        <f t="shared" si="402"/>
        <v/>
      </c>
      <c r="AF3812" t="str">
        <f t="shared" si="400"/>
        <v/>
      </c>
      <c r="AG3812" t="str">
        <f t="shared" si="401"/>
        <v/>
      </c>
      <c r="AN3812" t="str">
        <f t="shared" si="397"/>
        <v>Defensive</v>
      </c>
    </row>
    <row r="3813" spans="2:40" x14ac:dyDescent="0.2">
      <c r="B3813" t="str">
        <f t="shared" si="396"/>
        <v/>
      </c>
      <c r="U3813" s="8">
        <f t="shared" si="399"/>
        <v>2</v>
      </c>
      <c r="AD3813" t="str">
        <f t="shared" si="398"/>
        <v>o</v>
      </c>
      <c r="AE3813" t="str">
        <f t="shared" si="402"/>
        <v/>
      </c>
      <c r="AF3813" t="str">
        <f t="shared" si="400"/>
        <v/>
      </c>
      <c r="AG3813" t="str">
        <f t="shared" si="401"/>
        <v/>
      </c>
      <c r="AN3813" t="str">
        <f t="shared" si="397"/>
        <v>Defensive</v>
      </c>
    </row>
    <row r="3814" spans="2:40" x14ac:dyDescent="0.2">
      <c r="B3814" t="str">
        <f t="shared" si="396"/>
        <v/>
      </c>
      <c r="U3814" s="8">
        <f t="shared" si="399"/>
        <v>2</v>
      </c>
      <c r="AD3814" t="str">
        <f t="shared" si="398"/>
        <v>o</v>
      </c>
      <c r="AE3814" t="str">
        <f t="shared" si="402"/>
        <v/>
      </c>
      <c r="AF3814" t="str">
        <f t="shared" si="400"/>
        <v/>
      </c>
      <c r="AG3814" t="str">
        <f t="shared" si="401"/>
        <v/>
      </c>
      <c r="AN3814" t="str">
        <f t="shared" si="397"/>
        <v>Defensive</v>
      </c>
    </row>
    <row r="3815" spans="2:40" x14ac:dyDescent="0.2">
      <c r="B3815" t="str">
        <f t="shared" si="396"/>
        <v/>
      </c>
      <c r="U3815" s="8">
        <f t="shared" si="399"/>
        <v>2</v>
      </c>
      <c r="AD3815" t="str">
        <f t="shared" si="398"/>
        <v>o</v>
      </c>
      <c r="AE3815" t="str">
        <f t="shared" si="402"/>
        <v/>
      </c>
      <c r="AF3815" t="str">
        <f t="shared" si="400"/>
        <v/>
      </c>
      <c r="AG3815" t="str">
        <f t="shared" si="401"/>
        <v/>
      </c>
      <c r="AN3815" t="str">
        <f t="shared" si="397"/>
        <v>Defensive</v>
      </c>
    </row>
    <row r="3816" spans="2:40" x14ac:dyDescent="0.2">
      <c r="B3816" t="str">
        <f t="shared" si="396"/>
        <v/>
      </c>
      <c r="U3816" s="8">
        <f t="shared" si="399"/>
        <v>2</v>
      </c>
      <c r="AD3816" t="str">
        <f t="shared" si="398"/>
        <v>o</v>
      </c>
      <c r="AE3816" t="str">
        <f t="shared" si="402"/>
        <v/>
      </c>
      <c r="AF3816" t="str">
        <f t="shared" si="400"/>
        <v/>
      </c>
      <c r="AG3816" t="str">
        <f t="shared" si="401"/>
        <v/>
      </c>
      <c r="AN3816" t="str">
        <f t="shared" si="397"/>
        <v>Defensive</v>
      </c>
    </row>
    <row r="3817" spans="2:40" x14ac:dyDescent="0.2">
      <c r="B3817" t="str">
        <f t="shared" si="396"/>
        <v/>
      </c>
      <c r="U3817" s="8">
        <f t="shared" si="399"/>
        <v>2</v>
      </c>
      <c r="AD3817" t="str">
        <f t="shared" si="398"/>
        <v>o</v>
      </c>
      <c r="AE3817" t="str">
        <f t="shared" si="402"/>
        <v/>
      </c>
      <c r="AF3817" t="str">
        <f t="shared" si="400"/>
        <v/>
      </c>
      <c r="AG3817" t="str">
        <f t="shared" si="401"/>
        <v/>
      </c>
      <c r="AN3817" t="str">
        <f t="shared" si="397"/>
        <v>Defensive</v>
      </c>
    </row>
    <row r="3818" spans="2:40" x14ac:dyDescent="0.2">
      <c r="B3818" t="str">
        <f t="shared" si="396"/>
        <v/>
      </c>
      <c r="U3818" s="8">
        <f t="shared" si="399"/>
        <v>2</v>
      </c>
      <c r="AD3818" t="str">
        <f t="shared" si="398"/>
        <v>o</v>
      </c>
      <c r="AE3818" t="str">
        <f t="shared" si="402"/>
        <v/>
      </c>
      <c r="AF3818" t="str">
        <f t="shared" si="400"/>
        <v/>
      </c>
      <c r="AG3818" t="str">
        <f t="shared" si="401"/>
        <v/>
      </c>
      <c r="AN3818" t="str">
        <f t="shared" si="397"/>
        <v>Defensive</v>
      </c>
    </row>
    <row r="3819" spans="2:40" x14ac:dyDescent="0.2">
      <c r="B3819" t="str">
        <f t="shared" si="396"/>
        <v/>
      </c>
      <c r="U3819" s="8">
        <f t="shared" si="399"/>
        <v>2</v>
      </c>
      <c r="AD3819" t="str">
        <f t="shared" si="398"/>
        <v>o</v>
      </c>
      <c r="AE3819" t="str">
        <f t="shared" si="402"/>
        <v/>
      </c>
      <c r="AF3819" t="str">
        <f t="shared" si="400"/>
        <v/>
      </c>
      <c r="AG3819" t="str">
        <f t="shared" si="401"/>
        <v/>
      </c>
      <c r="AN3819" t="str">
        <f t="shared" si="397"/>
        <v>Defensive</v>
      </c>
    </row>
    <row r="3820" spans="2:40" x14ac:dyDescent="0.2">
      <c r="B3820" t="str">
        <f t="shared" si="396"/>
        <v/>
      </c>
      <c r="U3820" s="8">
        <f t="shared" si="399"/>
        <v>2</v>
      </c>
      <c r="AD3820" t="str">
        <f t="shared" si="398"/>
        <v>o</v>
      </c>
      <c r="AE3820" t="str">
        <f t="shared" si="402"/>
        <v/>
      </c>
      <c r="AF3820" t="str">
        <f t="shared" si="400"/>
        <v/>
      </c>
      <c r="AG3820" t="str">
        <f t="shared" si="401"/>
        <v/>
      </c>
      <c r="AN3820" t="str">
        <f t="shared" si="397"/>
        <v>Defensive</v>
      </c>
    </row>
    <row r="3821" spans="2:40" x14ac:dyDescent="0.2">
      <c r="B3821" t="str">
        <f t="shared" si="396"/>
        <v/>
      </c>
      <c r="U3821" s="8">
        <f t="shared" si="399"/>
        <v>2</v>
      </c>
      <c r="AD3821" t="str">
        <f t="shared" si="398"/>
        <v>o</v>
      </c>
      <c r="AE3821" t="str">
        <f t="shared" si="402"/>
        <v/>
      </c>
      <c r="AF3821" t="str">
        <f t="shared" si="400"/>
        <v/>
      </c>
      <c r="AG3821" t="str">
        <f t="shared" si="401"/>
        <v/>
      </c>
      <c r="AN3821" t="str">
        <f t="shared" si="397"/>
        <v>Defensive</v>
      </c>
    </row>
    <row r="3822" spans="2:40" x14ac:dyDescent="0.2">
      <c r="B3822" t="str">
        <f t="shared" si="396"/>
        <v/>
      </c>
      <c r="U3822" s="8">
        <f t="shared" si="399"/>
        <v>2</v>
      </c>
      <c r="AD3822" t="str">
        <f t="shared" si="398"/>
        <v>o</v>
      </c>
      <c r="AE3822" t="str">
        <f t="shared" si="402"/>
        <v/>
      </c>
      <c r="AF3822" t="str">
        <f t="shared" si="400"/>
        <v/>
      </c>
      <c r="AG3822" t="str">
        <f t="shared" si="401"/>
        <v/>
      </c>
      <c r="AN3822" t="str">
        <f t="shared" si="397"/>
        <v>Defensive</v>
      </c>
    </row>
    <row r="3823" spans="2:40" x14ac:dyDescent="0.2">
      <c r="B3823" t="str">
        <f t="shared" si="396"/>
        <v/>
      </c>
      <c r="U3823" s="8">
        <f t="shared" si="399"/>
        <v>2</v>
      </c>
      <c r="AD3823" t="str">
        <f t="shared" si="398"/>
        <v>o</v>
      </c>
      <c r="AE3823" t="str">
        <f t="shared" si="402"/>
        <v/>
      </c>
      <c r="AF3823" t="str">
        <f t="shared" si="400"/>
        <v/>
      </c>
      <c r="AG3823" t="str">
        <f t="shared" si="401"/>
        <v/>
      </c>
      <c r="AN3823" t="str">
        <f t="shared" si="397"/>
        <v>Defensive</v>
      </c>
    </row>
    <row r="3824" spans="2:40" x14ac:dyDescent="0.2">
      <c r="B3824" t="str">
        <f t="shared" ref="B3824:B3887" si="403">IF(A3824=A3823,B3823,"")</f>
        <v/>
      </c>
      <c r="U3824" s="8">
        <f t="shared" si="399"/>
        <v>2</v>
      </c>
      <c r="AD3824" t="str">
        <f t="shared" si="398"/>
        <v>o</v>
      </c>
      <c r="AE3824" t="str">
        <f t="shared" si="402"/>
        <v/>
      </c>
      <c r="AF3824" t="str">
        <f t="shared" si="400"/>
        <v/>
      </c>
      <c r="AG3824" t="str">
        <f t="shared" si="401"/>
        <v/>
      </c>
      <c r="AN3824" t="str">
        <f t="shared" si="397"/>
        <v>Defensive</v>
      </c>
    </row>
    <row r="3825" spans="2:40" x14ac:dyDescent="0.2">
      <c r="B3825" t="str">
        <f t="shared" si="403"/>
        <v/>
      </c>
      <c r="U3825" s="8">
        <f t="shared" si="399"/>
        <v>2</v>
      </c>
      <c r="AD3825" t="str">
        <f t="shared" si="398"/>
        <v>o</v>
      </c>
      <c r="AE3825" t="str">
        <f t="shared" si="402"/>
        <v/>
      </c>
      <c r="AF3825" t="str">
        <f t="shared" si="400"/>
        <v/>
      </c>
      <c r="AG3825" t="str">
        <f t="shared" si="401"/>
        <v/>
      </c>
      <c r="AN3825" t="str">
        <f t="shared" si="397"/>
        <v>Defensive</v>
      </c>
    </row>
    <row r="3826" spans="2:40" x14ac:dyDescent="0.2">
      <c r="B3826" t="str">
        <f t="shared" si="403"/>
        <v/>
      </c>
      <c r="U3826" s="8">
        <f t="shared" si="399"/>
        <v>2</v>
      </c>
      <c r="AD3826" t="str">
        <f t="shared" si="398"/>
        <v>o</v>
      </c>
      <c r="AE3826" t="str">
        <f t="shared" si="402"/>
        <v/>
      </c>
      <c r="AF3826" t="str">
        <f t="shared" si="400"/>
        <v/>
      </c>
      <c r="AG3826" t="str">
        <f t="shared" si="401"/>
        <v/>
      </c>
      <c r="AN3826" t="str">
        <f t="shared" si="397"/>
        <v>Defensive</v>
      </c>
    </row>
    <row r="3827" spans="2:40" x14ac:dyDescent="0.2">
      <c r="B3827" t="str">
        <f t="shared" si="403"/>
        <v/>
      </c>
      <c r="U3827" s="8">
        <f t="shared" si="399"/>
        <v>2</v>
      </c>
      <c r="AD3827" t="str">
        <f t="shared" si="398"/>
        <v>o</v>
      </c>
      <c r="AE3827" t="str">
        <f t="shared" si="402"/>
        <v/>
      </c>
      <c r="AF3827" t="str">
        <f t="shared" si="400"/>
        <v/>
      </c>
      <c r="AG3827" t="str">
        <f t="shared" si="401"/>
        <v/>
      </c>
      <c r="AN3827" t="str">
        <f t="shared" si="397"/>
        <v>Defensive</v>
      </c>
    </row>
    <row r="3828" spans="2:40" x14ac:dyDescent="0.2">
      <c r="B3828" t="str">
        <f t="shared" si="403"/>
        <v/>
      </c>
      <c r="U3828" s="8">
        <f t="shared" si="399"/>
        <v>2</v>
      </c>
      <c r="AD3828" t="str">
        <f t="shared" si="398"/>
        <v>o</v>
      </c>
      <c r="AE3828" t="str">
        <f t="shared" si="402"/>
        <v/>
      </c>
      <c r="AF3828" t="str">
        <f t="shared" si="400"/>
        <v/>
      </c>
      <c r="AG3828" t="str">
        <f t="shared" si="401"/>
        <v/>
      </c>
      <c r="AN3828" t="str">
        <f t="shared" si="397"/>
        <v>Defensive</v>
      </c>
    </row>
    <row r="3829" spans="2:40" x14ac:dyDescent="0.2">
      <c r="B3829" t="str">
        <f t="shared" si="403"/>
        <v/>
      </c>
      <c r="U3829" s="8">
        <f t="shared" si="399"/>
        <v>2</v>
      </c>
      <c r="AD3829" t="str">
        <f t="shared" si="398"/>
        <v>o</v>
      </c>
      <c r="AE3829" t="str">
        <f t="shared" si="402"/>
        <v/>
      </c>
      <c r="AF3829" t="str">
        <f t="shared" si="400"/>
        <v/>
      </c>
      <c r="AG3829" t="str">
        <f t="shared" si="401"/>
        <v/>
      </c>
      <c r="AN3829" t="str">
        <f t="shared" si="397"/>
        <v>Defensive</v>
      </c>
    </row>
    <row r="3830" spans="2:40" x14ac:dyDescent="0.2">
      <c r="B3830" t="str">
        <f t="shared" si="403"/>
        <v/>
      </c>
      <c r="U3830" s="8">
        <f t="shared" si="399"/>
        <v>2</v>
      </c>
      <c r="AD3830" t="str">
        <f t="shared" si="398"/>
        <v>o</v>
      </c>
      <c r="AE3830" t="str">
        <f t="shared" si="402"/>
        <v/>
      </c>
      <c r="AF3830" t="str">
        <f t="shared" si="400"/>
        <v/>
      </c>
      <c r="AG3830" t="str">
        <f t="shared" si="401"/>
        <v/>
      </c>
      <c r="AN3830" t="str">
        <f t="shared" si="397"/>
        <v>Defensive</v>
      </c>
    </row>
    <row r="3831" spans="2:40" x14ac:dyDescent="0.2">
      <c r="B3831" t="str">
        <f t="shared" si="403"/>
        <v/>
      </c>
      <c r="U3831" s="8">
        <f t="shared" si="399"/>
        <v>2</v>
      </c>
      <c r="AD3831" t="str">
        <f t="shared" si="398"/>
        <v>o</v>
      </c>
      <c r="AE3831" t="str">
        <f t="shared" si="402"/>
        <v/>
      </c>
      <c r="AF3831" t="str">
        <f t="shared" si="400"/>
        <v/>
      </c>
      <c r="AG3831" t="str">
        <f t="shared" si="401"/>
        <v/>
      </c>
      <c r="AN3831" t="str">
        <f t="shared" si="397"/>
        <v>Defensive</v>
      </c>
    </row>
    <row r="3832" spans="2:40" x14ac:dyDescent="0.2">
      <c r="B3832" t="str">
        <f t="shared" si="403"/>
        <v/>
      </c>
      <c r="U3832" s="8">
        <f t="shared" si="399"/>
        <v>2</v>
      </c>
      <c r="AD3832" t="str">
        <f t="shared" si="398"/>
        <v>o</v>
      </c>
      <c r="AE3832" t="str">
        <f t="shared" si="402"/>
        <v/>
      </c>
      <c r="AF3832" t="str">
        <f t="shared" si="400"/>
        <v/>
      </c>
      <c r="AG3832" t="str">
        <f t="shared" si="401"/>
        <v/>
      </c>
      <c r="AN3832" t="str">
        <f t="shared" si="397"/>
        <v>Defensive</v>
      </c>
    </row>
    <row r="3833" spans="2:40" x14ac:dyDescent="0.2">
      <c r="B3833" t="str">
        <f t="shared" si="403"/>
        <v/>
      </c>
      <c r="U3833" s="8">
        <f t="shared" si="399"/>
        <v>2</v>
      </c>
      <c r="AD3833" t="str">
        <f t="shared" si="398"/>
        <v>o</v>
      </c>
      <c r="AE3833" t="str">
        <f t="shared" si="402"/>
        <v/>
      </c>
      <c r="AF3833" t="str">
        <f t="shared" si="400"/>
        <v/>
      </c>
      <c r="AG3833" t="str">
        <f t="shared" si="401"/>
        <v/>
      </c>
      <c r="AN3833" t="str">
        <f t="shared" ref="AN3833:AN3896" si="404">IF(AND(AD3833="e",OR(AE3833="Save",AF3833="Turnover_Takeaway",AF3833="Play_Defensive")),"Defensive",IF(AND(AD3833="o",OR(AE3833="Save",AF3833="Turnover_Takeaway",AF3833="Play_Defensive")),"Offensive",IF(OR(AE3833="Deadice",AE3833="Stoppage",AE3833="Intermission"),"",IF(AD3833="e","Offensive",IF(AD3833="o","Defensive","")))))</f>
        <v>Defensive</v>
      </c>
    </row>
    <row r="3834" spans="2:40" x14ac:dyDescent="0.2">
      <c r="B3834" t="str">
        <f t="shared" si="403"/>
        <v/>
      </c>
      <c r="U3834" s="8">
        <f t="shared" si="399"/>
        <v>2</v>
      </c>
      <c r="AD3834" t="str">
        <f t="shared" si="398"/>
        <v>o</v>
      </c>
      <c r="AE3834" t="str">
        <f t="shared" si="402"/>
        <v/>
      </c>
      <c r="AF3834" t="str">
        <f t="shared" si="400"/>
        <v/>
      </c>
      <c r="AG3834" t="str">
        <f t="shared" si="401"/>
        <v/>
      </c>
      <c r="AN3834" t="str">
        <f t="shared" si="404"/>
        <v>Defensive</v>
      </c>
    </row>
    <row r="3835" spans="2:40" x14ac:dyDescent="0.2">
      <c r="B3835" t="str">
        <f t="shared" si="403"/>
        <v/>
      </c>
      <c r="U3835" s="8">
        <f t="shared" si="399"/>
        <v>2</v>
      </c>
      <c r="AD3835" t="str">
        <f t="shared" si="398"/>
        <v>o</v>
      </c>
      <c r="AE3835" t="str">
        <f t="shared" si="402"/>
        <v/>
      </c>
      <c r="AF3835" t="str">
        <f t="shared" si="400"/>
        <v/>
      </c>
      <c r="AG3835" t="str">
        <f t="shared" si="401"/>
        <v/>
      </c>
      <c r="AN3835" t="str">
        <f t="shared" si="404"/>
        <v>Defensive</v>
      </c>
    </row>
    <row r="3836" spans="2:40" x14ac:dyDescent="0.2">
      <c r="B3836" t="str">
        <f t="shared" si="403"/>
        <v/>
      </c>
      <c r="U3836" s="8">
        <f t="shared" si="399"/>
        <v>2</v>
      </c>
      <c r="AD3836" t="str">
        <f t="shared" si="398"/>
        <v>o</v>
      </c>
      <c r="AE3836" t="str">
        <f t="shared" si="402"/>
        <v/>
      </c>
      <c r="AF3836" t="str">
        <f t="shared" si="400"/>
        <v/>
      </c>
      <c r="AG3836" t="str">
        <f t="shared" si="401"/>
        <v/>
      </c>
      <c r="AN3836" t="str">
        <f t="shared" si="404"/>
        <v>Defensive</v>
      </c>
    </row>
    <row r="3837" spans="2:40" x14ac:dyDescent="0.2">
      <c r="B3837" t="str">
        <f t="shared" si="403"/>
        <v/>
      </c>
      <c r="U3837" s="8">
        <f t="shared" si="399"/>
        <v>2</v>
      </c>
      <c r="AD3837" t="str">
        <f t="shared" si="398"/>
        <v>o</v>
      </c>
      <c r="AE3837" t="str">
        <f t="shared" si="402"/>
        <v/>
      </c>
      <c r="AF3837" t="str">
        <f t="shared" si="400"/>
        <v/>
      </c>
      <c r="AG3837" t="str">
        <f t="shared" si="401"/>
        <v/>
      </c>
      <c r="AN3837" t="str">
        <f t="shared" si="404"/>
        <v>Defensive</v>
      </c>
    </row>
    <row r="3838" spans="2:40" x14ac:dyDescent="0.2">
      <c r="B3838" t="str">
        <f t="shared" si="403"/>
        <v/>
      </c>
      <c r="U3838" s="8">
        <f t="shared" si="399"/>
        <v>2</v>
      </c>
      <c r="AD3838" t="str">
        <f t="shared" si="398"/>
        <v>o</v>
      </c>
      <c r="AE3838" t="str">
        <f t="shared" si="402"/>
        <v/>
      </c>
      <c r="AF3838" t="str">
        <f t="shared" si="400"/>
        <v/>
      </c>
      <c r="AG3838" t="str">
        <f t="shared" si="401"/>
        <v/>
      </c>
      <c r="AN3838" t="str">
        <f t="shared" si="404"/>
        <v>Defensive</v>
      </c>
    </row>
    <row r="3839" spans="2:40" x14ac:dyDescent="0.2">
      <c r="B3839" t="str">
        <f t="shared" si="403"/>
        <v/>
      </c>
      <c r="U3839" s="8">
        <f t="shared" si="399"/>
        <v>2</v>
      </c>
      <c r="AD3839" t="str">
        <f t="shared" si="398"/>
        <v>o</v>
      </c>
      <c r="AE3839" t="str">
        <f t="shared" si="402"/>
        <v/>
      </c>
      <c r="AF3839" t="str">
        <f t="shared" si="400"/>
        <v/>
      </c>
      <c r="AG3839" t="str">
        <f t="shared" si="401"/>
        <v/>
      </c>
      <c r="AN3839" t="str">
        <f t="shared" si="404"/>
        <v>Defensive</v>
      </c>
    </row>
    <row r="3840" spans="2:40" x14ac:dyDescent="0.2">
      <c r="B3840" t="str">
        <f t="shared" si="403"/>
        <v/>
      </c>
      <c r="U3840" s="8">
        <f t="shared" si="399"/>
        <v>2</v>
      </c>
      <c r="AD3840" t="str">
        <f t="shared" si="398"/>
        <v>o</v>
      </c>
      <c r="AE3840" t="str">
        <f t="shared" si="402"/>
        <v/>
      </c>
      <c r="AF3840" t="str">
        <f t="shared" si="400"/>
        <v/>
      </c>
      <c r="AG3840" t="str">
        <f t="shared" si="401"/>
        <v/>
      </c>
      <c r="AN3840" t="str">
        <f t="shared" si="404"/>
        <v>Defensive</v>
      </c>
    </row>
    <row r="3841" spans="2:40" x14ac:dyDescent="0.2">
      <c r="B3841" t="str">
        <f t="shared" si="403"/>
        <v/>
      </c>
      <c r="U3841" s="8">
        <f t="shared" si="399"/>
        <v>2</v>
      </c>
      <c r="AD3841" t="str">
        <f t="shared" si="398"/>
        <v>o</v>
      </c>
      <c r="AE3841" t="str">
        <f t="shared" si="402"/>
        <v/>
      </c>
      <c r="AF3841" t="str">
        <f t="shared" si="400"/>
        <v/>
      </c>
      <c r="AG3841" t="str">
        <f t="shared" si="401"/>
        <v/>
      </c>
      <c r="AN3841" t="str">
        <f t="shared" si="404"/>
        <v>Defensive</v>
      </c>
    </row>
    <row r="3842" spans="2:40" x14ac:dyDescent="0.2">
      <c r="B3842" t="str">
        <f t="shared" si="403"/>
        <v/>
      </c>
      <c r="U3842" s="8">
        <f t="shared" si="399"/>
        <v>2</v>
      </c>
      <c r="AD3842" t="str">
        <f t="shared" ref="AD3842:AD3905" si="405">IF(K3842="x","",IF(K3842=1,"e","o"))</f>
        <v>o</v>
      </c>
      <c r="AE3842" t="str">
        <f t="shared" si="402"/>
        <v/>
      </c>
      <c r="AF3842" t="str">
        <f t="shared" si="400"/>
        <v/>
      </c>
      <c r="AG3842" t="str">
        <f t="shared" si="401"/>
        <v/>
      </c>
      <c r="AN3842" t="str">
        <f t="shared" si="404"/>
        <v>Defensive</v>
      </c>
    </row>
    <row r="3843" spans="2:40" x14ac:dyDescent="0.2">
      <c r="B3843" t="str">
        <f t="shared" si="403"/>
        <v/>
      </c>
      <c r="U3843" s="8">
        <f t="shared" ref="U3843:U3906" si="406">IF(M3843="Intermission",U3842+1,U3842)</f>
        <v>2</v>
      </c>
      <c r="AD3843" t="str">
        <f t="shared" si="405"/>
        <v>o</v>
      </c>
      <c r="AE3843" t="str">
        <f t="shared" si="402"/>
        <v/>
      </c>
      <c r="AF3843" t="str">
        <f t="shared" ref="AF3843:AF3906" si="407">IF(N3843&lt;&gt;"",N3843,IF($A3843=$A3842,AF3842,""))</f>
        <v/>
      </c>
      <c r="AG3843" t="str">
        <f t="shared" ref="AG3843:AG3906" si="408">IF(O3843&lt;&gt;"",O3843,IF($A3843=$A3842,AG3842,""))</f>
        <v/>
      </c>
      <c r="AN3843" t="str">
        <f t="shared" si="404"/>
        <v>Defensive</v>
      </c>
    </row>
    <row r="3844" spans="2:40" x14ac:dyDescent="0.2">
      <c r="B3844" t="str">
        <f t="shared" si="403"/>
        <v/>
      </c>
      <c r="U3844" s="8">
        <f t="shared" si="406"/>
        <v>2</v>
      </c>
      <c r="AD3844" t="str">
        <f t="shared" si="405"/>
        <v>o</v>
      </c>
      <c r="AE3844" t="str">
        <f t="shared" ref="AE3844:AE3907" si="409">IF(M3844&lt;&gt;"",M3844,IF($A3844=$A3843,AE3843,""))</f>
        <v/>
      </c>
      <c r="AF3844" t="str">
        <f t="shared" si="407"/>
        <v/>
      </c>
      <c r="AG3844" t="str">
        <f t="shared" si="408"/>
        <v/>
      </c>
      <c r="AN3844" t="str">
        <f t="shared" si="404"/>
        <v>Defensive</v>
      </c>
    </row>
    <row r="3845" spans="2:40" x14ac:dyDescent="0.2">
      <c r="B3845" t="str">
        <f t="shared" si="403"/>
        <v/>
      </c>
      <c r="U3845" s="8">
        <f t="shared" si="406"/>
        <v>2</v>
      </c>
      <c r="AD3845" t="str">
        <f t="shared" si="405"/>
        <v>o</v>
      </c>
      <c r="AE3845" t="str">
        <f t="shared" si="409"/>
        <v/>
      </c>
      <c r="AF3845" t="str">
        <f t="shared" si="407"/>
        <v/>
      </c>
      <c r="AG3845" t="str">
        <f t="shared" si="408"/>
        <v/>
      </c>
      <c r="AN3845" t="str">
        <f t="shared" si="404"/>
        <v>Defensive</v>
      </c>
    </row>
    <row r="3846" spans="2:40" x14ac:dyDescent="0.2">
      <c r="B3846" t="str">
        <f t="shared" si="403"/>
        <v/>
      </c>
      <c r="U3846" s="8">
        <f t="shared" si="406"/>
        <v>2</v>
      </c>
      <c r="AD3846" t="str">
        <f t="shared" si="405"/>
        <v>o</v>
      </c>
      <c r="AE3846" t="str">
        <f t="shared" si="409"/>
        <v/>
      </c>
      <c r="AF3846" t="str">
        <f t="shared" si="407"/>
        <v/>
      </c>
      <c r="AG3846" t="str">
        <f t="shared" si="408"/>
        <v/>
      </c>
      <c r="AN3846" t="str">
        <f t="shared" si="404"/>
        <v>Defensive</v>
      </c>
    </row>
    <row r="3847" spans="2:40" x14ac:dyDescent="0.2">
      <c r="B3847" t="str">
        <f t="shared" si="403"/>
        <v/>
      </c>
      <c r="U3847" s="8">
        <f t="shared" si="406"/>
        <v>2</v>
      </c>
      <c r="AD3847" t="str">
        <f t="shared" si="405"/>
        <v>o</v>
      </c>
      <c r="AE3847" t="str">
        <f t="shared" si="409"/>
        <v/>
      </c>
      <c r="AF3847" t="str">
        <f t="shared" si="407"/>
        <v/>
      </c>
      <c r="AG3847" t="str">
        <f t="shared" si="408"/>
        <v/>
      </c>
      <c r="AN3847" t="str">
        <f t="shared" si="404"/>
        <v>Defensive</v>
      </c>
    </row>
    <row r="3848" spans="2:40" x14ac:dyDescent="0.2">
      <c r="B3848" t="str">
        <f t="shared" si="403"/>
        <v/>
      </c>
      <c r="U3848" s="8">
        <f t="shared" si="406"/>
        <v>2</v>
      </c>
      <c r="AD3848" t="str">
        <f t="shared" si="405"/>
        <v>o</v>
      </c>
      <c r="AE3848" t="str">
        <f t="shared" si="409"/>
        <v/>
      </c>
      <c r="AF3848" t="str">
        <f t="shared" si="407"/>
        <v/>
      </c>
      <c r="AG3848" t="str">
        <f t="shared" si="408"/>
        <v/>
      </c>
      <c r="AN3848" t="str">
        <f t="shared" si="404"/>
        <v>Defensive</v>
      </c>
    </row>
    <row r="3849" spans="2:40" x14ac:dyDescent="0.2">
      <c r="B3849" t="str">
        <f t="shared" si="403"/>
        <v/>
      </c>
      <c r="U3849" s="8">
        <f t="shared" si="406"/>
        <v>2</v>
      </c>
      <c r="AD3849" t="str">
        <f t="shared" si="405"/>
        <v>o</v>
      </c>
      <c r="AE3849" t="str">
        <f t="shared" si="409"/>
        <v/>
      </c>
      <c r="AF3849" t="str">
        <f t="shared" si="407"/>
        <v/>
      </c>
      <c r="AG3849" t="str">
        <f t="shared" si="408"/>
        <v/>
      </c>
      <c r="AN3849" t="str">
        <f t="shared" si="404"/>
        <v>Defensive</v>
      </c>
    </row>
    <row r="3850" spans="2:40" x14ac:dyDescent="0.2">
      <c r="B3850" t="str">
        <f t="shared" si="403"/>
        <v/>
      </c>
      <c r="U3850" s="8">
        <f t="shared" si="406"/>
        <v>2</v>
      </c>
      <c r="AD3850" t="str">
        <f t="shared" si="405"/>
        <v>o</v>
      </c>
      <c r="AE3850" t="str">
        <f t="shared" si="409"/>
        <v/>
      </c>
      <c r="AF3850" t="str">
        <f t="shared" si="407"/>
        <v/>
      </c>
      <c r="AG3850" t="str">
        <f t="shared" si="408"/>
        <v/>
      </c>
      <c r="AN3850" t="str">
        <f t="shared" si="404"/>
        <v>Defensive</v>
      </c>
    </row>
    <row r="3851" spans="2:40" x14ac:dyDescent="0.2">
      <c r="B3851" t="str">
        <f t="shared" si="403"/>
        <v/>
      </c>
      <c r="U3851" s="8">
        <f t="shared" si="406"/>
        <v>2</v>
      </c>
      <c r="AD3851" t="str">
        <f t="shared" si="405"/>
        <v>o</v>
      </c>
      <c r="AE3851" t="str">
        <f t="shared" si="409"/>
        <v/>
      </c>
      <c r="AF3851" t="str">
        <f t="shared" si="407"/>
        <v/>
      </c>
      <c r="AG3851" t="str">
        <f t="shared" si="408"/>
        <v/>
      </c>
      <c r="AN3851" t="str">
        <f t="shared" si="404"/>
        <v>Defensive</v>
      </c>
    </row>
    <row r="3852" spans="2:40" x14ac:dyDescent="0.2">
      <c r="B3852" t="str">
        <f t="shared" si="403"/>
        <v/>
      </c>
      <c r="U3852" s="8">
        <f t="shared" si="406"/>
        <v>2</v>
      </c>
      <c r="AD3852" t="str">
        <f t="shared" si="405"/>
        <v>o</v>
      </c>
      <c r="AE3852" t="str">
        <f t="shared" si="409"/>
        <v/>
      </c>
      <c r="AF3852" t="str">
        <f t="shared" si="407"/>
        <v/>
      </c>
      <c r="AG3852" t="str">
        <f t="shared" si="408"/>
        <v/>
      </c>
      <c r="AN3852" t="str">
        <f t="shared" si="404"/>
        <v>Defensive</v>
      </c>
    </row>
    <row r="3853" spans="2:40" x14ac:dyDescent="0.2">
      <c r="B3853" t="str">
        <f t="shared" si="403"/>
        <v/>
      </c>
      <c r="U3853" s="8">
        <f t="shared" si="406"/>
        <v>2</v>
      </c>
      <c r="AD3853" t="str">
        <f t="shared" si="405"/>
        <v>o</v>
      </c>
      <c r="AE3853" t="str">
        <f t="shared" si="409"/>
        <v/>
      </c>
      <c r="AF3853" t="str">
        <f t="shared" si="407"/>
        <v/>
      </c>
      <c r="AG3853" t="str">
        <f t="shared" si="408"/>
        <v/>
      </c>
      <c r="AN3853" t="str">
        <f t="shared" si="404"/>
        <v>Defensive</v>
      </c>
    </row>
    <row r="3854" spans="2:40" x14ac:dyDescent="0.2">
      <c r="B3854" t="str">
        <f t="shared" si="403"/>
        <v/>
      </c>
      <c r="U3854" s="8">
        <f t="shared" si="406"/>
        <v>2</v>
      </c>
      <c r="AD3854" t="str">
        <f t="shared" si="405"/>
        <v>o</v>
      </c>
      <c r="AE3854" t="str">
        <f t="shared" si="409"/>
        <v/>
      </c>
      <c r="AF3854" t="str">
        <f t="shared" si="407"/>
        <v/>
      </c>
      <c r="AG3854" t="str">
        <f t="shared" si="408"/>
        <v/>
      </c>
      <c r="AN3854" t="str">
        <f t="shared" si="404"/>
        <v>Defensive</v>
      </c>
    </row>
    <row r="3855" spans="2:40" x14ac:dyDescent="0.2">
      <c r="B3855" t="str">
        <f t="shared" si="403"/>
        <v/>
      </c>
      <c r="U3855" s="8">
        <f t="shared" si="406"/>
        <v>2</v>
      </c>
      <c r="AD3855" t="str">
        <f t="shared" si="405"/>
        <v>o</v>
      </c>
      <c r="AE3855" t="str">
        <f t="shared" si="409"/>
        <v/>
      </c>
      <c r="AF3855" t="str">
        <f t="shared" si="407"/>
        <v/>
      </c>
      <c r="AG3855" t="str">
        <f t="shared" si="408"/>
        <v/>
      </c>
      <c r="AN3855" t="str">
        <f t="shared" si="404"/>
        <v>Defensive</v>
      </c>
    </row>
    <row r="3856" spans="2:40" x14ac:dyDescent="0.2">
      <c r="B3856" t="str">
        <f t="shared" si="403"/>
        <v/>
      </c>
      <c r="U3856" s="8">
        <f t="shared" si="406"/>
        <v>2</v>
      </c>
      <c r="AD3856" t="str">
        <f t="shared" si="405"/>
        <v>o</v>
      </c>
      <c r="AE3856" t="str">
        <f t="shared" si="409"/>
        <v/>
      </c>
      <c r="AF3856" t="str">
        <f t="shared" si="407"/>
        <v/>
      </c>
      <c r="AG3856" t="str">
        <f t="shared" si="408"/>
        <v/>
      </c>
      <c r="AN3856" t="str">
        <f t="shared" si="404"/>
        <v>Defensive</v>
      </c>
    </row>
    <row r="3857" spans="2:40" x14ac:dyDescent="0.2">
      <c r="B3857" t="str">
        <f t="shared" si="403"/>
        <v/>
      </c>
      <c r="U3857" s="8">
        <f t="shared" si="406"/>
        <v>2</v>
      </c>
      <c r="AD3857" t="str">
        <f t="shared" si="405"/>
        <v>o</v>
      </c>
      <c r="AE3857" t="str">
        <f t="shared" si="409"/>
        <v/>
      </c>
      <c r="AF3857" t="str">
        <f t="shared" si="407"/>
        <v/>
      </c>
      <c r="AG3857" t="str">
        <f t="shared" si="408"/>
        <v/>
      </c>
      <c r="AN3857" t="str">
        <f t="shared" si="404"/>
        <v>Defensive</v>
      </c>
    </row>
    <row r="3858" spans="2:40" x14ac:dyDescent="0.2">
      <c r="B3858" t="str">
        <f t="shared" si="403"/>
        <v/>
      </c>
      <c r="U3858" s="8">
        <f t="shared" si="406"/>
        <v>2</v>
      </c>
      <c r="AD3858" t="str">
        <f t="shared" si="405"/>
        <v>o</v>
      </c>
      <c r="AE3858" t="str">
        <f t="shared" si="409"/>
        <v/>
      </c>
      <c r="AF3858" t="str">
        <f t="shared" si="407"/>
        <v/>
      </c>
      <c r="AG3858" t="str">
        <f t="shared" si="408"/>
        <v/>
      </c>
      <c r="AN3858" t="str">
        <f t="shared" si="404"/>
        <v>Defensive</v>
      </c>
    </row>
    <row r="3859" spans="2:40" x14ac:dyDescent="0.2">
      <c r="B3859" t="str">
        <f t="shared" si="403"/>
        <v/>
      </c>
      <c r="U3859" s="8">
        <f t="shared" si="406"/>
        <v>2</v>
      </c>
      <c r="AD3859" t="str">
        <f t="shared" si="405"/>
        <v>o</v>
      </c>
      <c r="AE3859" t="str">
        <f t="shared" si="409"/>
        <v/>
      </c>
      <c r="AF3859" t="str">
        <f t="shared" si="407"/>
        <v/>
      </c>
      <c r="AG3859" t="str">
        <f t="shared" si="408"/>
        <v/>
      </c>
      <c r="AN3859" t="str">
        <f t="shared" si="404"/>
        <v>Defensive</v>
      </c>
    </row>
    <row r="3860" spans="2:40" x14ac:dyDescent="0.2">
      <c r="B3860" t="str">
        <f t="shared" si="403"/>
        <v/>
      </c>
      <c r="U3860" s="8">
        <f t="shared" si="406"/>
        <v>2</v>
      </c>
      <c r="AD3860" t="str">
        <f t="shared" si="405"/>
        <v>o</v>
      </c>
      <c r="AE3860" t="str">
        <f t="shared" si="409"/>
        <v/>
      </c>
      <c r="AF3860" t="str">
        <f t="shared" si="407"/>
        <v/>
      </c>
      <c r="AG3860" t="str">
        <f t="shared" si="408"/>
        <v/>
      </c>
      <c r="AN3860" t="str">
        <f t="shared" si="404"/>
        <v>Defensive</v>
      </c>
    </row>
    <row r="3861" spans="2:40" x14ac:dyDescent="0.2">
      <c r="B3861" t="str">
        <f t="shared" si="403"/>
        <v/>
      </c>
      <c r="U3861" s="8">
        <f t="shared" si="406"/>
        <v>2</v>
      </c>
      <c r="AD3861" t="str">
        <f t="shared" si="405"/>
        <v>o</v>
      </c>
      <c r="AE3861" t="str">
        <f t="shared" si="409"/>
        <v/>
      </c>
      <c r="AF3861" t="str">
        <f t="shared" si="407"/>
        <v/>
      </c>
      <c r="AG3861" t="str">
        <f t="shared" si="408"/>
        <v/>
      </c>
      <c r="AN3861" t="str">
        <f t="shared" si="404"/>
        <v>Defensive</v>
      </c>
    </row>
    <row r="3862" spans="2:40" x14ac:dyDescent="0.2">
      <c r="B3862" t="str">
        <f t="shared" si="403"/>
        <v/>
      </c>
      <c r="U3862" s="8">
        <f t="shared" si="406"/>
        <v>2</v>
      </c>
      <c r="AD3862" t="str">
        <f t="shared" si="405"/>
        <v>o</v>
      </c>
      <c r="AE3862" t="str">
        <f t="shared" si="409"/>
        <v/>
      </c>
      <c r="AF3862" t="str">
        <f t="shared" si="407"/>
        <v/>
      </c>
      <c r="AG3862" t="str">
        <f t="shared" si="408"/>
        <v/>
      </c>
      <c r="AN3862" t="str">
        <f t="shared" si="404"/>
        <v>Defensive</v>
      </c>
    </row>
    <row r="3863" spans="2:40" x14ac:dyDescent="0.2">
      <c r="B3863" t="str">
        <f t="shared" si="403"/>
        <v/>
      </c>
      <c r="U3863" s="8">
        <f t="shared" si="406"/>
        <v>2</v>
      </c>
      <c r="AD3863" t="str">
        <f t="shared" si="405"/>
        <v>o</v>
      </c>
      <c r="AE3863" t="str">
        <f t="shared" si="409"/>
        <v/>
      </c>
      <c r="AF3863" t="str">
        <f t="shared" si="407"/>
        <v/>
      </c>
      <c r="AG3863" t="str">
        <f t="shared" si="408"/>
        <v/>
      </c>
      <c r="AN3863" t="str">
        <f t="shared" si="404"/>
        <v>Defensive</v>
      </c>
    </row>
    <row r="3864" spans="2:40" x14ac:dyDescent="0.2">
      <c r="B3864" t="str">
        <f t="shared" si="403"/>
        <v/>
      </c>
      <c r="U3864" s="8">
        <f t="shared" si="406"/>
        <v>2</v>
      </c>
      <c r="AD3864" t="str">
        <f t="shared" si="405"/>
        <v>o</v>
      </c>
      <c r="AE3864" t="str">
        <f t="shared" si="409"/>
        <v/>
      </c>
      <c r="AF3864" t="str">
        <f t="shared" si="407"/>
        <v/>
      </c>
      <c r="AG3864" t="str">
        <f t="shared" si="408"/>
        <v/>
      </c>
      <c r="AN3864" t="str">
        <f t="shared" si="404"/>
        <v>Defensive</v>
      </c>
    </row>
    <row r="3865" spans="2:40" x14ac:dyDescent="0.2">
      <c r="B3865" t="str">
        <f t="shared" si="403"/>
        <v/>
      </c>
      <c r="U3865" s="8">
        <f t="shared" si="406"/>
        <v>2</v>
      </c>
      <c r="AD3865" t="str">
        <f t="shared" si="405"/>
        <v>o</v>
      </c>
      <c r="AE3865" t="str">
        <f t="shared" si="409"/>
        <v/>
      </c>
      <c r="AF3865" t="str">
        <f t="shared" si="407"/>
        <v/>
      </c>
      <c r="AG3865" t="str">
        <f t="shared" si="408"/>
        <v/>
      </c>
      <c r="AN3865" t="str">
        <f t="shared" si="404"/>
        <v>Defensive</v>
      </c>
    </row>
    <row r="3866" spans="2:40" x14ac:dyDescent="0.2">
      <c r="B3866" t="str">
        <f t="shared" si="403"/>
        <v/>
      </c>
      <c r="U3866" s="8">
        <f t="shared" si="406"/>
        <v>2</v>
      </c>
      <c r="AD3866" t="str">
        <f t="shared" si="405"/>
        <v>o</v>
      </c>
      <c r="AE3866" t="str">
        <f t="shared" si="409"/>
        <v/>
      </c>
      <c r="AF3866" t="str">
        <f t="shared" si="407"/>
        <v/>
      </c>
      <c r="AG3866" t="str">
        <f t="shared" si="408"/>
        <v/>
      </c>
      <c r="AN3866" t="str">
        <f t="shared" si="404"/>
        <v>Defensive</v>
      </c>
    </row>
    <row r="3867" spans="2:40" x14ac:dyDescent="0.2">
      <c r="B3867" t="str">
        <f t="shared" si="403"/>
        <v/>
      </c>
      <c r="U3867" s="8">
        <f t="shared" si="406"/>
        <v>2</v>
      </c>
      <c r="AD3867" t="str">
        <f t="shared" si="405"/>
        <v>o</v>
      </c>
      <c r="AE3867" t="str">
        <f t="shared" si="409"/>
        <v/>
      </c>
      <c r="AF3867" t="str">
        <f t="shared" si="407"/>
        <v/>
      </c>
      <c r="AG3867" t="str">
        <f t="shared" si="408"/>
        <v/>
      </c>
      <c r="AN3867" t="str">
        <f t="shared" si="404"/>
        <v>Defensive</v>
      </c>
    </row>
    <row r="3868" spans="2:40" x14ac:dyDescent="0.2">
      <c r="B3868" t="str">
        <f t="shared" si="403"/>
        <v/>
      </c>
      <c r="U3868" s="8">
        <f t="shared" si="406"/>
        <v>2</v>
      </c>
      <c r="AD3868" t="str">
        <f t="shared" si="405"/>
        <v>o</v>
      </c>
      <c r="AE3868" t="str">
        <f t="shared" si="409"/>
        <v/>
      </c>
      <c r="AF3868" t="str">
        <f t="shared" si="407"/>
        <v/>
      </c>
      <c r="AG3868" t="str">
        <f t="shared" si="408"/>
        <v/>
      </c>
      <c r="AN3868" t="str">
        <f t="shared" si="404"/>
        <v>Defensive</v>
      </c>
    </row>
    <row r="3869" spans="2:40" x14ac:dyDescent="0.2">
      <c r="B3869" t="str">
        <f t="shared" si="403"/>
        <v/>
      </c>
      <c r="U3869" s="8">
        <f t="shared" si="406"/>
        <v>2</v>
      </c>
      <c r="AD3869" t="str">
        <f t="shared" si="405"/>
        <v>o</v>
      </c>
      <c r="AE3869" t="str">
        <f t="shared" si="409"/>
        <v/>
      </c>
      <c r="AF3869" t="str">
        <f t="shared" si="407"/>
        <v/>
      </c>
      <c r="AG3869" t="str">
        <f t="shared" si="408"/>
        <v/>
      </c>
      <c r="AN3869" t="str">
        <f t="shared" si="404"/>
        <v>Defensive</v>
      </c>
    </row>
    <row r="3870" spans="2:40" x14ac:dyDescent="0.2">
      <c r="B3870" t="str">
        <f t="shared" si="403"/>
        <v/>
      </c>
      <c r="U3870" s="8">
        <f t="shared" si="406"/>
        <v>2</v>
      </c>
      <c r="AD3870" t="str">
        <f t="shared" si="405"/>
        <v>o</v>
      </c>
      <c r="AE3870" t="str">
        <f t="shared" si="409"/>
        <v/>
      </c>
      <c r="AF3870" t="str">
        <f t="shared" si="407"/>
        <v/>
      </c>
      <c r="AG3870" t="str">
        <f t="shared" si="408"/>
        <v/>
      </c>
      <c r="AN3870" t="str">
        <f t="shared" si="404"/>
        <v>Defensive</v>
      </c>
    </row>
    <row r="3871" spans="2:40" x14ac:dyDescent="0.2">
      <c r="B3871" t="str">
        <f t="shared" si="403"/>
        <v/>
      </c>
      <c r="U3871" s="8">
        <f t="shared" si="406"/>
        <v>2</v>
      </c>
      <c r="AD3871" t="str">
        <f t="shared" si="405"/>
        <v>o</v>
      </c>
      <c r="AE3871" t="str">
        <f t="shared" si="409"/>
        <v/>
      </c>
      <c r="AF3871" t="str">
        <f t="shared" si="407"/>
        <v/>
      </c>
      <c r="AG3871" t="str">
        <f t="shared" si="408"/>
        <v/>
      </c>
      <c r="AN3871" t="str">
        <f t="shared" si="404"/>
        <v>Defensive</v>
      </c>
    </row>
    <row r="3872" spans="2:40" x14ac:dyDescent="0.2">
      <c r="B3872" t="str">
        <f t="shared" si="403"/>
        <v/>
      </c>
      <c r="U3872" s="8">
        <f t="shared" si="406"/>
        <v>2</v>
      </c>
      <c r="AD3872" t="str">
        <f t="shared" si="405"/>
        <v>o</v>
      </c>
      <c r="AE3872" t="str">
        <f t="shared" si="409"/>
        <v/>
      </c>
      <c r="AF3872" t="str">
        <f t="shared" si="407"/>
        <v/>
      </c>
      <c r="AG3872" t="str">
        <f t="shared" si="408"/>
        <v/>
      </c>
      <c r="AN3872" t="str">
        <f t="shared" si="404"/>
        <v>Defensive</v>
      </c>
    </row>
    <row r="3873" spans="2:40" x14ac:dyDescent="0.2">
      <c r="B3873" t="str">
        <f t="shared" si="403"/>
        <v/>
      </c>
      <c r="U3873" s="8">
        <f t="shared" si="406"/>
        <v>2</v>
      </c>
      <c r="AD3873" t="str">
        <f t="shared" si="405"/>
        <v>o</v>
      </c>
      <c r="AE3873" t="str">
        <f t="shared" si="409"/>
        <v/>
      </c>
      <c r="AF3873" t="str">
        <f t="shared" si="407"/>
        <v/>
      </c>
      <c r="AG3873" t="str">
        <f t="shared" si="408"/>
        <v/>
      </c>
      <c r="AN3873" t="str">
        <f t="shared" si="404"/>
        <v>Defensive</v>
      </c>
    </row>
    <row r="3874" spans="2:40" x14ac:dyDescent="0.2">
      <c r="B3874" t="str">
        <f t="shared" si="403"/>
        <v/>
      </c>
      <c r="U3874" s="8">
        <f t="shared" si="406"/>
        <v>2</v>
      </c>
      <c r="AD3874" t="str">
        <f t="shared" si="405"/>
        <v>o</v>
      </c>
      <c r="AE3874" t="str">
        <f t="shared" si="409"/>
        <v/>
      </c>
      <c r="AF3874" t="str">
        <f t="shared" si="407"/>
        <v/>
      </c>
      <c r="AG3874" t="str">
        <f t="shared" si="408"/>
        <v/>
      </c>
      <c r="AN3874" t="str">
        <f t="shared" si="404"/>
        <v>Defensive</v>
      </c>
    </row>
    <row r="3875" spans="2:40" x14ac:dyDescent="0.2">
      <c r="B3875" t="str">
        <f t="shared" si="403"/>
        <v/>
      </c>
      <c r="U3875" s="8">
        <f t="shared" si="406"/>
        <v>2</v>
      </c>
      <c r="AD3875" t="str">
        <f t="shared" si="405"/>
        <v>o</v>
      </c>
      <c r="AE3875" t="str">
        <f t="shared" si="409"/>
        <v/>
      </c>
      <c r="AF3875" t="str">
        <f t="shared" si="407"/>
        <v/>
      </c>
      <c r="AG3875" t="str">
        <f t="shared" si="408"/>
        <v/>
      </c>
      <c r="AN3875" t="str">
        <f t="shared" si="404"/>
        <v>Defensive</v>
      </c>
    </row>
    <row r="3876" spans="2:40" x14ac:dyDescent="0.2">
      <c r="B3876" t="str">
        <f t="shared" si="403"/>
        <v/>
      </c>
      <c r="U3876" s="8">
        <f t="shared" si="406"/>
        <v>2</v>
      </c>
      <c r="AD3876" t="str">
        <f t="shared" si="405"/>
        <v>o</v>
      </c>
      <c r="AE3876" t="str">
        <f t="shared" si="409"/>
        <v/>
      </c>
      <c r="AF3876" t="str">
        <f t="shared" si="407"/>
        <v/>
      </c>
      <c r="AG3876" t="str">
        <f t="shared" si="408"/>
        <v/>
      </c>
      <c r="AN3876" t="str">
        <f t="shared" si="404"/>
        <v>Defensive</v>
      </c>
    </row>
    <row r="3877" spans="2:40" x14ac:dyDescent="0.2">
      <c r="B3877" t="str">
        <f t="shared" si="403"/>
        <v/>
      </c>
      <c r="U3877" s="8">
        <f t="shared" si="406"/>
        <v>2</v>
      </c>
      <c r="AD3877" t="str">
        <f t="shared" si="405"/>
        <v>o</v>
      </c>
      <c r="AE3877" t="str">
        <f t="shared" si="409"/>
        <v/>
      </c>
      <c r="AF3877" t="str">
        <f t="shared" si="407"/>
        <v/>
      </c>
      <c r="AG3877" t="str">
        <f t="shared" si="408"/>
        <v/>
      </c>
      <c r="AN3877" t="str">
        <f t="shared" si="404"/>
        <v>Defensive</v>
      </c>
    </row>
    <row r="3878" spans="2:40" x14ac:dyDescent="0.2">
      <c r="B3878" t="str">
        <f t="shared" si="403"/>
        <v/>
      </c>
      <c r="U3878" s="8">
        <f t="shared" si="406"/>
        <v>2</v>
      </c>
      <c r="AD3878" t="str">
        <f t="shared" si="405"/>
        <v>o</v>
      </c>
      <c r="AE3878" t="str">
        <f t="shared" si="409"/>
        <v/>
      </c>
      <c r="AF3878" t="str">
        <f t="shared" si="407"/>
        <v/>
      </c>
      <c r="AG3878" t="str">
        <f t="shared" si="408"/>
        <v/>
      </c>
      <c r="AN3878" t="str">
        <f t="shared" si="404"/>
        <v>Defensive</v>
      </c>
    </row>
    <row r="3879" spans="2:40" x14ac:dyDescent="0.2">
      <c r="B3879" t="str">
        <f t="shared" si="403"/>
        <v/>
      </c>
      <c r="U3879" s="8">
        <f t="shared" si="406"/>
        <v>2</v>
      </c>
      <c r="AD3879" t="str">
        <f t="shared" si="405"/>
        <v>o</v>
      </c>
      <c r="AE3879" t="str">
        <f t="shared" si="409"/>
        <v/>
      </c>
      <c r="AF3879" t="str">
        <f t="shared" si="407"/>
        <v/>
      </c>
      <c r="AG3879" t="str">
        <f t="shared" si="408"/>
        <v/>
      </c>
      <c r="AN3879" t="str">
        <f t="shared" si="404"/>
        <v>Defensive</v>
      </c>
    </row>
    <row r="3880" spans="2:40" x14ac:dyDescent="0.2">
      <c r="B3880" t="str">
        <f t="shared" si="403"/>
        <v/>
      </c>
      <c r="U3880" s="8">
        <f t="shared" si="406"/>
        <v>2</v>
      </c>
      <c r="AD3880" t="str">
        <f t="shared" si="405"/>
        <v>o</v>
      </c>
      <c r="AE3880" t="str">
        <f t="shared" si="409"/>
        <v/>
      </c>
      <c r="AF3880" t="str">
        <f t="shared" si="407"/>
        <v/>
      </c>
      <c r="AG3880" t="str">
        <f t="shared" si="408"/>
        <v/>
      </c>
      <c r="AN3880" t="str">
        <f t="shared" si="404"/>
        <v>Defensive</v>
      </c>
    </row>
    <row r="3881" spans="2:40" x14ac:dyDescent="0.2">
      <c r="B3881" t="str">
        <f t="shared" si="403"/>
        <v/>
      </c>
      <c r="U3881" s="8">
        <f t="shared" si="406"/>
        <v>2</v>
      </c>
      <c r="AD3881" t="str">
        <f t="shared" si="405"/>
        <v>o</v>
      </c>
      <c r="AE3881" t="str">
        <f t="shared" si="409"/>
        <v/>
      </c>
      <c r="AF3881" t="str">
        <f t="shared" si="407"/>
        <v/>
      </c>
      <c r="AG3881" t="str">
        <f t="shared" si="408"/>
        <v/>
      </c>
      <c r="AN3881" t="str">
        <f t="shared" si="404"/>
        <v>Defensive</v>
      </c>
    </row>
    <row r="3882" spans="2:40" x14ac:dyDescent="0.2">
      <c r="B3882" t="str">
        <f t="shared" si="403"/>
        <v/>
      </c>
      <c r="U3882" s="8">
        <f t="shared" si="406"/>
        <v>2</v>
      </c>
      <c r="AD3882" t="str">
        <f t="shared" si="405"/>
        <v>o</v>
      </c>
      <c r="AE3882" t="str">
        <f t="shared" si="409"/>
        <v/>
      </c>
      <c r="AF3882" t="str">
        <f t="shared" si="407"/>
        <v/>
      </c>
      <c r="AG3882" t="str">
        <f t="shared" si="408"/>
        <v/>
      </c>
      <c r="AN3882" t="str">
        <f t="shared" si="404"/>
        <v>Defensive</v>
      </c>
    </row>
    <row r="3883" spans="2:40" x14ac:dyDescent="0.2">
      <c r="B3883" t="str">
        <f t="shared" si="403"/>
        <v/>
      </c>
      <c r="U3883" s="8">
        <f t="shared" si="406"/>
        <v>2</v>
      </c>
      <c r="AD3883" t="str">
        <f t="shared" si="405"/>
        <v>o</v>
      </c>
      <c r="AE3883" t="str">
        <f t="shared" si="409"/>
        <v/>
      </c>
      <c r="AF3883" t="str">
        <f t="shared" si="407"/>
        <v/>
      </c>
      <c r="AG3883" t="str">
        <f t="shared" si="408"/>
        <v/>
      </c>
      <c r="AN3883" t="str">
        <f t="shared" si="404"/>
        <v>Defensive</v>
      </c>
    </row>
    <row r="3884" spans="2:40" x14ac:dyDescent="0.2">
      <c r="B3884" t="str">
        <f t="shared" si="403"/>
        <v/>
      </c>
      <c r="U3884" s="8">
        <f t="shared" si="406"/>
        <v>2</v>
      </c>
      <c r="AD3884" t="str">
        <f t="shared" si="405"/>
        <v>o</v>
      </c>
      <c r="AE3884" t="str">
        <f t="shared" si="409"/>
        <v/>
      </c>
      <c r="AF3884" t="str">
        <f t="shared" si="407"/>
        <v/>
      </c>
      <c r="AG3884" t="str">
        <f t="shared" si="408"/>
        <v/>
      </c>
      <c r="AN3884" t="str">
        <f t="shared" si="404"/>
        <v>Defensive</v>
      </c>
    </row>
    <row r="3885" spans="2:40" x14ac:dyDescent="0.2">
      <c r="B3885" t="str">
        <f t="shared" si="403"/>
        <v/>
      </c>
      <c r="U3885" s="8">
        <f t="shared" si="406"/>
        <v>2</v>
      </c>
      <c r="AD3885" t="str">
        <f t="shared" si="405"/>
        <v>o</v>
      </c>
      <c r="AE3885" t="str">
        <f t="shared" si="409"/>
        <v/>
      </c>
      <c r="AF3885" t="str">
        <f t="shared" si="407"/>
        <v/>
      </c>
      <c r="AG3885" t="str">
        <f t="shared" si="408"/>
        <v/>
      </c>
      <c r="AN3885" t="str">
        <f t="shared" si="404"/>
        <v>Defensive</v>
      </c>
    </row>
    <row r="3886" spans="2:40" x14ac:dyDescent="0.2">
      <c r="B3886" t="str">
        <f t="shared" si="403"/>
        <v/>
      </c>
      <c r="U3886" s="8">
        <f t="shared" si="406"/>
        <v>2</v>
      </c>
      <c r="AD3886" t="str">
        <f t="shared" si="405"/>
        <v>o</v>
      </c>
      <c r="AE3886" t="str">
        <f t="shared" si="409"/>
        <v/>
      </c>
      <c r="AF3886" t="str">
        <f t="shared" si="407"/>
        <v/>
      </c>
      <c r="AG3886" t="str">
        <f t="shared" si="408"/>
        <v/>
      </c>
      <c r="AN3886" t="str">
        <f t="shared" si="404"/>
        <v>Defensive</v>
      </c>
    </row>
    <row r="3887" spans="2:40" x14ac:dyDescent="0.2">
      <c r="B3887" t="str">
        <f t="shared" si="403"/>
        <v/>
      </c>
      <c r="U3887" s="8">
        <f t="shared" si="406"/>
        <v>2</v>
      </c>
      <c r="AD3887" t="str">
        <f t="shared" si="405"/>
        <v>o</v>
      </c>
      <c r="AE3887" t="str">
        <f t="shared" si="409"/>
        <v/>
      </c>
      <c r="AF3887" t="str">
        <f t="shared" si="407"/>
        <v/>
      </c>
      <c r="AG3887" t="str">
        <f t="shared" si="408"/>
        <v/>
      </c>
      <c r="AN3887" t="str">
        <f t="shared" si="404"/>
        <v>Defensive</v>
      </c>
    </row>
    <row r="3888" spans="2:40" x14ac:dyDescent="0.2">
      <c r="B3888" t="str">
        <f t="shared" ref="B3888:B3951" si="410">IF(A3888=A3887,B3887,"")</f>
        <v/>
      </c>
      <c r="U3888" s="8">
        <f t="shared" si="406"/>
        <v>2</v>
      </c>
      <c r="AD3888" t="str">
        <f t="shared" si="405"/>
        <v>o</v>
      </c>
      <c r="AE3888" t="str">
        <f t="shared" si="409"/>
        <v/>
      </c>
      <c r="AF3888" t="str">
        <f t="shared" si="407"/>
        <v/>
      </c>
      <c r="AG3888" t="str">
        <f t="shared" si="408"/>
        <v/>
      </c>
      <c r="AN3888" t="str">
        <f t="shared" si="404"/>
        <v>Defensive</v>
      </c>
    </row>
    <row r="3889" spans="2:40" x14ac:dyDescent="0.2">
      <c r="B3889" t="str">
        <f t="shared" si="410"/>
        <v/>
      </c>
      <c r="U3889" s="8">
        <f t="shared" si="406"/>
        <v>2</v>
      </c>
      <c r="AD3889" t="str">
        <f t="shared" si="405"/>
        <v>o</v>
      </c>
      <c r="AE3889" t="str">
        <f t="shared" si="409"/>
        <v/>
      </c>
      <c r="AF3889" t="str">
        <f t="shared" si="407"/>
        <v/>
      </c>
      <c r="AG3889" t="str">
        <f t="shared" si="408"/>
        <v/>
      </c>
      <c r="AN3889" t="str">
        <f t="shared" si="404"/>
        <v>Defensive</v>
      </c>
    </row>
    <row r="3890" spans="2:40" x14ac:dyDescent="0.2">
      <c r="B3890" t="str">
        <f t="shared" si="410"/>
        <v/>
      </c>
      <c r="U3890" s="8">
        <f t="shared" si="406"/>
        <v>2</v>
      </c>
      <c r="AD3890" t="str">
        <f t="shared" si="405"/>
        <v>o</v>
      </c>
      <c r="AE3890" t="str">
        <f t="shared" si="409"/>
        <v/>
      </c>
      <c r="AF3890" t="str">
        <f t="shared" si="407"/>
        <v/>
      </c>
      <c r="AG3890" t="str">
        <f t="shared" si="408"/>
        <v/>
      </c>
      <c r="AN3890" t="str">
        <f t="shared" si="404"/>
        <v>Defensive</v>
      </c>
    </row>
    <row r="3891" spans="2:40" x14ac:dyDescent="0.2">
      <c r="B3891" t="str">
        <f t="shared" si="410"/>
        <v/>
      </c>
      <c r="U3891" s="8">
        <f t="shared" si="406"/>
        <v>2</v>
      </c>
      <c r="AD3891" t="str">
        <f t="shared" si="405"/>
        <v>o</v>
      </c>
      <c r="AE3891" t="str">
        <f t="shared" si="409"/>
        <v/>
      </c>
      <c r="AF3891" t="str">
        <f t="shared" si="407"/>
        <v/>
      </c>
      <c r="AG3891" t="str">
        <f t="shared" si="408"/>
        <v/>
      </c>
      <c r="AN3891" t="str">
        <f t="shared" si="404"/>
        <v>Defensive</v>
      </c>
    </row>
    <row r="3892" spans="2:40" x14ac:dyDescent="0.2">
      <c r="B3892" t="str">
        <f t="shared" si="410"/>
        <v/>
      </c>
      <c r="U3892" s="8">
        <f t="shared" si="406"/>
        <v>2</v>
      </c>
      <c r="AD3892" t="str">
        <f t="shared" si="405"/>
        <v>o</v>
      </c>
      <c r="AE3892" t="str">
        <f t="shared" si="409"/>
        <v/>
      </c>
      <c r="AF3892" t="str">
        <f t="shared" si="407"/>
        <v/>
      </c>
      <c r="AG3892" t="str">
        <f t="shared" si="408"/>
        <v/>
      </c>
      <c r="AN3892" t="str">
        <f t="shared" si="404"/>
        <v>Defensive</v>
      </c>
    </row>
    <row r="3893" spans="2:40" x14ac:dyDescent="0.2">
      <c r="B3893" t="str">
        <f t="shared" si="410"/>
        <v/>
      </c>
      <c r="U3893" s="8">
        <f t="shared" si="406"/>
        <v>2</v>
      </c>
      <c r="AD3893" t="str">
        <f t="shared" si="405"/>
        <v>o</v>
      </c>
      <c r="AE3893" t="str">
        <f t="shared" si="409"/>
        <v/>
      </c>
      <c r="AF3893" t="str">
        <f t="shared" si="407"/>
        <v/>
      </c>
      <c r="AG3893" t="str">
        <f t="shared" si="408"/>
        <v/>
      </c>
      <c r="AN3893" t="str">
        <f t="shared" si="404"/>
        <v>Defensive</v>
      </c>
    </row>
    <row r="3894" spans="2:40" x14ac:dyDescent="0.2">
      <c r="B3894" t="str">
        <f t="shared" si="410"/>
        <v/>
      </c>
      <c r="U3894" s="8">
        <f t="shared" si="406"/>
        <v>2</v>
      </c>
      <c r="AD3894" t="str">
        <f t="shared" si="405"/>
        <v>o</v>
      </c>
      <c r="AE3894" t="str">
        <f t="shared" si="409"/>
        <v/>
      </c>
      <c r="AF3894" t="str">
        <f t="shared" si="407"/>
        <v/>
      </c>
      <c r="AG3894" t="str">
        <f t="shared" si="408"/>
        <v/>
      </c>
      <c r="AN3894" t="str">
        <f t="shared" si="404"/>
        <v>Defensive</v>
      </c>
    </row>
    <row r="3895" spans="2:40" x14ac:dyDescent="0.2">
      <c r="B3895" t="str">
        <f t="shared" si="410"/>
        <v/>
      </c>
      <c r="U3895" s="8">
        <f t="shared" si="406"/>
        <v>2</v>
      </c>
      <c r="AD3895" t="str">
        <f t="shared" si="405"/>
        <v>o</v>
      </c>
      <c r="AE3895" t="str">
        <f t="shared" si="409"/>
        <v/>
      </c>
      <c r="AF3895" t="str">
        <f t="shared" si="407"/>
        <v/>
      </c>
      <c r="AG3895" t="str">
        <f t="shared" si="408"/>
        <v/>
      </c>
      <c r="AN3895" t="str">
        <f t="shared" si="404"/>
        <v>Defensive</v>
      </c>
    </row>
    <row r="3896" spans="2:40" x14ac:dyDescent="0.2">
      <c r="B3896" t="str">
        <f t="shared" si="410"/>
        <v/>
      </c>
      <c r="U3896" s="8">
        <f t="shared" si="406"/>
        <v>2</v>
      </c>
      <c r="AD3896" t="str">
        <f t="shared" si="405"/>
        <v>o</v>
      </c>
      <c r="AE3896" t="str">
        <f t="shared" si="409"/>
        <v/>
      </c>
      <c r="AF3896" t="str">
        <f t="shared" si="407"/>
        <v/>
      </c>
      <c r="AG3896" t="str">
        <f t="shared" si="408"/>
        <v/>
      </c>
      <c r="AN3896" t="str">
        <f t="shared" si="404"/>
        <v>Defensive</v>
      </c>
    </row>
    <row r="3897" spans="2:40" x14ac:dyDescent="0.2">
      <c r="B3897" t="str">
        <f t="shared" si="410"/>
        <v/>
      </c>
      <c r="U3897" s="8">
        <f t="shared" si="406"/>
        <v>2</v>
      </c>
      <c r="AD3897" t="str">
        <f t="shared" si="405"/>
        <v>o</v>
      </c>
      <c r="AE3897" t="str">
        <f t="shared" si="409"/>
        <v/>
      </c>
      <c r="AF3897" t="str">
        <f t="shared" si="407"/>
        <v/>
      </c>
      <c r="AG3897" t="str">
        <f t="shared" si="408"/>
        <v/>
      </c>
      <c r="AN3897" t="str">
        <f t="shared" ref="AN3897:AN3960" si="411">IF(AND(AD3897="e",OR(AE3897="Save",AF3897="Turnover_Takeaway",AF3897="Play_Defensive")),"Defensive",IF(AND(AD3897="o",OR(AE3897="Save",AF3897="Turnover_Takeaway",AF3897="Play_Defensive")),"Offensive",IF(OR(AE3897="Deadice",AE3897="Stoppage",AE3897="Intermission"),"",IF(AD3897="e","Offensive",IF(AD3897="o","Defensive","")))))</f>
        <v>Defensive</v>
      </c>
    </row>
    <row r="3898" spans="2:40" x14ac:dyDescent="0.2">
      <c r="B3898" t="str">
        <f t="shared" si="410"/>
        <v/>
      </c>
      <c r="U3898" s="8">
        <f t="shared" si="406"/>
        <v>2</v>
      </c>
      <c r="AD3898" t="str">
        <f t="shared" si="405"/>
        <v>o</v>
      </c>
      <c r="AE3898" t="str">
        <f t="shared" si="409"/>
        <v/>
      </c>
      <c r="AF3898" t="str">
        <f t="shared" si="407"/>
        <v/>
      </c>
      <c r="AG3898" t="str">
        <f t="shared" si="408"/>
        <v/>
      </c>
      <c r="AN3898" t="str">
        <f t="shared" si="411"/>
        <v>Defensive</v>
      </c>
    </row>
    <row r="3899" spans="2:40" x14ac:dyDescent="0.2">
      <c r="B3899" t="str">
        <f t="shared" si="410"/>
        <v/>
      </c>
      <c r="U3899" s="8">
        <f t="shared" si="406"/>
        <v>2</v>
      </c>
      <c r="AD3899" t="str">
        <f t="shared" si="405"/>
        <v>o</v>
      </c>
      <c r="AE3899" t="str">
        <f t="shared" si="409"/>
        <v/>
      </c>
      <c r="AF3899" t="str">
        <f t="shared" si="407"/>
        <v/>
      </c>
      <c r="AG3899" t="str">
        <f t="shared" si="408"/>
        <v/>
      </c>
      <c r="AN3899" t="str">
        <f t="shared" si="411"/>
        <v>Defensive</v>
      </c>
    </row>
    <row r="3900" spans="2:40" x14ac:dyDescent="0.2">
      <c r="B3900" t="str">
        <f t="shared" si="410"/>
        <v/>
      </c>
      <c r="U3900" s="8">
        <f t="shared" si="406"/>
        <v>2</v>
      </c>
      <c r="AD3900" t="str">
        <f t="shared" si="405"/>
        <v>o</v>
      </c>
      <c r="AE3900" t="str">
        <f t="shared" si="409"/>
        <v/>
      </c>
      <c r="AF3900" t="str">
        <f t="shared" si="407"/>
        <v/>
      </c>
      <c r="AG3900" t="str">
        <f t="shared" si="408"/>
        <v/>
      </c>
      <c r="AN3900" t="str">
        <f t="shared" si="411"/>
        <v>Defensive</v>
      </c>
    </row>
    <row r="3901" spans="2:40" x14ac:dyDescent="0.2">
      <c r="B3901" t="str">
        <f t="shared" si="410"/>
        <v/>
      </c>
      <c r="U3901" s="8">
        <f t="shared" si="406"/>
        <v>2</v>
      </c>
      <c r="AD3901" t="str">
        <f t="shared" si="405"/>
        <v>o</v>
      </c>
      <c r="AE3901" t="str">
        <f t="shared" si="409"/>
        <v/>
      </c>
      <c r="AF3901" t="str">
        <f t="shared" si="407"/>
        <v/>
      </c>
      <c r="AG3901" t="str">
        <f t="shared" si="408"/>
        <v/>
      </c>
      <c r="AN3901" t="str">
        <f t="shared" si="411"/>
        <v>Defensive</v>
      </c>
    </row>
    <row r="3902" spans="2:40" x14ac:dyDescent="0.2">
      <c r="B3902" t="str">
        <f t="shared" si="410"/>
        <v/>
      </c>
      <c r="U3902" s="8">
        <f t="shared" si="406"/>
        <v>2</v>
      </c>
      <c r="AD3902" t="str">
        <f t="shared" si="405"/>
        <v>o</v>
      </c>
      <c r="AE3902" t="str">
        <f t="shared" si="409"/>
        <v/>
      </c>
      <c r="AF3902" t="str">
        <f t="shared" si="407"/>
        <v/>
      </c>
      <c r="AG3902" t="str">
        <f t="shared" si="408"/>
        <v/>
      </c>
      <c r="AN3902" t="str">
        <f t="shared" si="411"/>
        <v>Defensive</v>
      </c>
    </row>
    <row r="3903" spans="2:40" x14ac:dyDescent="0.2">
      <c r="B3903" t="str">
        <f t="shared" si="410"/>
        <v/>
      </c>
      <c r="U3903" s="8">
        <f t="shared" si="406"/>
        <v>2</v>
      </c>
      <c r="AD3903" t="str">
        <f t="shared" si="405"/>
        <v>o</v>
      </c>
      <c r="AE3903" t="str">
        <f t="shared" si="409"/>
        <v/>
      </c>
      <c r="AF3903" t="str">
        <f t="shared" si="407"/>
        <v/>
      </c>
      <c r="AG3903" t="str">
        <f t="shared" si="408"/>
        <v/>
      </c>
      <c r="AN3903" t="str">
        <f t="shared" si="411"/>
        <v>Defensive</v>
      </c>
    </row>
    <row r="3904" spans="2:40" x14ac:dyDescent="0.2">
      <c r="B3904" t="str">
        <f t="shared" si="410"/>
        <v/>
      </c>
      <c r="U3904" s="8">
        <f t="shared" si="406"/>
        <v>2</v>
      </c>
      <c r="AD3904" t="str">
        <f t="shared" si="405"/>
        <v>o</v>
      </c>
      <c r="AE3904" t="str">
        <f t="shared" si="409"/>
        <v/>
      </c>
      <c r="AF3904" t="str">
        <f t="shared" si="407"/>
        <v/>
      </c>
      <c r="AG3904" t="str">
        <f t="shared" si="408"/>
        <v/>
      </c>
      <c r="AN3904" t="str">
        <f t="shared" si="411"/>
        <v>Defensive</v>
      </c>
    </row>
    <row r="3905" spans="2:40" x14ac:dyDescent="0.2">
      <c r="B3905" t="str">
        <f t="shared" si="410"/>
        <v/>
      </c>
      <c r="U3905" s="8">
        <f t="shared" si="406"/>
        <v>2</v>
      </c>
      <c r="AD3905" t="str">
        <f t="shared" si="405"/>
        <v>o</v>
      </c>
      <c r="AE3905" t="str">
        <f t="shared" si="409"/>
        <v/>
      </c>
      <c r="AF3905" t="str">
        <f t="shared" si="407"/>
        <v/>
      </c>
      <c r="AG3905" t="str">
        <f t="shared" si="408"/>
        <v/>
      </c>
      <c r="AN3905" t="str">
        <f t="shared" si="411"/>
        <v>Defensive</v>
      </c>
    </row>
    <row r="3906" spans="2:40" x14ac:dyDescent="0.2">
      <c r="B3906" t="str">
        <f t="shared" si="410"/>
        <v/>
      </c>
      <c r="U3906" s="8">
        <f t="shared" si="406"/>
        <v>2</v>
      </c>
      <c r="AD3906" t="str">
        <f t="shared" ref="AD3906:AD3969" si="412">IF(K3906="x","",IF(K3906=1,"e","o"))</f>
        <v>o</v>
      </c>
      <c r="AE3906" t="str">
        <f t="shared" si="409"/>
        <v/>
      </c>
      <c r="AF3906" t="str">
        <f t="shared" si="407"/>
        <v/>
      </c>
      <c r="AG3906" t="str">
        <f t="shared" si="408"/>
        <v/>
      </c>
      <c r="AN3906" t="str">
        <f t="shared" si="411"/>
        <v>Defensive</v>
      </c>
    </row>
    <row r="3907" spans="2:40" x14ac:dyDescent="0.2">
      <c r="B3907" t="str">
        <f t="shared" si="410"/>
        <v/>
      </c>
      <c r="U3907" s="8">
        <f t="shared" ref="U3907:U3970" si="413">IF(M3907="Intermission",U3906+1,U3906)</f>
        <v>2</v>
      </c>
      <c r="AD3907" t="str">
        <f t="shared" si="412"/>
        <v>o</v>
      </c>
      <c r="AE3907" t="str">
        <f t="shared" si="409"/>
        <v/>
      </c>
      <c r="AF3907" t="str">
        <f t="shared" ref="AF3907:AF3970" si="414">IF(N3907&lt;&gt;"",N3907,IF($A3907=$A3906,AF3906,""))</f>
        <v/>
      </c>
      <c r="AG3907" t="str">
        <f t="shared" ref="AG3907:AG3970" si="415">IF(O3907&lt;&gt;"",O3907,IF($A3907=$A3906,AG3906,""))</f>
        <v/>
      </c>
      <c r="AN3907" t="str">
        <f t="shared" si="411"/>
        <v>Defensive</v>
      </c>
    </row>
    <row r="3908" spans="2:40" x14ac:dyDescent="0.2">
      <c r="B3908" t="str">
        <f t="shared" si="410"/>
        <v/>
      </c>
      <c r="U3908" s="8">
        <f t="shared" si="413"/>
        <v>2</v>
      </c>
      <c r="AD3908" t="str">
        <f t="shared" si="412"/>
        <v>o</v>
      </c>
      <c r="AE3908" t="str">
        <f t="shared" ref="AE3908:AE3971" si="416">IF(M3908&lt;&gt;"",M3908,IF($A3908=$A3907,AE3907,""))</f>
        <v/>
      </c>
      <c r="AF3908" t="str">
        <f t="shared" si="414"/>
        <v/>
      </c>
      <c r="AG3908" t="str">
        <f t="shared" si="415"/>
        <v/>
      </c>
      <c r="AN3908" t="str">
        <f t="shared" si="411"/>
        <v>Defensive</v>
      </c>
    </row>
    <row r="3909" spans="2:40" x14ac:dyDescent="0.2">
      <c r="B3909" t="str">
        <f t="shared" si="410"/>
        <v/>
      </c>
      <c r="U3909" s="8">
        <f t="shared" si="413"/>
        <v>2</v>
      </c>
      <c r="AD3909" t="str">
        <f t="shared" si="412"/>
        <v>o</v>
      </c>
      <c r="AE3909" t="str">
        <f t="shared" si="416"/>
        <v/>
      </c>
      <c r="AF3909" t="str">
        <f t="shared" si="414"/>
        <v/>
      </c>
      <c r="AG3909" t="str">
        <f t="shared" si="415"/>
        <v/>
      </c>
      <c r="AN3909" t="str">
        <f t="shared" si="411"/>
        <v>Defensive</v>
      </c>
    </row>
    <row r="3910" spans="2:40" x14ac:dyDescent="0.2">
      <c r="B3910" t="str">
        <f t="shared" si="410"/>
        <v/>
      </c>
      <c r="U3910" s="8">
        <f t="shared" si="413"/>
        <v>2</v>
      </c>
      <c r="AD3910" t="str">
        <f t="shared" si="412"/>
        <v>o</v>
      </c>
      <c r="AE3910" t="str">
        <f t="shared" si="416"/>
        <v/>
      </c>
      <c r="AF3910" t="str">
        <f t="shared" si="414"/>
        <v/>
      </c>
      <c r="AG3910" t="str">
        <f t="shared" si="415"/>
        <v/>
      </c>
      <c r="AN3910" t="str">
        <f t="shared" si="411"/>
        <v>Defensive</v>
      </c>
    </row>
    <row r="3911" spans="2:40" x14ac:dyDescent="0.2">
      <c r="B3911" t="str">
        <f t="shared" si="410"/>
        <v/>
      </c>
      <c r="U3911" s="8">
        <f t="shared" si="413"/>
        <v>2</v>
      </c>
      <c r="AD3911" t="str">
        <f t="shared" si="412"/>
        <v>o</v>
      </c>
      <c r="AE3911" t="str">
        <f t="shared" si="416"/>
        <v/>
      </c>
      <c r="AF3911" t="str">
        <f t="shared" si="414"/>
        <v/>
      </c>
      <c r="AG3911" t="str">
        <f t="shared" si="415"/>
        <v/>
      </c>
      <c r="AN3911" t="str">
        <f t="shared" si="411"/>
        <v>Defensive</v>
      </c>
    </row>
    <row r="3912" spans="2:40" x14ac:dyDescent="0.2">
      <c r="B3912" t="str">
        <f t="shared" si="410"/>
        <v/>
      </c>
      <c r="U3912" s="8">
        <f t="shared" si="413"/>
        <v>2</v>
      </c>
      <c r="AD3912" t="str">
        <f t="shared" si="412"/>
        <v>o</v>
      </c>
      <c r="AE3912" t="str">
        <f t="shared" si="416"/>
        <v/>
      </c>
      <c r="AF3912" t="str">
        <f t="shared" si="414"/>
        <v/>
      </c>
      <c r="AG3912" t="str">
        <f t="shared" si="415"/>
        <v/>
      </c>
      <c r="AN3912" t="str">
        <f t="shared" si="411"/>
        <v>Defensive</v>
      </c>
    </row>
    <row r="3913" spans="2:40" x14ac:dyDescent="0.2">
      <c r="B3913" t="str">
        <f t="shared" si="410"/>
        <v/>
      </c>
      <c r="U3913" s="8">
        <f t="shared" si="413"/>
        <v>2</v>
      </c>
      <c r="AD3913" t="str">
        <f t="shared" si="412"/>
        <v>o</v>
      </c>
      <c r="AE3913" t="str">
        <f t="shared" si="416"/>
        <v/>
      </c>
      <c r="AF3913" t="str">
        <f t="shared" si="414"/>
        <v/>
      </c>
      <c r="AG3913" t="str">
        <f t="shared" si="415"/>
        <v/>
      </c>
      <c r="AN3913" t="str">
        <f t="shared" si="411"/>
        <v>Defensive</v>
      </c>
    </row>
    <row r="3914" spans="2:40" x14ac:dyDescent="0.2">
      <c r="B3914" t="str">
        <f t="shared" si="410"/>
        <v/>
      </c>
      <c r="U3914" s="8">
        <f t="shared" si="413"/>
        <v>2</v>
      </c>
      <c r="AD3914" t="str">
        <f t="shared" si="412"/>
        <v>o</v>
      </c>
      <c r="AE3914" t="str">
        <f t="shared" si="416"/>
        <v/>
      </c>
      <c r="AF3914" t="str">
        <f t="shared" si="414"/>
        <v/>
      </c>
      <c r="AG3914" t="str">
        <f t="shared" si="415"/>
        <v/>
      </c>
      <c r="AN3914" t="str">
        <f t="shared" si="411"/>
        <v>Defensive</v>
      </c>
    </row>
    <row r="3915" spans="2:40" x14ac:dyDescent="0.2">
      <c r="B3915" t="str">
        <f t="shared" si="410"/>
        <v/>
      </c>
      <c r="U3915" s="8">
        <f t="shared" si="413"/>
        <v>2</v>
      </c>
      <c r="AD3915" t="str">
        <f t="shared" si="412"/>
        <v>o</v>
      </c>
      <c r="AE3915" t="str">
        <f t="shared" si="416"/>
        <v/>
      </c>
      <c r="AF3915" t="str">
        <f t="shared" si="414"/>
        <v/>
      </c>
      <c r="AG3915" t="str">
        <f t="shared" si="415"/>
        <v/>
      </c>
      <c r="AN3915" t="str">
        <f t="shared" si="411"/>
        <v>Defensive</v>
      </c>
    </row>
    <row r="3916" spans="2:40" x14ac:dyDescent="0.2">
      <c r="B3916" t="str">
        <f t="shared" si="410"/>
        <v/>
      </c>
      <c r="U3916" s="8">
        <f t="shared" si="413"/>
        <v>2</v>
      </c>
      <c r="AD3916" t="str">
        <f t="shared" si="412"/>
        <v>o</v>
      </c>
      <c r="AE3916" t="str">
        <f t="shared" si="416"/>
        <v/>
      </c>
      <c r="AF3916" t="str">
        <f t="shared" si="414"/>
        <v/>
      </c>
      <c r="AG3916" t="str">
        <f t="shared" si="415"/>
        <v/>
      </c>
      <c r="AN3916" t="str">
        <f t="shared" si="411"/>
        <v>Defensive</v>
      </c>
    </row>
    <row r="3917" spans="2:40" x14ac:dyDescent="0.2">
      <c r="B3917" t="str">
        <f t="shared" si="410"/>
        <v/>
      </c>
      <c r="U3917" s="8">
        <f t="shared" si="413"/>
        <v>2</v>
      </c>
      <c r="AD3917" t="str">
        <f t="shared" si="412"/>
        <v>o</v>
      </c>
      <c r="AE3917" t="str">
        <f t="shared" si="416"/>
        <v/>
      </c>
      <c r="AF3917" t="str">
        <f t="shared" si="414"/>
        <v/>
      </c>
      <c r="AG3917" t="str">
        <f t="shared" si="415"/>
        <v/>
      </c>
      <c r="AN3917" t="str">
        <f t="shared" si="411"/>
        <v>Defensive</v>
      </c>
    </row>
    <row r="3918" spans="2:40" x14ac:dyDescent="0.2">
      <c r="B3918" t="str">
        <f t="shared" si="410"/>
        <v/>
      </c>
      <c r="U3918" s="8">
        <f t="shared" si="413"/>
        <v>2</v>
      </c>
      <c r="AD3918" t="str">
        <f t="shared" si="412"/>
        <v>o</v>
      </c>
      <c r="AE3918" t="str">
        <f t="shared" si="416"/>
        <v/>
      </c>
      <c r="AF3918" t="str">
        <f t="shared" si="414"/>
        <v/>
      </c>
      <c r="AG3918" t="str">
        <f t="shared" si="415"/>
        <v/>
      </c>
      <c r="AN3918" t="str">
        <f t="shared" si="411"/>
        <v>Defensive</v>
      </c>
    </row>
    <row r="3919" spans="2:40" x14ac:dyDescent="0.2">
      <c r="B3919" t="str">
        <f t="shared" si="410"/>
        <v/>
      </c>
      <c r="U3919" s="8">
        <f t="shared" si="413"/>
        <v>2</v>
      </c>
      <c r="AD3919" t="str">
        <f t="shared" si="412"/>
        <v>o</v>
      </c>
      <c r="AE3919" t="str">
        <f t="shared" si="416"/>
        <v/>
      </c>
      <c r="AF3919" t="str">
        <f t="shared" si="414"/>
        <v/>
      </c>
      <c r="AG3919" t="str">
        <f t="shared" si="415"/>
        <v/>
      </c>
      <c r="AN3919" t="str">
        <f t="shared" si="411"/>
        <v>Defensive</v>
      </c>
    </row>
    <row r="3920" spans="2:40" x14ac:dyDescent="0.2">
      <c r="B3920" t="str">
        <f t="shared" si="410"/>
        <v/>
      </c>
      <c r="U3920" s="8">
        <f t="shared" si="413"/>
        <v>2</v>
      </c>
      <c r="AD3920" t="str">
        <f t="shared" si="412"/>
        <v>o</v>
      </c>
      <c r="AE3920" t="str">
        <f t="shared" si="416"/>
        <v/>
      </c>
      <c r="AF3920" t="str">
        <f t="shared" si="414"/>
        <v/>
      </c>
      <c r="AG3920" t="str">
        <f t="shared" si="415"/>
        <v/>
      </c>
      <c r="AN3920" t="str">
        <f t="shared" si="411"/>
        <v>Defensive</v>
      </c>
    </row>
    <row r="3921" spans="2:40" x14ac:dyDescent="0.2">
      <c r="B3921" t="str">
        <f t="shared" si="410"/>
        <v/>
      </c>
      <c r="U3921" s="8">
        <f t="shared" si="413"/>
        <v>2</v>
      </c>
      <c r="AD3921" t="str">
        <f t="shared" si="412"/>
        <v>o</v>
      </c>
      <c r="AE3921" t="str">
        <f t="shared" si="416"/>
        <v/>
      </c>
      <c r="AF3921" t="str">
        <f t="shared" si="414"/>
        <v/>
      </c>
      <c r="AG3921" t="str">
        <f t="shared" si="415"/>
        <v/>
      </c>
      <c r="AN3921" t="str">
        <f t="shared" si="411"/>
        <v>Defensive</v>
      </c>
    </row>
    <row r="3922" spans="2:40" x14ac:dyDescent="0.2">
      <c r="B3922" t="str">
        <f t="shared" si="410"/>
        <v/>
      </c>
      <c r="U3922" s="8">
        <f t="shared" si="413"/>
        <v>2</v>
      </c>
      <c r="AD3922" t="str">
        <f t="shared" si="412"/>
        <v>o</v>
      </c>
      <c r="AE3922" t="str">
        <f t="shared" si="416"/>
        <v/>
      </c>
      <c r="AF3922" t="str">
        <f t="shared" si="414"/>
        <v/>
      </c>
      <c r="AG3922" t="str">
        <f t="shared" si="415"/>
        <v/>
      </c>
      <c r="AN3922" t="str">
        <f t="shared" si="411"/>
        <v>Defensive</v>
      </c>
    </row>
    <row r="3923" spans="2:40" x14ac:dyDescent="0.2">
      <c r="B3923" t="str">
        <f t="shared" si="410"/>
        <v/>
      </c>
      <c r="U3923" s="8">
        <f t="shared" si="413"/>
        <v>2</v>
      </c>
      <c r="AD3923" t="str">
        <f t="shared" si="412"/>
        <v>o</v>
      </c>
      <c r="AE3923" t="str">
        <f t="shared" si="416"/>
        <v/>
      </c>
      <c r="AF3923" t="str">
        <f t="shared" si="414"/>
        <v/>
      </c>
      <c r="AG3923" t="str">
        <f t="shared" si="415"/>
        <v/>
      </c>
      <c r="AN3923" t="str">
        <f t="shared" si="411"/>
        <v>Defensive</v>
      </c>
    </row>
    <row r="3924" spans="2:40" x14ac:dyDescent="0.2">
      <c r="B3924" t="str">
        <f t="shared" si="410"/>
        <v/>
      </c>
      <c r="U3924" s="8">
        <f t="shared" si="413"/>
        <v>2</v>
      </c>
      <c r="AD3924" t="str">
        <f t="shared" si="412"/>
        <v>o</v>
      </c>
      <c r="AE3924" t="str">
        <f t="shared" si="416"/>
        <v/>
      </c>
      <c r="AF3924" t="str">
        <f t="shared" si="414"/>
        <v/>
      </c>
      <c r="AG3924" t="str">
        <f t="shared" si="415"/>
        <v/>
      </c>
      <c r="AN3924" t="str">
        <f t="shared" si="411"/>
        <v>Defensive</v>
      </c>
    </row>
    <row r="3925" spans="2:40" x14ac:dyDescent="0.2">
      <c r="B3925" t="str">
        <f t="shared" si="410"/>
        <v/>
      </c>
      <c r="U3925" s="8">
        <f t="shared" si="413"/>
        <v>2</v>
      </c>
      <c r="AD3925" t="str">
        <f t="shared" si="412"/>
        <v>o</v>
      </c>
      <c r="AE3925" t="str">
        <f t="shared" si="416"/>
        <v/>
      </c>
      <c r="AF3925" t="str">
        <f t="shared" si="414"/>
        <v/>
      </c>
      <c r="AG3925" t="str">
        <f t="shared" si="415"/>
        <v/>
      </c>
      <c r="AN3925" t="str">
        <f t="shared" si="411"/>
        <v>Defensive</v>
      </c>
    </row>
    <row r="3926" spans="2:40" x14ac:dyDescent="0.2">
      <c r="B3926" t="str">
        <f t="shared" si="410"/>
        <v/>
      </c>
      <c r="U3926" s="8">
        <f t="shared" si="413"/>
        <v>2</v>
      </c>
      <c r="AD3926" t="str">
        <f t="shared" si="412"/>
        <v>o</v>
      </c>
      <c r="AE3926" t="str">
        <f t="shared" si="416"/>
        <v/>
      </c>
      <c r="AF3926" t="str">
        <f t="shared" si="414"/>
        <v/>
      </c>
      <c r="AG3926" t="str">
        <f t="shared" si="415"/>
        <v/>
      </c>
      <c r="AN3926" t="str">
        <f t="shared" si="411"/>
        <v>Defensive</v>
      </c>
    </row>
    <row r="3927" spans="2:40" x14ac:dyDescent="0.2">
      <c r="B3927" t="str">
        <f t="shared" si="410"/>
        <v/>
      </c>
      <c r="U3927" s="8">
        <f t="shared" si="413"/>
        <v>2</v>
      </c>
      <c r="AD3927" t="str">
        <f t="shared" si="412"/>
        <v>o</v>
      </c>
      <c r="AE3927" t="str">
        <f t="shared" si="416"/>
        <v/>
      </c>
      <c r="AF3927" t="str">
        <f t="shared" si="414"/>
        <v/>
      </c>
      <c r="AG3927" t="str">
        <f t="shared" si="415"/>
        <v/>
      </c>
      <c r="AN3927" t="str">
        <f t="shared" si="411"/>
        <v>Defensive</v>
      </c>
    </row>
    <row r="3928" spans="2:40" x14ac:dyDescent="0.2">
      <c r="B3928" t="str">
        <f t="shared" si="410"/>
        <v/>
      </c>
      <c r="U3928" s="8">
        <f t="shared" si="413"/>
        <v>2</v>
      </c>
      <c r="AD3928" t="str">
        <f t="shared" si="412"/>
        <v>o</v>
      </c>
      <c r="AE3928" t="str">
        <f t="shared" si="416"/>
        <v/>
      </c>
      <c r="AF3928" t="str">
        <f t="shared" si="414"/>
        <v/>
      </c>
      <c r="AG3928" t="str">
        <f t="shared" si="415"/>
        <v/>
      </c>
      <c r="AN3928" t="str">
        <f t="shared" si="411"/>
        <v>Defensive</v>
      </c>
    </row>
    <row r="3929" spans="2:40" x14ac:dyDescent="0.2">
      <c r="B3929" t="str">
        <f t="shared" si="410"/>
        <v/>
      </c>
      <c r="U3929" s="8">
        <f t="shared" si="413"/>
        <v>2</v>
      </c>
      <c r="AD3929" t="str">
        <f t="shared" si="412"/>
        <v>o</v>
      </c>
      <c r="AE3929" t="str">
        <f t="shared" si="416"/>
        <v/>
      </c>
      <c r="AF3929" t="str">
        <f t="shared" si="414"/>
        <v/>
      </c>
      <c r="AG3929" t="str">
        <f t="shared" si="415"/>
        <v/>
      </c>
      <c r="AN3929" t="str">
        <f t="shared" si="411"/>
        <v>Defensive</v>
      </c>
    </row>
    <row r="3930" spans="2:40" x14ac:dyDescent="0.2">
      <c r="B3930" t="str">
        <f t="shared" si="410"/>
        <v/>
      </c>
      <c r="U3930" s="8">
        <f t="shared" si="413"/>
        <v>2</v>
      </c>
      <c r="AD3930" t="str">
        <f t="shared" si="412"/>
        <v>o</v>
      </c>
      <c r="AE3930" t="str">
        <f t="shared" si="416"/>
        <v/>
      </c>
      <c r="AF3930" t="str">
        <f t="shared" si="414"/>
        <v/>
      </c>
      <c r="AG3930" t="str">
        <f t="shared" si="415"/>
        <v/>
      </c>
      <c r="AN3930" t="str">
        <f t="shared" si="411"/>
        <v>Defensive</v>
      </c>
    </row>
    <row r="3931" spans="2:40" x14ac:dyDescent="0.2">
      <c r="B3931" t="str">
        <f t="shared" si="410"/>
        <v/>
      </c>
      <c r="U3931" s="8">
        <f t="shared" si="413"/>
        <v>2</v>
      </c>
      <c r="AD3931" t="str">
        <f t="shared" si="412"/>
        <v>o</v>
      </c>
      <c r="AE3931" t="str">
        <f t="shared" si="416"/>
        <v/>
      </c>
      <c r="AF3931" t="str">
        <f t="shared" si="414"/>
        <v/>
      </c>
      <c r="AG3931" t="str">
        <f t="shared" si="415"/>
        <v/>
      </c>
      <c r="AN3931" t="str">
        <f t="shared" si="411"/>
        <v>Defensive</v>
      </c>
    </row>
    <row r="3932" spans="2:40" x14ac:dyDescent="0.2">
      <c r="B3932" t="str">
        <f t="shared" si="410"/>
        <v/>
      </c>
      <c r="U3932" s="8">
        <f t="shared" si="413"/>
        <v>2</v>
      </c>
      <c r="AD3932" t="str">
        <f t="shared" si="412"/>
        <v>o</v>
      </c>
      <c r="AE3932" t="str">
        <f t="shared" si="416"/>
        <v/>
      </c>
      <c r="AF3932" t="str">
        <f t="shared" si="414"/>
        <v/>
      </c>
      <c r="AG3932" t="str">
        <f t="shared" si="415"/>
        <v/>
      </c>
      <c r="AN3932" t="str">
        <f t="shared" si="411"/>
        <v>Defensive</v>
      </c>
    </row>
    <row r="3933" spans="2:40" x14ac:dyDescent="0.2">
      <c r="B3933" t="str">
        <f t="shared" si="410"/>
        <v/>
      </c>
      <c r="U3933" s="8">
        <f t="shared" si="413"/>
        <v>2</v>
      </c>
      <c r="AD3933" t="str">
        <f t="shared" si="412"/>
        <v>o</v>
      </c>
      <c r="AE3933" t="str">
        <f t="shared" si="416"/>
        <v/>
      </c>
      <c r="AF3933" t="str">
        <f t="shared" si="414"/>
        <v/>
      </c>
      <c r="AG3933" t="str">
        <f t="shared" si="415"/>
        <v/>
      </c>
      <c r="AN3933" t="str">
        <f t="shared" si="411"/>
        <v>Defensive</v>
      </c>
    </row>
    <row r="3934" spans="2:40" x14ac:dyDescent="0.2">
      <c r="B3934" t="str">
        <f t="shared" si="410"/>
        <v/>
      </c>
      <c r="U3934" s="8">
        <f t="shared" si="413"/>
        <v>2</v>
      </c>
      <c r="AD3934" t="str">
        <f t="shared" si="412"/>
        <v>o</v>
      </c>
      <c r="AE3934" t="str">
        <f t="shared" si="416"/>
        <v/>
      </c>
      <c r="AF3934" t="str">
        <f t="shared" si="414"/>
        <v/>
      </c>
      <c r="AG3934" t="str">
        <f t="shared" si="415"/>
        <v/>
      </c>
      <c r="AN3934" t="str">
        <f t="shared" si="411"/>
        <v>Defensive</v>
      </c>
    </row>
    <row r="3935" spans="2:40" x14ac:dyDescent="0.2">
      <c r="B3935" t="str">
        <f t="shared" si="410"/>
        <v/>
      </c>
      <c r="U3935" s="8">
        <f t="shared" si="413"/>
        <v>2</v>
      </c>
      <c r="AD3935" t="str">
        <f t="shared" si="412"/>
        <v>o</v>
      </c>
      <c r="AE3935" t="str">
        <f t="shared" si="416"/>
        <v/>
      </c>
      <c r="AF3935" t="str">
        <f t="shared" si="414"/>
        <v/>
      </c>
      <c r="AG3935" t="str">
        <f t="shared" si="415"/>
        <v/>
      </c>
      <c r="AN3935" t="str">
        <f t="shared" si="411"/>
        <v>Defensive</v>
      </c>
    </row>
    <row r="3936" spans="2:40" x14ac:dyDescent="0.2">
      <c r="B3936" t="str">
        <f t="shared" si="410"/>
        <v/>
      </c>
      <c r="U3936" s="8">
        <f t="shared" si="413"/>
        <v>2</v>
      </c>
      <c r="AD3936" t="str">
        <f t="shared" si="412"/>
        <v>o</v>
      </c>
      <c r="AE3936" t="str">
        <f t="shared" si="416"/>
        <v/>
      </c>
      <c r="AF3936" t="str">
        <f t="shared" si="414"/>
        <v/>
      </c>
      <c r="AG3936" t="str">
        <f t="shared" si="415"/>
        <v/>
      </c>
      <c r="AN3936" t="str">
        <f t="shared" si="411"/>
        <v>Defensive</v>
      </c>
    </row>
    <row r="3937" spans="2:40" x14ac:dyDescent="0.2">
      <c r="B3937" t="str">
        <f t="shared" si="410"/>
        <v/>
      </c>
      <c r="U3937" s="8">
        <f t="shared" si="413"/>
        <v>2</v>
      </c>
      <c r="AD3937" t="str">
        <f t="shared" si="412"/>
        <v>o</v>
      </c>
      <c r="AE3937" t="str">
        <f t="shared" si="416"/>
        <v/>
      </c>
      <c r="AF3937" t="str">
        <f t="shared" si="414"/>
        <v/>
      </c>
      <c r="AG3937" t="str">
        <f t="shared" si="415"/>
        <v/>
      </c>
      <c r="AN3937" t="str">
        <f t="shared" si="411"/>
        <v>Defensive</v>
      </c>
    </row>
    <row r="3938" spans="2:40" x14ac:dyDescent="0.2">
      <c r="B3938" t="str">
        <f t="shared" si="410"/>
        <v/>
      </c>
      <c r="U3938" s="8">
        <f t="shared" si="413"/>
        <v>2</v>
      </c>
      <c r="AD3938" t="str">
        <f t="shared" si="412"/>
        <v>o</v>
      </c>
      <c r="AE3938" t="str">
        <f t="shared" si="416"/>
        <v/>
      </c>
      <c r="AF3938" t="str">
        <f t="shared" si="414"/>
        <v/>
      </c>
      <c r="AG3938" t="str">
        <f t="shared" si="415"/>
        <v/>
      </c>
      <c r="AN3938" t="str">
        <f t="shared" si="411"/>
        <v>Defensive</v>
      </c>
    </row>
    <row r="3939" spans="2:40" x14ac:dyDescent="0.2">
      <c r="B3939" t="str">
        <f t="shared" si="410"/>
        <v/>
      </c>
      <c r="U3939" s="8">
        <f t="shared" si="413"/>
        <v>2</v>
      </c>
      <c r="AD3939" t="str">
        <f t="shared" si="412"/>
        <v>o</v>
      </c>
      <c r="AE3939" t="str">
        <f t="shared" si="416"/>
        <v/>
      </c>
      <c r="AF3939" t="str">
        <f t="shared" si="414"/>
        <v/>
      </c>
      <c r="AG3939" t="str">
        <f t="shared" si="415"/>
        <v/>
      </c>
      <c r="AN3939" t="str">
        <f t="shared" si="411"/>
        <v>Defensive</v>
      </c>
    </row>
    <row r="3940" spans="2:40" x14ac:dyDescent="0.2">
      <c r="B3940" t="str">
        <f t="shared" si="410"/>
        <v/>
      </c>
      <c r="U3940" s="8">
        <f t="shared" si="413"/>
        <v>2</v>
      </c>
      <c r="AD3940" t="str">
        <f t="shared" si="412"/>
        <v>o</v>
      </c>
      <c r="AE3940" t="str">
        <f t="shared" si="416"/>
        <v/>
      </c>
      <c r="AF3940" t="str">
        <f t="shared" si="414"/>
        <v/>
      </c>
      <c r="AG3940" t="str">
        <f t="shared" si="415"/>
        <v/>
      </c>
      <c r="AN3940" t="str">
        <f t="shared" si="411"/>
        <v>Defensive</v>
      </c>
    </row>
    <row r="3941" spans="2:40" x14ac:dyDescent="0.2">
      <c r="B3941" t="str">
        <f t="shared" si="410"/>
        <v/>
      </c>
      <c r="U3941" s="8">
        <f t="shared" si="413"/>
        <v>2</v>
      </c>
      <c r="AD3941" t="str">
        <f t="shared" si="412"/>
        <v>o</v>
      </c>
      <c r="AE3941" t="str">
        <f t="shared" si="416"/>
        <v/>
      </c>
      <c r="AF3941" t="str">
        <f t="shared" si="414"/>
        <v/>
      </c>
      <c r="AG3941" t="str">
        <f t="shared" si="415"/>
        <v/>
      </c>
      <c r="AN3941" t="str">
        <f t="shared" si="411"/>
        <v>Defensive</v>
      </c>
    </row>
    <row r="3942" spans="2:40" x14ac:dyDescent="0.2">
      <c r="B3942" t="str">
        <f t="shared" si="410"/>
        <v/>
      </c>
      <c r="U3942" s="8">
        <f t="shared" si="413"/>
        <v>2</v>
      </c>
      <c r="AD3942" t="str">
        <f t="shared" si="412"/>
        <v>o</v>
      </c>
      <c r="AE3942" t="str">
        <f t="shared" si="416"/>
        <v/>
      </c>
      <c r="AF3942" t="str">
        <f t="shared" si="414"/>
        <v/>
      </c>
      <c r="AG3942" t="str">
        <f t="shared" si="415"/>
        <v/>
      </c>
      <c r="AN3942" t="str">
        <f t="shared" si="411"/>
        <v>Defensive</v>
      </c>
    </row>
    <row r="3943" spans="2:40" x14ac:dyDescent="0.2">
      <c r="B3943" t="str">
        <f t="shared" si="410"/>
        <v/>
      </c>
      <c r="U3943" s="8">
        <f t="shared" si="413"/>
        <v>2</v>
      </c>
      <c r="AD3943" t="str">
        <f t="shared" si="412"/>
        <v>o</v>
      </c>
      <c r="AE3943" t="str">
        <f t="shared" si="416"/>
        <v/>
      </c>
      <c r="AF3943" t="str">
        <f t="shared" si="414"/>
        <v/>
      </c>
      <c r="AG3943" t="str">
        <f t="shared" si="415"/>
        <v/>
      </c>
      <c r="AN3943" t="str">
        <f t="shared" si="411"/>
        <v>Defensive</v>
      </c>
    </row>
    <row r="3944" spans="2:40" x14ac:dyDescent="0.2">
      <c r="B3944" t="str">
        <f t="shared" si="410"/>
        <v/>
      </c>
      <c r="U3944" s="8">
        <f t="shared" si="413"/>
        <v>2</v>
      </c>
      <c r="AD3944" t="str">
        <f t="shared" si="412"/>
        <v>o</v>
      </c>
      <c r="AE3944" t="str">
        <f t="shared" si="416"/>
        <v/>
      </c>
      <c r="AF3944" t="str">
        <f t="shared" si="414"/>
        <v/>
      </c>
      <c r="AG3944" t="str">
        <f t="shared" si="415"/>
        <v/>
      </c>
      <c r="AN3944" t="str">
        <f t="shared" si="411"/>
        <v>Defensive</v>
      </c>
    </row>
    <row r="3945" spans="2:40" x14ac:dyDescent="0.2">
      <c r="B3945" t="str">
        <f t="shared" si="410"/>
        <v/>
      </c>
      <c r="U3945" s="8">
        <f t="shared" si="413"/>
        <v>2</v>
      </c>
      <c r="AD3945" t="str">
        <f t="shared" si="412"/>
        <v>o</v>
      </c>
      <c r="AE3945" t="str">
        <f t="shared" si="416"/>
        <v/>
      </c>
      <c r="AF3945" t="str">
        <f t="shared" si="414"/>
        <v/>
      </c>
      <c r="AG3945" t="str">
        <f t="shared" si="415"/>
        <v/>
      </c>
      <c r="AN3945" t="str">
        <f t="shared" si="411"/>
        <v>Defensive</v>
      </c>
    </row>
    <row r="3946" spans="2:40" x14ac:dyDescent="0.2">
      <c r="B3946" t="str">
        <f t="shared" si="410"/>
        <v/>
      </c>
      <c r="U3946" s="8">
        <f t="shared" si="413"/>
        <v>2</v>
      </c>
      <c r="AD3946" t="str">
        <f t="shared" si="412"/>
        <v>o</v>
      </c>
      <c r="AE3946" t="str">
        <f t="shared" si="416"/>
        <v/>
      </c>
      <c r="AF3946" t="str">
        <f t="shared" si="414"/>
        <v/>
      </c>
      <c r="AG3946" t="str">
        <f t="shared" si="415"/>
        <v/>
      </c>
      <c r="AN3946" t="str">
        <f t="shared" si="411"/>
        <v>Defensive</v>
      </c>
    </row>
    <row r="3947" spans="2:40" x14ac:dyDescent="0.2">
      <c r="B3947" t="str">
        <f t="shared" si="410"/>
        <v/>
      </c>
      <c r="U3947" s="8">
        <f t="shared" si="413"/>
        <v>2</v>
      </c>
      <c r="AD3947" t="str">
        <f t="shared" si="412"/>
        <v>o</v>
      </c>
      <c r="AE3947" t="str">
        <f t="shared" si="416"/>
        <v/>
      </c>
      <c r="AF3947" t="str">
        <f t="shared" si="414"/>
        <v/>
      </c>
      <c r="AG3947" t="str">
        <f t="shared" si="415"/>
        <v/>
      </c>
      <c r="AN3947" t="str">
        <f t="shared" si="411"/>
        <v>Defensive</v>
      </c>
    </row>
    <row r="3948" spans="2:40" x14ac:dyDescent="0.2">
      <c r="B3948" t="str">
        <f t="shared" si="410"/>
        <v/>
      </c>
      <c r="U3948" s="8">
        <f t="shared" si="413"/>
        <v>2</v>
      </c>
      <c r="AD3948" t="str">
        <f t="shared" si="412"/>
        <v>o</v>
      </c>
      <c r="AE3948" t="str">
        <f t="shared" si="416"/>
        <v/>
      </c>
      <c r="AF3948" t="str">
        <f t="shared" si="414"/>
        <v/>
      </c>
      <c r="AG3948" t="str">
        <f t="shared" si="415"/>
        <v/>
      </c>
      <c r="AN3948" t="str">
        <f t="shared" si="411"/>
        <v>Defensive</v>
      </c>
    </row>
    <row r="3949" spans="2:40" x14ac:dyDescent="0.2">
      <c r="B3949" t="str">
        <f t="shared" si="410"/>
        <v/>
      </c>
      <c r="U3949" s="8">
        <f t="shared" si="413"/>
        <v>2</v>
      </c>
      <c r="AD3949" t="str">
        <f t="shared" si="412"/>
        <v>o</v>
      </c>
      <c r="AE3949" t="str">
        <f t="shared" si="416"/>
        <v/>
      </c>
      <c r="AF3949" t="str">
        <f t="shared" si="414"/>
        <v/>
      </c>
      <c r="AG3949" t="str">
        <f t="shared" si="415"/>
        <v/>
      </c>
      <c r="AN3949" t="str">
        <f t="shared" si="411"/>
        <v>Defensive</v>
      </c>
    </row>
    <row r="3950" spans="2:40" x14ac:dyDescent="0.2">
      <c r="B3950" t="str">
        <f t="shared" si="410"/>
        <v/>
      </c>
      <c r="U3950" s="8">
        <f t="shared" si="413"/>
        <v>2</v>
      </c>
      <c r="AD3950" t="str">
        <f t="shared" si="412"/>
        <v>o</v>
      </c>
      <c r="AE3950" t="str">
        <f t="shared" si="416"/>
        <v/>
      </c>
      <c r="AF3950" t="str">
        <f t="shared" si="414"/>
        <v/>
      </c>
      <c r="AG3950" t="str">
        <f t="shared" si="415"/>
        <v/>
      </c>
      <c r="AN3950" t="str">
        <f t="shared" si="411"/>
        <v>Defensive</v>
      </c>
    </row>
    <row r="3951" spans="2:40" x14ac:dyDescent="0.2">
      <c r="B3951" t="str">
        <f t="shared" si="410"/>
        <v/>
      </c>
      <c r="U3951" s="8">
        <f t="shared" si="413"/>
        <v>2</v>
      </c>
      <c r="AD3951" t="str">
        <f t="shared" si="412"/>
        <v>o</v>
      </c>
      <c r="AE3951" t="str">
        <f t="shared" si="416"/>
        <v/>
      </c>
      <c r="AF3951" t="str">
        <f t="shared" si="414"/>
        <v/>
      </c>
      <c r="AG3951" t="str">
        <f t="shared" si="415"/>
        <v/>
      </c>
      <c r="AN3951" t="str">
        <f t="shared" si="411"/>
        <v>Defensive</v>
      </c>
    </row>
    <row r="3952" spans="2:40" x14ac:dyDescent="0.2">
      <c r="B3952" t="str">
        <f t="shared" ref="B3952:B4000" si="417">IF(A3952=A3951,B3951,"")</f>
        <v/>
      </c>
      <c r="U3952" s="8">
        <f t="shared" si="413"/>
        <v>2</v>
      </c>
      <c r="AD3952" t="str">
        <f t="shared" si="412"/>
        <v>o</v>
      </c>
      <c r="AE3952" t="str">
        <f t="shared" si="416"/>
        <v/>
      </c>
      <c r="AF3952" t="str">
        <f t="shared" si="414"/>
        <v/>
      </c>
      <c r="AG3952" t="str">
        <f t="shared" si="415"/>
        <v/>
      </c>
      <c r="AN3952" t="str">
        <f t="shared" si="411"/>
        <v>Defensive</v>
      </c>
    </row>
    <row r="3953" spans="2:40" x14ac:dyDescent="0.2">
      <c r="B3953" t="str">
        <f t="shared" si="417"/>
        <v/>
      </c>
      <c r="U3953" s="8">
        <f t="shared" si="413"/>
        <v>2</v>
      </c>
      <c r="AD3953" t="str">
        <f t="shared" si="412"/>
        <v>o</v>
      </c>
      <c r="AE3953" t="str">
        <f t="shared" si="416"/>
        <v/>
      </c>
      <c r="AF3953" t="str">
        <f t="shared" si="414"/>
        <v/>
      </c>
      <c r="AG3953" t="str">
        <f t="shared" si="415"/>
        <v/>
      </c>
      <c r="AN3953" t="str">
        <f t="shared" si="411"/>
        <v>Defensive</v>
      </c>
    </row>
    <row r="3954" spans="2:40" x14ac:dyDescent="0.2">
      <c r="B3954" t="str">
        <f t="shared" si="417"/>
        <v/>
      </c>
      <c r="U3954" s="8">
        <f t="shared" si="413"/>
        <v>2</v>
      </c>
      <c r="AD3954" t="str">
        <f t="shared" si="412"/>
        <v>o</v>
      </c>
      <c r="AE3954" t="str">
        <f t="shared" si="416"/>
        <v/>
      </c>
      <c r="AF3954" t="str">
        <f t="shared" si="414"/>
        <v/>
      </c>
      <c r="AG3954" t="str">
        <f t="shared" si="415"/>
        <v/>
      </c>
      <c r="AN3954" t="str">
        <f t="shared" si="411"/>
        <v>Defensive</v>
      </c>
    </row>
    <row r="3955" spans="2:40" x14ac:dyDescent="0.2">
      <c r="B3955" t="str">
        <f t="shared" si="417"/>
        <v/>
      </c>
      <c r="U3955" s="8">
        <f t="shared" si="413"/>
        <v>2</v>
      </c>
      <c r="AD3955" t="str">
        <f t="shared" si="412"/>
        <v>o</v>
      </c>
      <c r="AE3955" t="str">
        <f t="shared" si="416"/>
        <v/>
      </c>
      <c r="AF3955" t="str">
        <f t="shared" si="414"/>
        <v/>
      </c>
      <c r="AG3955" t="str">
        <f t="shared" si="415"/>
        <v/>
      </c>
      <c r="AN3955" t="str">
        <f t="shared" si="411"/>
        <v>Defensive</v>
      </c>
    </row>
    <row r="3956" spans="2:40" x14ac:dyDescent="0.2">
      <c r="B3956" t="str">
        <f t="shared" si="417"/>
        <v/>
      </c>
      <c r="U3956" s="8">
        <f t="shared" si="413"/>
        <v>2</v>
      </c>
      <c r="AD3956" t="str">
        <f t="shared" si="412"/>
        <v>o</v>
      </c>
      <c r="AE3956" t="str">
        <f t="shared" si="416"/>
        <v/>
      </c>
      <c r="AF3956" t="str">
        <f t="shared" si="414"/>
        <v/>
      </c>
      <c r="AG3956" t="str">
        <f t="shared" si="415"/>
        <v/>
      </c>
      <c r="AN3956" t="str">
        <f t="shared" si="411"/>
        <v>Defensive</v>
      </c>
    </row>
    <row r="3957" spans="2:40" x14ac:dyDescent="0.2">
      <c r="B3957" t="str">
        <f t="shared" si="417"/>
        <v/>
      </c>
      <c r="U3957" s="8">
        <f t="shared" si="413"/>
        <v>2</v>
      </c>
      <c r="AD3957" t="str">
        <f t="shared" si="412"/>
        <v>o</v>
      </c>
      <c r="AE3957" t="str">
        <f t="shared" si="416"/>
        <v/>
      </c>
      <c r="AF3957" t="str">
        <f t="shared" si="414"/>
        <v/>
      </c>
      <c r="AG3957" t="str">
        <f t="shared" si="415"/>
        <v/>
      </c>
      <c r="AN3957" t="str">
        <f t="shared" si="411"/>
        <v>Defensive</v>
      </c>
    </row>
    <row r="3958" spans="2:40" x14ac:dyDescent="0.2">
      <c r="B3958" t="str">
        <f t="shared" si="417"/>
        <v/>
      </c>
      <c r="U3958" s="8">
        <f t="shared" si="413"/>
        <v>2</v>
      </c>
      <c r="AD3958" t="str">
        <f t="shared" si="412"/>
        <v>o</v>
      </c>
      <c r="AE3958" t="str">
        <f t="shared" si="416"/>
        <v/>
      </c>
      <c r="AF3958" t="str">
        <f t="shared" si="414"/>
        <v/>
      </c>
      <c r="AG3958" t="str">
        <f t="shared" si="415"/>
        <v/>
      </c>
      <c r="AN3958" t="str">
        <f t="shared" si="411"/>
        <v>Defensive</v>
      </c>
    </row>
    <row r="3959" spans="2:40" x14ac:dyDescent="0.2">
      <c r="B3959" t="str">
        <f t="shared" si="417"/>
        <v/>
      </c>
      <c r="U3959" s="8">
        <f t="shared" si="413"/>
        <v>2</v>
      </c>
      <c r="AD3959" t="str">
        <f t="shared" si="412"/>
        <v>o</v>
      </c>
      <c r="AE3959" t="str">
        <f t="shared" si="416"/>
        <v/>
      </c>
      <c r="AF3959" t="str">
        <f t="shared" si="414"/>
        <v/>
      </c>
      <c r="AG3959" t="str">
        <f t="shared" si="415"/>
        <v/>
      </c>
      <c r="AN3959" t="str">
        <f t="shared" si="411"/>
        <v>Defensive</v>
      </c>
    </row>
    <row r="3960" spans="2:40" x14ac:dyDescent="0.2">
      <c r="B3960" t="str">
        <f t="shared" si="417"/>
        <v/>
      </c>
      <c r="U3960" s="8">
        <f t="shared" si="413"/>
        <v>2</v>
      </c>
      <c r="AD3960" t="str">
        <f t="shared" si="412"/>
        <v>o</v>
      </c>
      <c r="AE3960" t="str">
        <f t="shared" si="416"/>
        <v/>
      </c>
      <c r="AF3960" t="str">
        <f t="shared" si="414"/>
        <v/>
      </c>
      <c r="AG3960" t="str">
        <f t="shared" si="415"/>
        <v/>
      </c>
      <c r="AN3960" t="str">
        <f t="shared" si="411"/>
        <v>Defensive</v>
      </c>
    </row>
    <row r="3961" spans="2:40" x14ac:dyDescent="0.2">
      <c r="B3961" t="str">
        <f t="shared" si="417"/>
        <v/>
      </c>
      <c r="U3961" s="8">
        <f t="shared" si="413"/>
        <v>2</v>
      </c>
      <c r="AD3961" t="str">
        <f t="shared" si="412"/>
        <v>o</v>
      </c>
      <c r="AE3961" t="str">
        <f t="shared" si="416"/>
        <v/>
      </c>
      <c r="AF3961" t="str">
        <f t="shared" si="414"/>
        <v/>
      </c>
      <c r="AG3961" t="str">
        <f t="shared" si="415"/>
        <v/>
      </c>
      <c r="AN3961" t="str">
        <f t="shared" ref="AN3961:AN4000" si="418">IF(AND(AD3961="e",OR(AE3961="Save",AF3961="Turnover_Takeaway",AF3961="Play_Defensive")),"Defensive",IF(AND(AD3961="o",OR(AE3961="Save",AF3961="Turnover_Takeaway",AF3961="Play_Defensive")),"Offensive",IF(OR(AE3961="Deadice",AE3961="Stoppage",AE3961="Intermission"),"",IF(AD3961="e","Offensive",IF(AD3961="o","Defensive","")))))</f>
        <v>Defensive</v>
      </c>
    </row>
    <row r="3962" spans="2:40" x14ac:dyDescent="0.2">
      <c r="B3962" t="str">
        <f t="shared" si="417"/>
        <v/>
      </c>
      <c r="U3962" s="8">
        <f t="shared" si="413"/>
        <v>2</v>
      </c>
      <c r="AD3962" t="str">
        <f t="shared" si="412"/>
        <v>o</v>
      </c>
      <c r="AE3962" t="str">
        <f t="shared" si="416"/>
        <v/>
      </c>
      <c r="AF3962" t="str">
        <f t="shared" si="414"/>
        <v/>
      </c>
      <c r="AG3962" t="str">
        <f t="shared" si="415"/>
        <v/>
      </c>
      <c r="AN3962" t="str">
        <f t="shared" si="418"/>
        <v>Defensive</v>
      </c>
    </row>
    <row r="3963" spans="2:40" x14ac:dyDescent="0.2">
      <c r="B3963" t="str">
        <f t="shared" si="417"/>
        <v/>
      </c>
      <c r="U3963" s="8">
        <f t="shared" si="413"/>
        <v>2</v>
      </c>
      <c r="AD3963" t="str">
        <f t="shared" si="412"/>
        <v>o</v>
      </c>
      <c r="AE3963" t="str">
        <f t="shared" si="416"/>
        <v/>
      </c>
      <c r="AF3963" t="str">
        <f t="shared" si="414"/>
        <v/>
      </c>
      <c r="AG3963" t="str">
        <f t="shared" si="415"/>
        <v/>
      </c>
      <c r="AN3963" t="str">
        <f t="shared" si="418"/>
        <v>Defensive</v>
      </c>
    </row>
    <row r="3964" spans="2:40" x14ac:dyDescent="0.2">
      <c r="B3964" t="str">
        <f t="shared" si="417"/>
        <v/>
      </c>
      <c r="U3964" s="8">
        <f t="shared" si="413"/>
        <v>2</v>
      </c>
      <c r="AD3964" t="str">
        <f t="shared" si="412"/>
        <v>o</v>
      </c>
      <c r="AE3964" t="str">
        <f t="shared" si="416"/>
        <v/>
      </c>
      <c r="AF3964" t="str">
        <f t="shared" si="414"/>
        <v/>
      </c>
      <c r="AG3964" t="str">
        <f t="shared" si="415"/>
        <v/>
      </c>
      <c r="AN3964" t="str">
        <f t="shared" si="418"/>
        <v>Defensive</v>
      </c>
    </row>
    <row r="3965" spans="2:40" x14ac:dyDescent="0.2">
      <c r="B3965" t="str">
        <f t="shared" si="417"/>
        <v/>
      </c>
      <c r="U3965" s="8">
        <f t="shared" si="413"/>
        <v>2</v>
      </c>
      <c r="AD3965" t="str">
        <f t="shared" si="412"/>
        <v>o</v>
      </c>
      <c r="AE3965" t="str">
        <f t="shared" si="416"/>
        <v/>
      </c>
      <c r="AF3965" t="str">
        <f t="shared" si="414"/>
        <v/>
      </c>
      <c r="AG3965" t="str">
        <f t="shared" si="415"/>
        <v/>
      </c>
      <c r="AN3965" t="str">
        <f t="shared" si="418"/>
        <v>Defensive</v>
      </c>
    </row>
    <row r="3966" spans="2:40" x14ac:dyDescent="0.2">
      <c r="B3966" t="str">
        <f t="shared" si="417"/>
        <v/>
      </c>
      <c r="U3966" s="8">
        <f t="shared" si="413"/>
        <v>2</v>
      </c>
      <c r="AD3966" t="str">
        <f t="shared" si="412"/>
        <v>o</v>
      </c>
      <c r="AE3966" t="str">
        <f t="shared" si="416"/>
        <v/>
      </c>
      <c r="AF3966" t="str">
        <f t="shared" si="414"/>
        <v/>
      </c>
      <c r="AG3966" t="str">
        <f t="shared" si="415"/>
        <v/>
      </c>
      <c r="AN3966" t="str">
        <f t="shared" si="418"/>
        <v>Defensive</v>
      </c>
    </row>
    <row r="3967" spans="2:40" x14ac:dyDescent="0.2">
      <c r="B3967" t="str">
        <f t="shared" si="417"/>
        <v/>
      </c>
      <c r="U3967" s="8">
        <f t="shared" si="413"/>
        <v>2</v>
      </c>
      <c r="AD3967" t="str">
        <f t="shared" si="412"/>
        <v>o</v>
      </c>
      <c r="AE3967" t="str">
        <f t="shared" si="416"/>
        <v/>
      </c>
      <c r="AF3967" t="str">
        <f t="shared" si="414"/>
        <v/>
      </c>
      <c r="AG3967" t="str">
        <f t="shared" si="415"/>
        <v/>
      </c>
      <c r="AN3967" t="str">
        <f t="shared" si="418"/>
        <v>Defensive</v>
      </c>
    </row>
    <row r="3968" spans="2:40" x14ac:dyDescent="0.2">
      <c r="B3968" t="str">
        <f t="shared" si="417"/>
        <v/>
      </c>
      <c r="U3968" s="8">
        <f t="shared" si="413"/>
        <v>2</v>
      </c>
      <c r="AD3968" t="str">
        <f t="shared" si="412"/>
        <v>o</v>
      </c>
      <c r="AE3968" t="str">
        <f t="shared" si="416"/>
        <v/>
      </c>
      <c r="AF3968" t="str">
        <f t="shared" si="414"/>
        <v/>
      </c>
      <c r="AG3968" t="str">
        <f t="shared" si="415"/>
        <v/>
      </c>
      <c r="AN3968" t="str">
        <f t="shared" si="418"/>
        <v>Defensive</v>
      </c>
    </row>
    <row r="3969" spans="2:40" x14ac:dyDescent="0.2">
      <c r="B3969" t="str">
        <f t="shared" si="417"/>
        <v/>
      </c>
      <c r="U3969" s="8">
        <f t="shared" si="413"/>
        <v>2</v>
      </c>
      <c r="AD3969" t="str">
        <f t="shared" si="412"/>
        <v>o</v>
      </c>
      <c r="AE3969" t="str">
        <f t="shared" si="416"/>
        <v/>
      </c>
      <c r="AF3969" t="str">
        <f t="shared" si="414"/>
        <v/>
      </c>
      <c r="AG3969" t="str">
        <f t="shared" si="415"/>
        <v/>
      </c>
      <c r="AN3969" t="str">
        <f t="shared" si="418"/>
        <v>Defensive</v>
      </c>
    </row>
    <row r="3970" spans="2:40" x14ac:dyDescent="0.2">
      <c r="B3970" t="str">
        <f t="shared" si="417"/>
        <v/>
      </c>
      <c r="U3970" s="8">
        <f t="shared" si="413"/>
        <v>2</v>
      </c>
      <c r="AD3970" t="str">
        <f t="shared" ref="AD3970:AD4000" si="419">IF(K3970="x","",IF(K3970=1,"e","o"))</f>
        <v>o</v>
      </c>
      <c r="AE3970" t="str">
        <f t="shared" si="416"/>
        <v/>
      </c>
      <c r="AF3970" t="str">
        <f t="shared" si="414"/>
        <v/>
      </c>
      <c r="AG3970" t="str">
        <f t="shared" si="415"/>
        <v/>
      </c>
      <c r="AN3970" t="str">
        <f t="shared" si="418"/>
        <v>Defensive</v>
      </c>
    </row>
    <row r="3971" spans="2:40" x14ac:dyDescent="0.2">
      <c r="B3971" t="str">
        <f t="shared" si="417"/>
        <v/>
      </c>
      <c r="U3971" s="8">
        <f t="shared" ref="U3971:U4000" si="420">IF(M3971="Intermission",U3970+1,U3970)</f>
        <v>2</v>
      </c>
      <c r="AD3971" t="str">
        <f t="shared" si="419"/>
        <v>o</v>
      </c>
      <c r="AE3971" t="str">
        <f t="shared" si="416"/>
        <v/>
      </c>
      <c r="AF3971" t="str">
        <f t="shared" ref="AF3971:AF4000" si="421">IF(N3971&lt;&gt;"",N3971,IF($A3971=$A3970,AF3970,""))</f>
        <v/>
      </c>
      <c r="AG3971" t="str">
        <f t="shared" ref="AG3971:AG4000" si="422">IF(O3971&lt;&gt;"",O3971,IF($A3971=$A3970,AG3970,""))</f>
        <v/>
      </c>
      <c r="AN3971" t="str">
        <f t="shared" si="418"/>
        <v>Defensive</v>
      </c>
    </row>
    <row r="3972" spans="2:40" x14ac:dyDescent="0.2">
      <c r="B3972" t="str">
        <f t="shared" si="417"/>
        <v/>
      </c>
      <c r="U3972" s="8">
        <f t="shared" si="420"/>
        <v>2</v>
      </c>
      <c r="AD3972" t="str">
        <f t="shared" si="419"/>
        <v>o</v>
      </c>
      <c r="AE3972" t="str">
        <f t="shared" ref="AE3972:AE4000" si="423">IF(M3972&lt;&gt;"",M3972,IF($A3972=$A3971,AE3971,""))</f>
        <v/>
      </c>
      <c r="AF3972" t="str">
        <f t="shared" si="421"/>
        <v/>
      </c>
      <c r="AG3972" t="str">
        <f t="shared" si="422"/>
        <v/>
      </c>
      <c r="AN3972" t="str">
        <f t="shared" si="418"/>
        <v>Defensive</v>
      </c>
    </row>
    <row r="3973" spans="2:40" x14ac:dyDescent="0.2">
      <c r="B3973" t="str">
        <f t="shared" si="417"/>
        <v/>
      </c>
      <c r="U3973" s="8">
        <f t="shared" si="420"/>
        <v>2</v>
      </c>
      <c r="AD3973" t="str">
        <f t="shared" si="419"/>
        <v>o</v>
      </c>
      <c r="AE3973" t="str">
        <f t="shared" si="423"/>
        <v/>
      </c>
      <c r="AF3973" t="str">
        <f t="shared" si="421"/>
        <v/>
      </c>
      <c r="AG3973" t="str">
        <f t="shared" si="422"/>
        <v/>
      </c>
      <c r="AN3973" t="str">
        <f t="shared" si="418"/>
        <v>Defensive</v>
      </c>
    </row>
    <row r="3974" spans="2:40" x14ac:dyDescent="0.2">
      <c r="B3974" t="str">
        <f t="shared" si="417"/>
        <v/>
      </c>
      <c r="U3974" s="8">
        <f t="shared" si="420"/>
        <v>2</v>
      </c>
      <c r="AD3974" t="str">
        <f t="shared" si="419"/>
        <v>o</v>
      </c>
      <c r="AE3974" t="str">
        <f t="shared" si="423"/>
        <v/>
      </c>
      <c r="AF3974" t="str">
        <f t="shared" si="421"/>
        <v/>
      </c>
      <c r="AG3974" t="str">
        <f t="shared" si="422"/>
        <v/>
      </c>
      <c r="AN3974" t="str">
        <f t="shared" si="418"/>
        <v>Defensive</v>
      </c>
    </row>
    <row r="3975" spans="2:40" x14ac:dyDescent="0.2">
      <c r="B3975" t="str">
        <f t="shared" si="417"/>
        <v/>
      </c>
      <c r="U3975" s="8">
        <f t="shared" si="420"/>
        <v>2</v>
      </c>
      <c r="AD3975" t="str">
        <f t="shared" si="419"/>
        <v>o</v>
      </c>
      <c r="AE3975" t="str">
        <f t="shared" si="423"/>
        <v/>
      </c>
      <c r="AF3975" t="str">
        <f t="shared" si="421"/>
        <v/>
      </c>
      <c r="AG3975" t="str">
        <f t="shared" si="422"/>
        <v/>
      </c>
      <c r="AN3975" t="str">
        <f t="shared" si="418"/>
        <v>Defensive</v>
      </c>
    </row>
    <row r="3976" spans="2:40" x14ac:dyDescent="0.2">
      <c r="B3976" t="str">
        <f t="shared" si="417"/>
        <v/>
      </c>
      <c r="U3976" s="8">
        <f t="shared" si="420"/>
        <v>2</v>
      </c>
      <c r="AD3976" t="str">
        <f t="shared" si="419"/>
        <v>o</v>
      </c>
      <c r="AE3976" t="str">
        <f t="shared" si="423"/>
        <v/>
      </c>
      <c r="AF3976" t="str">
        <f t="shared" si="421"/>
        <v/>
      </c>
      <c r="AG3976" t="str">
        <f t="shared" si="422"/>
        <v/>
      </c>
      <c r="AN3976" t="str">
        <f t="shared" si="418"/>
        <v>Defensive</v>
      </c>
    </row>
    <row r="3977" spans="2:40" x14ac:dyDescent="0.2">
      <c r="B3977" t="str">
        <f t="shared" si="417"/>
        <v/>
      </c>
      <c r="U3977" s="8">
        <f t="shared" si="420"/>
        <v>2</v>
      </c>
      <c r="AD3977" t="str">
        <f t="shared" si="419"/>
        <v>o</v>
      </c>
      <c r="AE3977" t="str">
        <f t="shared" si="423"/>
        <v/>
      </c>
      <c r="AF3977" t="str">
        <f t="shared" si="421"/>
        <v/>
      </c>
      <c r="AG3977" t="str">
        <f t="shared" si="422"/>
        <v/>
      </c>
      <c r="AN3977" t="str">
        <f t="shared" si="418"/>
        <v>Defensive</v>
      </c>
    </row>
    <row r="3978" spans="2:40" x14ac:dyDescent="0.2">
      <c r="B3978" t="str">
        <f t="shared" si="417"/>
        <v/>
      </c>
      <c r="U3978" s="8">
        <f t="shared" si="420"/>
        <v>2</v>
      </c>
      <c r="AD3978" t="str">
        <f t="shared" si="419"/>
        <v>o</v>
      </c>
      <c r="AE3978" t="str">
        <f t="shared" si="423"/>
        <v/>
      </c>
      <c r="AF3978" t="str">
        <f t="shared" si="421"/>
        <v/>
      </c>
      <c r="AG3978" t="str">
        <f t="shared" si="422"/>
        <v/>
      </c>
      <c r="AN3978" t="str">
        <f t="shared" si="418"/>
        <v>Defensive</v>
      </c>
    </row>
    <row r="3979" spans="2:40" x14ac:dyDescent="0.2">
      <c r="B3979" t="str">
        <f t="shared" si="417"/>
        <v/>
      </c>
      <c r="U3979" s="8">
        <f t="shared" si="420"/>
        <v>2</v>
      </c>
      <c r="AD3979" t="str">
        <f t="shared" si="419"/>
        <v>o</v>
      </c>
      <c r="AE3979" t="str">
        <f t="shared" si="423"/>
        <v/>
      </c>
      <c r="AF3979" t="str">
        <f t="shared" si="421"/>
        <v/>
      </c>
      <c r="AG3979" t="str">
        <f t="shared" si="422"/>
        <v/>
      </c>
      <c r="AN3979" t="str">
        <f t="shared" si="418"/>
        <v>Defensive</v>
      </c>
    </row>
    <row r="3980" spans="2:40" x14ac:dyDescent="0.2">
      <c r="B3980" t="str">
        <f t="shared" si="417"/>
        <v/>
      </c>
      <c r="U3980" s="8">
        <f t="shared" si="420"/>
        <v>2</v>
      </c>
      <c r="AD3980" t="str">
        <f t="shared" si="419"/>
        <v>o</v>
      </c>
      <c r="AE3980" t="str">
        <f t="shared" si="423"/>
        <v/>
      </c>
      <c r="AF3980" t="str">
        <f t="shared" si="421"/>
        <v/>
      </c>
      <c r="AG3980" t="str">
        <f t="shared" si="422"/>
        <v/>
      </c>
      <c r="AN3980" t="str">
        <f t="shared" si="418"/>
        <v>Defensive</v>
      </c>
    </row>
    <row r="3981" spans="2:40" x14ac:dyDescent="0.2">
      <c r="B3981" t="str">
        <f t="shared" si="417"/>
        <v/>
      </c>
      <c r="U3981" s="8">
        <f t="shared" si="420"/>
        <v>2</v>
      </c>
      <c r="AD3981" t="str">
        <f t="shared" si="419"/>
        <v>o</v>
      </c>
      <c r="AE3981" t="str">
        <f t="shared" si="423"/>
        <v/>
      </c>
      <c r="AF3981" t="str">
        <f t="shared" si="421"/>
        <v/>
      </c>
      <c r="AG3981" t="str">
        <f t="shared" si="422"/>
        <v/>
      </c>
      <c r="AN3981" t="str">
        <f t="shared" si="418"/>
        <v>Defensive</v>
      </c>
    </row>
    <row r="3982" spans="2:40" x14ac:dyDescent="0.2">
      <c r="B3982" t="str">
        <f t="shared" si="417"/>
        <v/>
      </c>
      <c r="U3982" s="8">
        <f t="shared" si="420"/>
        <v>2</v>
      </c>
      <c r="AD3982" t="str">
        <f t="shared" si="419"/>
        <v>o</v>
      </c>
      <c r="AE3982" t="str">
        <f t="shared" si="423"/>
        <v/>
      </c>
      <c r="AF3982" t="str">
        <f t="shared" si="421"/>
        <v/>
      </c>
      <c r="AG3982" t="str">
        <f t="shared" si="422"/>
        <v/>
      </c>
      <c r="AN3982" t="str">
        <f t="shared" si="418"/>
        <v>Defensive</v>
      </c>
    </row>
    <row r="3983" spans="2:40" x14ac:dyDescent="0.2">
      <c r="B3983" t="str">
        <f t="shared" si="417"/>
        <v/>
      </c>
      <c r="U3983" s="8">
        <f t="shared" si="420"/>
        <v>2</v>
      </c>
      <c r="AD3983" t="str">
        <f t="shared" si="419"/>
        <v>o</v>
      </c>
      <c r="AE3983" t="str">
        <f t="shared" si="423"/>
        <v/>
      </c>
      <c r="AF3983" t="str">
        <f t="shared" si="421"/>
        <v/>
      </c>
      <c r="AG3983" t="str">
        <f t="shared" si="422"/>
        <v/>
      </c>
      <c r="AN3983" t="str">
        <f t="shared" si="418"/>
        <v>Defensive</v>
      </c>
    </row>
    <row r="3984" spans="2:40" x14ac:dyDescent="0.2">
      <c r="B3984" t="str">
        <f t="shared" si="417"/>
        <v/>
      </c>
      <c r="U3984" s="8">
        <f t="shared" si="420"/>
        <v>2</v>
      </c>
      <c r="AD3984" t="str">
        <f t="shared" si="419"/>
        <v>o</v>
      </c>
      <c r="AE3984" t="str">
        <f t="shared" si="423"/>
        <v/>
      </c>
      <c r="AF3984" t="str">
        <f t="shared" si="421"/>
        <v/>
      </c>
      <c r="AG3984" t="str">
        <f t="shared" si="422"/>
        <v/>
      </c>
      <c r="AN3984" t="str">
        <f t="shared" si="418"/>
        <v>Defensive</v>
      </c>
    </row>
    <row r="3985" spans="2:40" x14ac:dyDescent="0.2">
      <c r="B3985" t="str">
        <f t="shared" si="417"/>
        <v/>
      </c>
      <c r="U3985" s="8">
        <f t="shared" si="420"/>
        <v>2</v>
      </c>
      <c r="AD3985" t="str">
        <f t="shared" si="419"/>
        <v>o</v>
      </c>
      <c r="AE3985" t="str">
        <f t="shared" si="423"/>
        <v/>
      </c>
      <c r="AF3985" t="str">
        <f t="shared" si="421"/>
        <v/>
      </c>
      <c r="AG3985" t="str">
        <f t="shared" si="422"/>
        <v/>
      </c>
      <c r="AN3985" t="str">
        <f t="shared" si="418"/>
        <v>Defensive</v>
      </c>
    </row>
    <row r="3986" spans="2:40" x14ac:dyDescent="0.2">
      <c r="B3986" t="str">
        <f t="shared" si="417"/>
        <v/>
      </c>
      <c r="U3986" s="8">
        <f t="shared" si="420"/>
        <v>2</v>
      </c>
      <c r="AD3986" t="str">
        <f t="shared" si="419"/>
        <v>o</v>
      </c>
      <c r="AE3986" t="str">
        <f t="shared" si="423"/>
        <v/>
      </c>
      <c r="AF3986" t="str">
        <f t="shared" si="421"/>
        <v/>
      </c>
      <c r="AG3986" t="str">
        <f t="shared" si="422"/>
        <v/>
      </c>
      <c r="AN3986" t="str">
        <f t="shared" si="418"/>
        <v>Defensive</v>
      </c>
    </row>
    <row r="3987" spans="2:40" x14ac:dyDescent="0.2">
      <c r="B3987" t="str">
        <f t="shared" si="417"/>
        <v/>
      </c>
      <c r="U3987" s="8">
        <f t="shared" si="420"/>
        <v>2</v>
      </c>
      <c r="AD3987" t="str">
        <f t="shared" si="419"/>
        <v>o</v>
      </c>
      <c r="AE3987" t="str">
        <f t="shared" si="423"/>
        <v/>
      </c>
      <c r="AF3987" t="str">
        <f t="shared" si="421"/>
        <v/>
      </c>
      <c r="AG3987" t="str">
        <f t="shared" si="422"/>
        <v/>
      </c>
      <c r="AN3987" t="str">
        <f t="shared" si="418"/>
        <v>Defensive</v>
      </c>
    </row>
    <row r="3988" spans="2:40" x14ac:dyDescent="0.2">
      <c r="B3988" t="str">
        <f t="shared" si="417"/>
        <v/>
      </c>
      <c r="U3988" s="8">
        <f t="shared" si="420"/>
        <v>2</v>
      </c>
      <c r="AD3988" t="str">
        <f t="shared" si="419"/>
        <v>o</v>
      </c>
      <c r="AE3988" t="str">
        <f t="shared" si="423"/>
        <v/>
      </c>
      <c r="AF3988" t="str">
        <f t="shared" si="421"/>
        <v/>
      </c>
      <c r="AG3988" t="str">
        <f t="shared" si="422"/>
        <v/>
      </c>
      <c r="AN3988" t="str">
        <f t="shared" si="418"/>
        <v>Defensive</v>
      </c>
    </row>
    <row r="3989" spans="2:40" x14ac:dyDescent="0.2">
      <c r="B3989" t="str">
        <f t="shared" si="417"/>
        <v/>
      </c>
      <c r="U3989" s="8">
        <f t="shared" si="420"/>
        <v>2</v>
      </c>
      <c r="AD3989" t="str">
        <f t="shared" si="419"/>
        <v>o</v>
      </c>
      <c r="AE3989" t="str">
        <f t="shared" si="423"/>
        <v/>
      </c>
      <c r="AF3989" t="str">
        <f t="shared" si="421"/>
        <v/>
      </c>
      <c r="AG3989" t="str">
        <f t="shared" si="422"/>
        <v/>
      </c>
      <c r="AN3989" t="str">
        <f t="shared" si="418"/>
        <v>Defensive</v>
      </c>
    </row>
    <row r="3990" spans="2:40" x14ac:dyDescent="0.2">
      <c r="B3990" t="str">
        <f t="shared" si="417"/>
        <v/>
      </c>
      <c r="U3990" s="8">
        <f t="shared" si="420"/>
        <v>2</v>
      </c>
      <c r="AD3990" t="str">
        <f t="shared" si="419"/>
        <v>o</v>
      </c>
      <c r="AE3990" t="str">
        <f t="shared" si="423"/>
        <v/>
      </c>
      <c r="AF3990" t="str">
        <f t="shared" si="421"/>
        <v/>
      </c>
      <c r="AG3990" t="str">
        <f t="shared" si="422"/>
        <v/>
      </c>
      <c r="AN3990" t="str">
        <f t="shared" si="418"/>
        <v>Defensive</v>
      </c>
    </row>
    <row r="3991" spans="2:40" x14ac:dyDescent="0.2">
      <c r="B3991" t="str">
        <f t="shared" si="417"/>
        <v/>
      </c>
      <c r="U3991" s="8">
        <f t="shared" si="420"/>
        <v>2</v>
      </c>
      <c r="AD3991" t="str">
        <f t="shared" si="419"/>
        <v>o</v>
      </c>
      <c r="AE3991" t="str">
        <f t="shared" si="423"/>
        <v/>
      </c>
      <c r="AF3991" t="str">
        <f t="shared" si="421"/>
        <v/>
      </c>
      <c r="AG3991" t="str">
        <f t="shared" si="422"/>
        <v/>
      </c>
      <c r="AN3991" t="str">
        <f t="shared" si="418"/>
        <v>Defensive</v>
      </c>
    </row>
    <row r="3992" spans="2:40" x14ac:dyDescent="0.2">
      <c r="B3992" t="str">
        <f t="shared" si="417"/>
        <v/>
      </c>
      <c r="U3992" s="8">
        <f t="shared" si="420"/>
        <v>2</v>
      </c>
      <c r="AD3992" t="str">
        <f t="shared" si="419"/>
        <v>o</v>
      </c>
      <c r="AE3992" t="str">
        <f t="shared" si="423"/>
        <v/>
      </c>
      <c r="AF3992" t="str">
        <f t="shared" si="421"/>
        <v/>
      </c>
      <c r="AG3992" t="str">
        <f t="shared" si="422"/>
        <v/>
      </c>
      <c r="AN3992" t="str">
        <f t="shared" si="418"/>
        <v>Defensive</v>
      </c>
    </row>
    <row r="3993" spans="2:40" x14ac:dyDescent="0.2">
      <c r="B3993" t="str">
        <f t="shared" si="417"/>
        <v/>
      </c>
      <c r="U3993" s="8">
        <f t="shared" si="420"/>
        <v>2</v>
      </c>
      <c r="AD3993" t="str">
        <f t="shared" si="419"/>
        <v>o</v>
      </c>
      <c r="AE3993" t="str">
        <f t="shared" si="423"/>
        <v/>
      </c>
      <c r="AF3993" t="str">
        <f t="shared" si="421"/>
        <v/>
      </c>
      <c r="AG3993" t="str">
        <f t="shared" si="422"/>
        <v/>
      </c>
      <c r="AN3993" t="str">
        <f t="shared" si="418"/>
        <v>Defensive</v>
      </c>
    </row>
    <row r="3994" spans="2:40" x14ac:dyDescent="0.2">
      <c r="B3994" t="str">
        <f t="shared" si="417"/>
        <v/>
      </c>
      <c r="U3994" s="8">
        <f t="shared" si="420"/>
        <v>2</v>
      </c>
      <c r="AD3994" t="str">
        <f t="shared" si="419"/>
        <v>o</v>
      </c>
      <c r="AE3994" t="str">
        <f t="shared" si="423"/>
        <v/>
      </c>
      <c r="AF3994" t="str">
        <f t="shared" si="421"/>
        <v/>
      </c>
      <c r="AG3994" t="str">
        <f t="shared" si="422"/>
        <v/>
      </c>
      <c r="AN3994" t="str">
        <f t="shared" si="418"/>
        <v>Defensive</v>
      </c>
    </row>
    <row r="3995" spans="2:40" x14ac:dyDescent="0.2">
      <c r="B3995" t="str">
        <f t="shared" si="417"/>
        <v/>
      </c>
      <c r="U3995" s="8">
        <f t="shared" si="420"/>
        <v>2</v>
      </c>
      <c r="AD3995" t="str">
        <f t="shared" si="419"/>
        <v>o</v>
      </c>
      <c r="AE3995" t="str">
        <f t="shared" si="423"/>
        <v/>
      </c>
      <c r="AF3995" t="str">
        <f t="shared" si="421"/>
        <v/>
      </c>
      <c r="AG3995" t="str">
        <f t="shared" si="422"/>
        <v/>
      </c>
      <c r="AN3995" t="str">
        <f t="shared" si="418"/>
        <v>Defensive</v>
      </c>
    </row>
    <row r="3996" spans="2:40" x14ac:dyDescent="0.2">
      <c r="B3996" t="str">
        <f t="shared" si="417"/>
        <v/>
      </c>
      <c r="U3996" s="8">
        <f t="shared" si="420"/>
        <v>2</v>
      </c>
      <c r="AD3996" t="str">
        <f t="shared" si="419"/>
        <v>o</v>
      </c>
      <c r="AE3996" t="str">
        <f t="shared" si="423"/>
        <v/>
      </c>
      <c r="AF3996" t="str">
        <f t="shared" si="421"/>
        <v/>
      </c>
      <c r="AG3996" t="str">
        <f t="shared" si="422"/>
        <v/>
      </c>
      <c r="AN3996" t="str">
        <f t="shared" si="418"/>
        <v>Defensive</v>
      </c>
    </row>
    <row r="3997" spans="2:40" x14ac:dyDescent="0.2">
      <c r="B3997" t="str">
        <f t="shared" si="417"/>
        <v/>
      </c>
      <c r="U3997" s="8">
        <f t="shared" si="420"/>
        <v>2</v>
      </c>
      <c r="AD3997" t="str">
        <f t="shared" si="419"/>
        <v>o</v>
      </c>
      <c r="AE3997" t="str">
        <f t="shared" si="423"/>
        <v/>
      </c>
      <c r="AF3997" t="str">
        <f t="shared" si="421"/>
        <v/>
      </c>
      <c r="AG3997" t="str">
        <f t="shared" si="422"/>
        <v/>
      </c>
      <c r="AN3997" t="str">
        <f t="shared" si="418"/>
        <v>Defensive</v>
      </c>
    </row>
    <row r="3998" spans="2:40" x14ac:dyDescent="0.2">
      <c r="B3998" t="str">
        <f t="shared" si="417"/>
        <v/>
      </c>
      <c r="U3998" s="8">
        <f t="shared" si="420"/>
        <v>2</v>
      </c>
      <c r="AD3998" t="str">
        <f t="shared" si="419"/>
        <v>o</v>
      </c>
      <c r="AE3998" t="str">
        <f t="shared" si="423"/>
        <v/>
      </c>
      <c r="AF3998" t="str">
        <f t="shared" si="421"/>
        <v/>
      </c>
      <c r="AG3998" t="str">
        <f t="shared" si="422"/>
        <v/>
      </c>
      <c r="AN3998" t="str">
        <f t="shared" si="418"/>
        <v>Defensive</v>
      </c>
    </row>
    <row r="3999" spans="2:40" x14ac:dyDescent="0.2">
      <c r="B3999" t="str">
        <f t="shared" si="417"/>
        <v/>
      </c>
      <c r="U3999" s="8">
        <f t="shared" si="420"/>
        <v>2</v>
      </c>
      <c r="AD3999" t="str">
        <f t="shared" si="419"/>
        <v>o</v>
      </c>
      <c r="AE3999" t="str">
        <f t="shared" si="423"/>
        <v/>
      </c>
      <c r="AF3999" t="str">
        <f t="shared" si="421"/>
        <v/>
      </c>
      <c r="AG3999" t="str">
        <f t="shared" si="422"/>
        <v/>
      </c>
      <c r="AN3999" t="str">
        <f t="shared" si="418"/>
        <v>Defensive</v>
      </c>
    </row>
    <row r="4000" spans="2:40" x14ac:dyDescent="0.2">
      <c r="B4000" t="str">
        <f t="shared" si="417"/>
        <v/>
      </c>
      <c r="U4000" s="8">
        <f t="shared" si="420"/>
        <v>2</v>
      </c>
      <c r="AD4000" t="str">
        <f t="shared" si="419"/>
        <v>o</v>
      </c>
      <c r="AE4000" t="str">
        <f t="shared" si="423"/>
        <v/>
      </c>
      <c r="AF4000" t="str">
        <f t="shared" si="421"/>
        <v/>
      </c>
      <c r="AG4000" t="str">
        <f t="shared" si="422"/>
        <v/>
      </c>
      <c r="AN4000" t="str">
        <f t="shared" si="418"/>
        <v>Defensive</v>
      </c>
    </row>
  </sheetData>
  <phoneticPr fontId="2" type="noConversion"/>
  <conditionalFormatting sqref="A473 C473:H473 X473 AD473 AR473">
    <cfRule type="expression" dxfId="4" priority="15" stopIfTrue="1">
      <formula>$A473&lt;#REF!</formula>
    </cfRule>
  </conditionalFormatting>
  <conditionalFormatting sqref="A782:J783 L782:X783 AD782:AD783 AP782:AP783 AR782:AR783">
    <cfRule type="expression" dxfId="3" priority="20" stopIfTrue="1">
      <formula>$A782&lt;$A784</formula>
    </cfRule>
  </conditionalFormatting>
  <conditionalFormatting sqref="N890 Q1617">
    <cfRule type="expression" dxfId="2" priority="39" stopIfTrue="1">
      <formula>$A889&lt;$A890</formula>
    </cfRule>
  </conditionalFormatting>
  <conditionalFormatting sqref="V1:BF2 E1:T1687 A1:D1048576 U1:U1048576 AR1:AR1048576 AQ3:BF3 V3:AP22 AQ4:AR22 V23:AR4000 E1688:P1688 S1688:T1688 V4001:BF1048576 E1689:T1048576">
    <cfRule type="expression" dxfId="1" priority="1" stopIfTrue="1">
      <formula>$A1&lt;$A2</formula>
    </cfRule>
  </conditionalFormatting>
  <conditionalFormatting sqref="AS4:BF4000">
    <cfRule type="expression" dxfId="0" priority="7" stopIfTrue="1">
      <formula>$A4&lt;$A5</formula>
    </cfRule>
  </conditionalFormatting>
  <dataValidations count="6">
    <dataValidation type="list" allowBlank="1" showInputMessage="1" showErrorMessage="1" sqref="O2:O889 O891:O3999" xr:uid="{CCF9F1EF-35C7-3A4B-9ABF-F3EE679A5CD2}">
      <formula1>INDIRECT($N2)</formula1>
    </dataValidation>
    <dataValidation type="list" allowBlank="1" showInputMessage="1" showErrorMessage="1" sqref="Q2:Q6 R3:R6 R1616:R1617 Q724:Q725 Q1214 Q7:R723 Q726:R1213 Q1215:R1615 Q1618:R1687 Q1689:R3999" xr:uid="{EC531B83-C4F0-D945-96A5-E3A1ACEB0502}">
      <formula1>INDIRECT($AN2)</formula1>
    </dataValidation>
    <dataValidation type="list" allowBlank="1" showInputMessage="1" showErrorMessage="1" sqref="O890" xr:uid="{E732F4CB-A3E7-8746-9382-7886D7AE09B4}">
      <formula1>INDIRECT(#REF!)</formula1>
    </dataValidation>
    <dataValidation type="list" allowBlank="1" showInputMessage="1" showErrorMessage="1" sqref="N2:N889 N891:N3999" xr:uid="{4B874ECF-CE2E-7D4E-9E4C-E6798CED3795}">
      <formula1>INDIRECT($M2)</formula1>
    </dataValidation>
    <dataValidation type="list" allowBlank="1" showInputMessage="1" showErrorMessage="1" sqref="N890" xr:uid="{078F2CC8-1C8A-2641-8EF0-7159AF5C01B8}">
      <formula1>INDIRECT($M889)</formula1>
    </dataValidation>
    <dataValidation type="list" allowBlank="1" showInputMessage="1" showErrorMessage="1" sqref="Q1617" xr:uid="{57E75E08-0AFE-BF45-8D3E-D8C1F261C0C5}">
      <formula1>INDIRECT($AN1616)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B68188-98A6-3F4E-BE51-AC7D2CB1B669}">
          <x14:formula1>
            <xm:f>Lists!$A:$A</xm:f>
          </x14:formula1>
          <xm:sqref>M2:M3999</xm:sqref>
        </x14:dataValidation>
        <x14:dataValidation type="list" allowBlank="1" showInputMessage="1" showErrorMessage="1" xr:uid="{66E669E3-8DEB-B743-9F60-0868D6045AC2}">
          <x14:formula1>
            <xm:f>Lists!$CW:$CW</xm:f>
          </x14:formula1>
          <xm:sqref>AP724:AP725 S724:S725 C724:D725 AR724:AR725 U724:U725</xm:sqref>
        </x14:dataValidation>
        <x14:dataValidation type="list" allowBlank="1" showInputMessage="1" showErrorMessage="1" xr:uid="{04B41EB1-9C78-F142-8BE2-40ACC9656669}">
          <x14:formula1>
            <xm:f>Lists!$CG:$CG</xm:f>
          </x14:formula1>
          <xm:sqref>R2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dimension ref="A1:AY202"/>
  <sheetViews>
    <sheetView zoomScale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3" sqref="A3"/>
    </sheetView>
  </sheetViews>
  <sheetFormatPr baseColWidth="10" defaultRowHeight="16" x14ac:dyDescent="0.2"/>
  <cols>
    <col min="2" max="2" width="10.83203125" style="8"/>
    <col min="4" max="4" width="10.83203125" style="5" customWidth="1"/>
    <col min="6" max="6" width="10.83203125" style="5"/>
    <col min="7" max="7" width="10.83203125" style="8"/>
    <col min="8" max="8" width="10.83203125" style="6"/>
    <col min="14" max="14" width="10.83203125" hidden="1" customWidth="1"/>
    <col min="15" max="15" width="10.83203125" style="6"/>
    <col min="16" max="16" width="10.83203125" style="8"/>
    <col min="21" max="21" width="10.83203125" hidden="1" customWidth="1"/>
    <col min="23" max="23" width="10.83203125" style="8"/>
    <col min="24" max="24" width="10.83203125" style="8" hidden="1" customWidth="1"/>
    <col min="26" max="26" width="10.83203125" hidden="1" customWidth="1"/>
    <col min="28" max="28" width="10.83203125" hidden="1" customWidth="1"/>
    <col min="33" max="33" width="12.6640625" customWidth="1"/>
    <col min="44" max="44" width="34.6640625" customWidth="1"/>
  </cols>
  <sheetData>
    <row r="1" spans="1:51" s="3" customFormat="1" ht="68" x14ac:dyDescent="0.2">
      <c r="A1" s="3" t="s">
        <v>289</v>
      </c>
      <c r="B1" s="11" t="s">
        <v>1</v>
      </c>
      <c r="C1" s="3" t="s">
        <v>292</v>
      </c>
      <c r="D1" s="10" t="s">
        <v>293</v>
      </c>
      <c r="E1" s="3" t="s">
        <v>294</v>
      </c>
      <c r="F1" s="10" t="s">
        <v>295</v>
      </c>
      <c r="G1" s="11" t="s">
        <v>290</v>
      </c>
      <c r="H1" s="14" t="s">
        <v>291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302</v>
      </c>
      <c r="O1" s="14" t="s">
        <v>301</v>
      </c>
      <c r="P1" s="11" t="s">
        <v>303</v>
      </c>
      <c r="Q1" s="3" t="s">
        <v>304</v>
      </c>
      <c r="R1" s="3" t="s">
        <v>305</v>
      </c>
      <c r="S1" s="3" t="s">
        <v>306</v>
      </c>
      <c r="T1" s="3" t="s">
        <v>307</v>
      </c>
      <c r="U1" s="3" t="s">
        <v>309</v>
      </c>
      <c r="V1" s="3" t="s">
        <v>308</v>
      </c>
      <c r="W1" s="12" t="s">
        <v>310</v>
      </c>
      <c r="X1" s="15" t="s">
        <v>311</v>
      </c>
      <c r="Y1" s="13" t="s">
        <v>312</v>
      </c>
      <c r="Z1" s="19" t="s">
        <v>313</v>
      </c>
      <c r="AA1" s="13" t="s">
        <v>314</v>
      </c>
      <c r="AB1" s="19" t="s">
        <v>315</v>
      </c>
      <c r="AC1" s="13" t="s">
        <v>316</v>
      </c>
      <c r="AD1" s="3" t="s">
        <v>269</v>
      </c>
      <c r="AE1" s="3" t="s">
        <v>270</v>
      </c>
      <c r="AF1" s="3" t="s">
        <v>271</v>
      </c>
      <c r="AG1" s="3" t="s">
        <v>393</v>
      </c>
      <c r="AH1" s="3" t="s">
        <v>392</v>
      </c>
      <c r="AI1" s="3" t="s">
        <v>394</v>
      </c>
      <c r="AJ1" s="3" t="s">
        <v>378</v>
      </c>
      <c r="AK1" s="3" t="s">
        <v>379</v>
      </c>
      <c r="AL1" s="3" t="s">
        <v>380</v>
      </c>
      <c r="AM1" s="3" t="s">
        <v>381</v>
      </c>
      <c r="AN1" s="3" t="s">
        <v>383</v>
      </c>
      <c r="AO1" s="3" t="s">
        <v>382</v>
      </c>
      <c r="AP1" s="3" t="s">
        <v>384</v>
      </c>
      <c r="AQ1" s="3" t="s">
        <v>385</v>
      </c>
      <c r="AR1" s="3" t="s">
        <v>386</v>
      </c>
      <c r="AS1" s="3" t="s">
        <v>395</v>
      </c>
      <c r="AT1" s="3" t="s">
        <v>396</v>
      </c>
      <c r="AU1" s="3" t="s">
        <v>397</v>
      </c>
      <c r="AV1" s="22" t="s">
        <v>429</v>
      </c>
      <c r="AW1" s="22" t="s">
        <v>436</v>
      </c>
      <c r="AX1" s="3" t="s">
        <v>437</v>
      </c>
      <c r="AY1" s="3" t="s">
        <v>438</v>
      </c>
    </row>
    <row r="2" spans="1:51" x14ac:dyDescent="0.2">
      <c r="A2">
        <v>1</v>
      </c>
      <c r="B2" s="8">
        <v>1</v>
      </c>
      <c r="C2">
        <v>18</v>
      </c>
      <c r="D2" s="5" t="s">
        <v>446</v>
      </c>
      <c r="G2" s="8" t="s">
        <v>320</v>
      </c>
      <c r="O2" s="6">
        <v>38</v>
      </c>
      <c r="V2">
        <v>39</v>
      </c>
      <c r="W2" s="8">
        <f>SUMIFS(events!AV:AV,events!M:M,"=DeadIce",events!AW:AW,"&lt;="&amp;shifts!AG2,events!AX:AX,"&gt;"&amp;shifts!AH2,events!U:U,"="&amp;shifts!B3)+SUMIFS(events!AV:AV,events!M:M,"=Timeout",events!AW:AW,"&lt;="&amp;shifts!AG2,events!AX:AX,"&gt;"&amp;shifts!AH2,events!U:U,"="&amp;shifts!B3)</f>
        <v>0</v>
      </c>
      <c r="AB2">
        <v>1</v>
      </c>
      <c r="AD2">
        <v>18965</v>
      </c>
      <c r="AE2" t="s">
        <v>834</v>
      </c>
      <c r="AF2" t="s">
        <v>611</v>
      </c>
      <c r="AG2" s="5">
        <f>((C2*60)+D2)</f>
        <v>1080</v>
      </c>
      <c r="AH2" s="5">
        <f>((E2*60)+F2)</f>
        <v>0</v>
      </c>
      <c r="AI2" s="16">
        <f>ROUND(AG2-AH2,0)</f>
        <v>1080</v>
      </c>
      <c r="AJ2">
        <f>COUNTIF(I2:N2,"&gt;0")</f>
        <v>0</v>
      </c>
      <c r="AK2">
        <f>COUNTIF(P2:U2,"&gt;0")</f>
        <v>0</v>
      </c>
      <c r="AL2">
        <f>IF(O2="",1,0)</f>
        <v>0</v>
      </c>
      <c r="AM2">
        <f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>IF(AN2=1,1,0)</f>
        <v>0</v>
      </c>
      <c r="AQ2">
        <f>IF(AO2=1,1,0)</f>
        <v>0</v>
      </c>
      <c r="AR2" t="str">
        <f>IF(AND(AJ2=5,AK2=5,AL2=0,AM2=0),"Full Strength",IF(AP2=1,"Away PowerPlay",IF(AO2=1,"Home PowerPlay",IF(AL2=1,"Home EmptyNet",IF(AM2=1,"Away EmptyNet","")))))</f>
        <v/>
      </c>
      <c r="AS2" t="str">
        <f>IF(AND(AL2=0,AM2=0),AJ2&amp;"v"&amp;AK2,IF(AL2=1,AJ2&amp;"v"&amp;AK2&amp;" Home EN",IF(AM2=1,AJ2&amp;"v"&amp;AK2&amp;" Away EN","")))</f>
        <v>0v0</v>
      </c>
      <c r="AT2">
        <v>0</v>
      </c>
      <c r="AU2">
        <v>0</v>
      </c>
      <c r="AV2">
        <f>IFERROR(VLOOKUP(B2,events!U:BC,24,FALSE),0)</f>
        <v>1</v>
      </c>
      <c r="AW2">
        <f>ROUND(IF(G2="Intermission",AW1,((1080)-((C2*60)+D2))+AV2),0)</f>
        <v>1</v>
      </c>
      <c r="AX2">
        <f>IF(AW2&lt;5,0,AW2-5)</f>
        <v>0</v>
      </c>
      <c r="AY2" s="5">
        <f>AX2+AI2+3</f>
        <v>1083</v>
      </c>
    </row>
    <row r="3" spans="1:51" x14ac:dyDescent="0.2">
      <c r="A3">
        <v>2</v>
      </c>
      <c r="B3" s="8">
        <f>IF(G3="PeriodStart",B2+1,B2)</f>
        <v>1</v>
      </c>
      <c r="C3">
        <f>IF(G3&lt;&gt;"PeriodStart",E2,18)</f>
        <v>0</v>
      </c>
      <c r="D3" s="5">
        <f>F2</f>
        <v>0</v>
      </c>
      <c r="I3" t="str">
        <f>IF($D3&gt;0,I2,"")</f>
        <v/>
      </c>
      <c r="J3" t="str">
        <f>IF($D3&gt;0,J2,"")</f>
        <v/>
      </c>
      <c r="K3" t="str">
        <f>IF($D3&gt;0,K2,"")</f>
        <v/>
      </c>
      <c r="L3" t="str">
        <f>IF($D3&gt;0,L2,"")</f>
        <v/>
      </c>
      <c r="M3" t="str">
        <f>IF($D3&gt;0,M2,"")</f>
        <v/>
      </c>
      <c r="O3" s="6">
        <f>O2</f>
        <v>38</v>
      </c>
      <c r="P3" s="8" t="str">
        <f t="shared" ref="P3:P66" si="0">IF($D3&gt;0,P2,"")</f>
        <v/>
      </c>
      <c r="Q3" t="str">
        <f t="shared" ref="Q3:Q66" si="1">IF($D3&gt;0,Q2,"")</f>
        <v/>
      </c>
      <c r="R3" t="str">
        <f t="shared" ref="R3:R66" si="2">IF($D3&gt;0,R2,"")</f>
        <v/>
      </c>
      <c r="S3" t="str">
        <f t="shared" ref="S3:S66" si="3">IF($D3&gt;0,S2,"")</f>
        <v/>
      </c>
      <c r="T3" t="str">
        <f t="shared" ref="T3:T66" si="4">IF($D3&gt;0,T2,"")</f>
        <v/>
      </c>
      <c r="V3">
        <f>V2</f>
        <v>39</v>
      </c>
      <c r="W3" s="8">
        <f>SUMIFS(events!AV:AV,events!M:M,"=DeadIce",events!AW:AW,"&lt;="&amp;shifts!AG3,events!AX:AX,"&gt;"&amp;shifts!AH3,events!U:U,"="&amp;shifts!B4)+SUMIFS(events!AV:AV,events!M:M,"=Timeout",events!AW:AW,"&lt;="&amp;shifts!AG3,events!AX:AX,"&gt;"&amp;shifts!AH3,events!U:U,"="&amp;shifts!B4)</f>
        <v>0</v>
      </c>
      <c r="X3" s="8" t="str">
        <f>IF(OR($H2="Home Goal",$H2="Away Goal",$H2="Period End"),"",IF(Y2=1,1,""))</f>
        <v/>
      </c>
      <c r="Z3" t="str">
        <f>IF(OR($H2="Home Goal",$H2="Away Goal",$H2="Period End"),"",IF(AA2=1,1,""))</f>
        <v/>
      </c>
      <c r="AB3" t="str">
        <f>IF(OR($H2="Home Goal",$H2="Away Goal",$H2="Period End"),1,IF(AC2=1,1,""))</f>
        <v/>
      </c>
      <c r="AG3" s="5">
        <f>((C3*60)+D3)</f>
        <v>0</v>
      </c>
      <c r="AH3" s="5">
        <f>((E3*60)+F3)</f>
        <v>0</v>
      </c>
      <c r="AI3" s="16">
        <f>ROUND(AG3-AH3,0)</f>
        <v>0</v>
      </c>
      <c r="AJ3">
        <f>COUNTIF(I3:N3,"&gt;0")</f>
        <v>0</v>
      </c>
      <c r="AK3">
        <f>COUNTIF(P3:U3,"&gt;0")</f>
        <v>0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>IF(AN3=1,1,0)</f>
        <v>0</v>
      </c>
      <c r="AQ3">
        <f>IF(AO3=1,1,0)</f>
        <v>0</v>
      </c>
      <c r="AT3">
        <f>IF($H2="Home Goal",AT2+1,AT2)</f>
        <v>0</v>
      </c>
      <c r="AU3">
        <f>IF($H2="Away Goal",AU2+1,AU2)</f>
        <v>0</v>
      </c>
      <c r="AV3">
        <f>IFERROR(VLOOKUP(B3,events!U:BC,24,FALSE),AV2)</f>
        <v>1</v>
      </c>
      <c r="AW3">
        <f>ROUND(IF(G3="Intermission",AW2,((1080)-((C3*60)+D3))+AV3),0)</f>
        <v>1081</v>
      </c>
      <c r="AX3">
        <f>IF(AW3&lt;5,0,AW3-5)</f>
        <v>1076</v>
      </c>
      <c r="AY3" s="5">
        <f>AX3+AI3+3</f>
        <v>1079</v>
      </c>
    </row>
    <row r="4" spans="1:51" x14ac:dyDescent="0.2">
      <c r="A4">
        <v>3</v>
      </c>
      <c r="B4" s="8">
        <f t="shared" ref="B4:B67" si="5">IF(G4="PeriodStart",B3+1,B3)</f>
        <v>1</v>
      </c>
      <c r="C4">
        <f>IF(G4&lt;&gt;"PeriodStart",E3,18)</f>
        <v>0</v>
      </c>
      <c r="D4" s="5">
        <f>F3</f>
        <v>0</v>
      </c>
      <c r="I4" t="str">
        <f t="shared" ref="I4:I67" si="6">IF($D4&gt;0,I3,"")</f>
        <v/>
      </c>
      <c r="J4" t="str">
        <f t="shared" ref="J4:J67" si="7">IF($D4&gt;0,J3,"")</f>
        <v/>
      </c>
      <c r="K4" t="str">
        <f t="shared" ref="K4:K67" si="8">IF($D4&gt;0,K3,"")</f>
        <v/>
      </c>
      <c r="L4" t="str">
        <f t="shared" ref="L4:L67" si="9">IF($D4&gt;0,L3,"")</f>
        <v/>
      </c>
      <c r="M4" t="str">
        <f t="shared" ref="M4:M67" si="10">IF($D4&gt;0,M3,"")</f>
        <v/>
      </c>
      <c r="O4" s="6">
        <f t="shared" ref="O4:O67" si="11">O3</f>
        <v>38</v>
      </c>
      <c r="P4" s="8" t="str">
        <f t="shared" si="0"/>
        <v/>
      </c>
      <c r="Q4" t="str">
        <f t="shared" si="1"/>
        <v/>
      </c>
      <c r="R4" t="str">
        <f t="shared" si="2"/>
        <v/>
      </c>
      <c r="S4" t="str">
        <f t="shared" si="3"/>
        <v/>
      </c>
      <c r="T4" t="str">
        <f t="shared" si="4"/>
        <v/>
      </c>
      <c r="V4">
        <f t="shared" ref="V4:V67" si="12">V3</f>
        <v>39</v>
      </c>
      <c r="AG4" s="5"/>
      <c r="AH4" s="5"/>
      <c r="AI4" s="16"/>
      <c r="AY4" s="5"/>
    </row>
    <row r="5" spans="1:51" x14ac:dyDescent="0.2">
      <c r="A5">
        <f t="shared" ref="A5:A68" si="13">A4+1</f>
        <v>4</v>
      </c>
      <c r="B5" s="8">
        <f t="shared" si="5"/>
        <v>1</v>
      </c>
      <c r="C5">
        <f t="shared" ref="C5:C67" si="14">IF(G5&lt;&gt;"PeriodStart",E4,18)</f>
        <v>0</v>
      </c>
      <c r="D5" s="5">
        <f t="shared" ref="D5:D67" si="15">F4</f>
        <v>0</v>
      </c>
      <c r="I5" t="str">
        <f t="shared" si="6"/>
        <v/>
      </c>
      <c r="J5" t="str">
        <f t="shared" si="7"/>
        <v/>
      </c>
      <c r="K5" t="str">
        <f t="shared" si="8"/>
        <v/>
      </c>
      <c r="L5" t="str">
        <f t="shared" si="9"/>
        <v/>
      </c>
      <c r="M5" t="str">
        <f t="shared" si="10"/>
        <v/>
      </c>
      <c r="O5" s="6">
        <f t="shared" si="11"/>
        <v>38</v>
      </c>
      <c r="P5" s="8" t="str">
        <f t="shared" si="0"/>
        <v/>
      </c>
      <c r="Q5" t="str">
        <f t="shared" si="1"/>
        <v/>
      </c>
      <c r="R5" t="str">
        <f t="shared" si="2"/>
        <v/>
      </c>
      <c r="S5" t="str">
        <f t="shared" si="3"/>
        <v/>
      </c>
      <c r="T5" t="str">
        <f t="shared" si="4"/>
        <v/>
      </c>
      <c r="V5">
        <f t="shared" si="12"/>
        <v>39</v>
      </c>
      <c r="AG5" s="5"/>
      <c r="AH5" s="5"/>
      <c r="AI5" s="16"/>
      <c r="AY5" s="5"/>
    </row>
    <row r="6" spans="1:51" x14ac:dyDescent="0.2">
      <c r="A6">
        <f t="shared" si="13"/>
        <v>5</v>
      </c>
      <c r="B6" s="8">
        <f t="shared" si="5"/>
        <v>1</v>
      </c>
      <c r="C6">
        <f t="shared" si="14"/>
        <v>0</v>
      </c>
      <c r="D6" s="5">
        <f t="shared" si="15"/>
        <v>0</v>
      </c>
      <c r="I6" t="str">
        <f t="shared" si="6"/>
        <v/>
      </c>
      <c r="J6" t="str">
        <f t="shared" si="7"/>
        <v/>
      </c>
      <c r="K6" t="str">
        <f t="shared" si="8"/>
        <v/>
      </c>
      <c r="L6" t="str">
        <f t="shared" si="9"/>
        <v/>
      </c>
      <c r="M6" t="str">
        <f t="shared" si="10"/>
        <v/>
      </c>
      <c r="N6">
        <f>N5</f>
        <v>0</v>
      </c>
      <c r="O6" s="6">
        <f t="shared" si="11"/>
        <v>38</v>
      </c>
      <c r="P6" s="8" t="str">
        <f t="shared" si="0"/>
        <v/>
      </c>
      <c r="Q6" t="str">
        <f t="shared" si="1"/>
        <v/>
      </c>
      <c r="R6" t="str">
        <f t="shared" si="2"/>
        <v/>
      </c>
      <c r="S6" t="str">
        <f t="shared" si="3"/>
        <v/>
      </c>
      <c r="T6" t="str">
        <f t="shared" si="4"/>
        <v/>
      </c>
      <c r="V6">
        <f t="shared" si="12"/>
        <v>39</v>
      </c>
      <c r="AG6" s="5"/>
      <c r="AH6" s="5"/>
      <c r="AI6" s="16"/>
      <c r="AY6" s="5"/>
    </row>
    <row r="7" spans="1:51" x14ac:dyDescent="0.2">
      <c r="A7">
        <f t="shared" si="13"/>
        <v>6</v>
      </c>
      <c r="B7" s="8">
        <f t="shared" si="5"/>
        <v>1</v>
      </c>
      <c r="C7">
        <f t="shared" si="14"/>
        <v>0</v>
      </c>
      <c r="D7" s="5">
        <f t="shared" si="15"/>
        <v>0</v>
      </c>
      <c r="I7" t="str">
        <f t="shared" si="6"/>
        <v/>
      </c>
      <c r="J7" t="str">
        <f t="shared" si="7"/>
        <v/>
      </c>
      <c r="K7" t="str">
        <f t="shared" si="8"/>
        <v/>
      </c>
      <c r="L7" t="str">
        <f t="shared" si="9"/>
        <v/>
      </c>
      <c r="M7" t="str">
        <f t="shared" si="10"/>
        <v/>
      </c>
      <c r="O7" s="6">
        <f t="shared" si="11"/>
        <v>38</v>
      </c>
      <c r="P7" s="8" t="str">
        <f t="shared" si="0"/>
        <v/>
      </c>
      <c r="Q7" t="str">
        <f t="shared" si="1"/>
        <v/>
      </c>
      <c r="R7" t="str">
        <f t="shared" si="2"/>
        <v/>
      </c>
      <c r="S7" t="str">
        <f t="shared" si="3"/>
        <v/>
      </c>
      <c r="T7" t="str">
        <f t="shared" si="4"/>
        <v/>
      </c>
      <c r="V7">
        <f t="shared" si="12"/>
        <v>39</v>
      </c>
      <c r="AG7" s="5"/>
      <c r="AH7" s="5"/>
      <c r="AI7" s="16"/>
      <c r="AY7" s="5"/>
    </row>
    <row r="8" spans="1:51" x14ac:dyDescent="0.2">
      <c r="A8">
        <f t="shared" si="13"/>
        <v>7</v>
      </c>
      <c r="B8" s="8">
        <f t="shared" si="5"/>
        <v>1</v>
      </c>
      <c r="C8">
        <f t="shared" si="14"/>
        <v>0</v>
      </c>
      <c r="D8" s="5">
        <f t="shared" si="15"/>
        <v>0</v>
      </c>
      <c r="I8" t="str">
        <f t="shared" si="6"/>
        <v/>
      </c>
      <c r="J8" t="str">
        <f t="shared" si="7"/>
        <v/>
      </c>
      <c r="K8" t="str">
        <f t="shared" si="8"/>
        <v/>
      </c>
      <c r="L8" t="str">
        <f t="shared" si="9"/>
        <v/>
      </c>
      <c r="M8" t="str">
        <f t="shared" si="10"/>
        <v/>
      </c>
      <c r="O8" s="6">
        <f t="shared" si="11"/>
        <v>38</v>
      </c>
      <c r="P8" s="8" t="str">
        <f t="shared" si="0"/>
        <v/>
      </c>
      <c r="Q8" t="str">
        <f t="shared" si="1"/>
        <v/>
      </c>
      <c r="R8" t="str">
        <f t="shared" si="2"/>
        <v/>
      </c>
      <c r="S8" t="str">
        <f t="shared" si="3"/>
        <v/>
      </c>
      <c r="T8" t="str">
        <f t="shared" si="4"/>
        <v/>
      </c>
      <c r="V8">
        <f t="shared" si="12"/>
        <v>39</v>
      </c>
      <c r="AG8" s="5"/>
      <c r="AH8" s="5"/>
      <c r="AI8" s="16"/>
      <c r="AY8" s="5"/>
    </row>
    <row r="9" spans="1:51" x14ac:dyDescent="0.2">
      <c r="A9">
        <f t="shared" si="13"/>
        <v>8</v>
      </c>
      <c r="B9" s="8">
        <f t="shared" si="5"/>
        <v>1</v>
      </c>
      <c r="C9">
        <f t="shared" si="14"/>
        <v>0</v>
      </c>
      <c r="D9" s="5">
        <f t="shared" si="15"/>
        <v>0</v>
      </c>
      <c r="I9" t="str">
        <f t="shared" si="6"/>
        <v/>
      </c>
      <c r="J9" t="str">
        <f t="shared" si="7"/>
        <v/>
      </c>
      <c r="K9" t="str">
        <f t="shared" si="8"/>
        <v/>
      </c>
      <c r="L9" t="str">
        <f t="shared" si="9"/>
        <v/>
      </c>
      <c r="M9" t="str">
        <f t="shared" si="10"/>
        <v/>
      </c>
      <c r="O9" s="6">
        <f t="shared" si="11"/>
        <v>38</v>
      </c>
      <c r="P9" s="8" t="str">
        <f t="shared" si="0"/>
        <v/>
      </c>
      <c r="Q9" t="str">
        <f t="shared" si="1"/>
        <v/>
      </c>
      <c r="R9" t="str">
        <f t="shared" si="2"/>
        <v/>
      </c>
      <c r="S9" t="str">
        <f t="shared" si="3"/>
        <v/>
      </c>
      <c r="T9" t="str">
        <f t="shared" si="4"/>
        <v/>
      </c>
      <c r="V9">
        <f t="shared" si="12"/>
        <v>39</v>
      </c>
      <c r="AG9" s="5"/>
      <c r="AH9" s="5"/>
      <c r="AI9" s="16"/>
      <c r="AY9" s="5"/>
    </row>
    <row r="10" spans="1:51" x14ac:dyDescent="0.2">
      <c r="A10">
        <f t="shared" si="13"/>
        <v>9</v>
      </c>
      <c r="B10" s="8">
        <f t="shared" si="5"/>
        <v>1</v>
      </c>
      <c r="C10">
        <f t="shared" si="14"/>
        <v>0</v>
      </c>
      <c r="D10" s="5">
        <f t="shared" si="15"/>
        <v>0</v>
      </c>
      <c r="I10" t="str">
        <f t="shared" si="6"/>
        <v/>
      </c>
      <c r="J10" t="str">
        <f t="shared" si="7"/>
        <v/>
      </c>
      <c r="K10" t="str">
        <f t="shared" si="8"/>
        <v/>
      </c>
      <c r="L10" t="str">
        <f t="shared" si="9"/>
        <v/>
      </c>
      <c r="M10" t="str">
        <f t="shared" si="10"/>
        <v/>
      </c>
      <c r="O10" s="6">
        <f t="shared" si="11"/>
        <v>38</v>
      </c>
      <c r="P10" s="8" t="str">
        <f t="shared" si="0"/>
        <v/>
      </c>
      <c r="Q10" t="str">
        <f t="shared" si="1"/>
        <v/>
      </c>
      <c r="R10" t="str">
        <f t="shared" si="2"/>
        <v/>
      </c>
      <c r="S10" t="str">
        <f t="shared" si="3"/>
        <v/>
      </c>
      <c r="T10" t="str">
        <f t="shared" si="4"/>
        <v/>
      </c>
      <c r="V10">
        <f t="shared" si="12"/>
        <v>39</v>
      </c>
      <c r="AG10" s="5"/>
      <c r="AH10" s="5"/>
      <c r="AI10" s="16"/>
      <c r="AY10" s="5"/>
    </row>
    <row r="11" spans="1:51" x14ac:dyDescent="0.2">
      <c r="A11">
        <f t="shared" si="13"/>
        <v>10</v>
      </c>
      <c r="B11" s="8">
        <f t="shared" si="5"/>
        <v>1</v>
      </c>
      <c r="C11">
        <f t="shared" si="14"/>
        <v>0</v>
      </c>
      <c r="D11" s="5">
        <f t="shared" si="15"/>
        <v>0</v>
      </c>
      <c r="I11" t="str">
        <f t="shared" si="6"/>
        <v/>
      </c>
      <c r="J11" t="str">
        <f t="shared" si="7"/>
        <v/>
      </c>
      <c r="K11" t="str">
        <f t="shared" si="8"/>
        <v/>
      </c>
      <c r="L11" t="str">
        <f t="shared" si="9"/>
        <v/>
      </c>
      <c r="M11" t="str">
        <f t="shared" si="10"/>
        <v/>
      </c>
      <c r="O11" s="6">
        <f t="shared" si="11"/>
        <v>38</v>
      </c>
      <c r="P11" s="8" t="str">
        <f t="shared" si="0"/>
        <v/>
      </c>
      <c r="Q11" t="str">
        <f t="shared" si="1"/>
        <v/>
      </c>
      <c r="R11" t="str">
        <f t="shared" si="2"/>
        <v/>
      </c>
      <c r="S11" t="str">
        <f t="shared" si="3"/>
        <v/>
      </c>
      <c r="T11" t="str">
        <f t="shared" si="4"/>
        <v/>
      </c>
      <c r="V11">
        <f t="shared" si="12"/>
        <v>39</v>
      </c>
      <c r="AG11" s="5"/>
      <c r="AH11" s="5"/>
      <c r="AI11" s="16"/>
      <c r="AY11" s="5"/>
    </row>
    <row r="12" spans="1:51" x14ac:dyDescent="0.2">
      <c r="A12">
        <f t="shared" si="13"/>
        <v>11</v>
      </c>
      <c r="B12" s="8">
        <f t="shared" si="5"/>
        <v>1</v>
      </c>
      <c r="C12">
        <f t="shared" si="14"/>
        <v>0</v>
      </c>
      <c r="D12" s="5">
        <f t="shared" si="15"/>
        <v>0</v>
      </c>
      <c r="I12" t="str">
        <f t="shared" si="6"/>
        <v/>
      </c>
      <c r="J12" t="str">
        <f t="shared" si="7"/>
        <v/>
      </c>
      <c r="K12" t="str">
        <f t="shared" si="8"/>
        <v/>
      </c>
      <c r="L12" t="str">
        <f t="shared" si="9"/>
        <v/>
      </c>
      <c r="M12" t="str">
        <f t="shared" si="10"/>
        <v/>
      </c>
      <c r="O12" s="6">
        <f t="shared" si="11"/>
        <v>38</v>
      </c>
      <c r="P12" s="8" t="str">
        <f t="shared" si="0"/>
        <v/>
      </c>
      <c r="Q12" t="str">
        <f t="shared" si="1"/>
        <v/>
      </c>
      <c r="R12" t="str">
        <f t="shared" si="2"/>
        <v/>
      </c>
      <c r="S12" t="str">
        <f t="shared" si="3"/>
        <v/>
      </c>
      <c r="T12" t="str">
        <f t="shared" si="4"/>
        <v/>
      </c>
      <c r="V12">
        <f t="shared" si="12"/>
        <v>39</v>
      </c>
      <c r="AG12" s="5"/>
      <c r="AH12" s="5"/>
      <c r="AI12" s="16"/>
      <c r="AY12" s="5"/>
    </row>
    <row r="13" spans="1:51" x14ac:dyDescent="0.2">
      <c r="A13">
        <f t="shared" si="13"/>
        <v>12</v>
      </c>
      <c r="B13" s="8">
        <f t="shared" si="5"/>
        <v>1</v>
      </c>
      <c r="C13">
        <f t="shared" si="14"/>
        <v>0</v>
      </c>
      <c r="D13" s="5">
        <f t="shared" si="15"/>
        <v>0</v>
      </c>
      <c r="I13" t="str">
        <f t="shared" si="6"/>
        <v/>
      </c>
      <c r="J13" t="str">
        <f t="shared" si="7"/>
        <v/>
      </c>
      <c r="K13" t="str">
        <f t="shared" si="8"/>
        <v/>
      </c>
      <c r="L13" t="str">
        <f t="shared" si="9"/>
        <v/>
      </c>
      <c r="M13" t="str">
        <f t="shared" si="10"/>
        <v/>
      </c>
      <c r="O13" s="6">
        <f t="shared" si="11"/>
        <v>38</v>
      </c>
      <c r="P13" s="8" t="str">
        <f t="shared" si="0"/>
        <v/>
      </c>
      <c r="Q13" t="str">
        <f t="shared" si="1"/>
        <v/>
      </c>
      <c r="R13" t="str">
        <f t="shared" si="2"/>
        <v/>
      </c>
      <c r="S13" t="str">
        <f t="shared" si="3"/>
        <v/>
      </c>
      <c r="T13" t="str">
        <f t="shared" si="4"/>
        <v/>
      </c>
      <c r="V13">
        <f t="shared" si="12"/>
        <v>39</v>
      </c>
      <c r="AG13" s="5"/>
      <c r="AH13" s="5"/>
      <c r="AI13" s="16"/>
      <c r="AY13" s="5"/>
    </row>
    <row r="14" spans="1:51" x14ac:dyDescent="0.2">
      <c r="A14">
        <f t="shared" si="13"/>
        <v>13</v>
      </c>
      <c r="B14" s="8">
        <f t="shared" si="5"/>
        <v>1</v>
      </c>
      <c r="C14">
        <f t="shared" si="14"/>
        <v>0</v>
      </c>
      <c r="D14" s="5">
        <f t="shared" si="15"/>
        <v>0</v>
      </c>
      <c r="I14" t="str">
        <f t="shared" si="6"/>
        <v/>
      </c>
      <c r="J14" t="str">
        <f t="shared" si="7"/>
        <v/>
      </c>
      <c r="K14" t="str">
        <f t="shared" si="8"/>
        <v/>
      </c>
      <c r="L14" t="str">
        <f t="shared" si="9"/>
        <v/>
      </c>
      <c r="M14" t="str">
        <f t="shared" si="10"/>
        <v/>
      </c>
      <c r="O14" s="6">
        <f t="shared" si="11"/>
        <v>38</v>
      </c>
      <c r="P14" s="8" t="str">
        <f t="shared" si="0"/>
        <v/>
      </c>
      <c r="Q14" t="str">
        <f t="shared" si="1"/>
        <v/>
      </c>
      <c r="R14" t="str">
        <f t="shared" si="2"/>
        <v/>
      </c>
      <c r="S14" t="str">
        <f t="shared" si="3"/>
        <v/>
      </c>
      <c r="T14" t="str">
        <f t="shared" si="4"/>
        <v/>
      </c>
      <c r="V14">
        <f t="shared" si="12"/>
        <v>39</v>
      </c>
      <c r="AG14" s="5"/>
      <c r="AH14" s="5"/>
      <c r="AI14" s="16"/>
      <c r="AY14" s="5"/>
    </row>
    <row r="15" spans="1:51" x14ac:dyDescent="0.2">
      <c r="A15">
        <f t="shared" si="13"/>
        <v>14</v>
      </c>
      <c r="B15" s="8">
        <f t="shared" si="5"/>
        <v>1</v>
      </c>
      <c r="C15">
        <f t="shared" si="14"/>
        <v>0</v>
      </c>
      <c r="D15" s="5">
        <f t="shared" si="15"/>
        <v>0</v>
      </c>
      <c r="I15" t="str">
        <f t="shared" si="6"/>
        <v/>
      </c>
      <c r="J15" t="str">
        <f t="shared" si="7"/>
        <v/>
      </c>
      <c r="K15" t="str">
        <f t="shared" si="8"/>
        <v/>
      </c>
      <c r="L15" t="str">
        <f t="shared" si="9"/>
        <v/>
      </c>
      <c r="M15" t="str">
        <f t="shared" si="10"/>
        <v/>
      </c>
      <c r="O15" s="6">
        <f t="shared" si="11"/>
        <v>38</v>
      </c>
      <c r="P15" s="8" t="str">
        <f t="shared" si="0"/>
        <v/>
      </c>
      <c r="Q15" t="str">
        <f t="shared" si="1"/>
        <v/>
      </c>
      <c r="R15" t="str">
        <f t="shared" si="2"/>
        <v/>
      </c>
      <c r="S15" t="str">
        <f t="shared" si="3"/>
        <v/>
      </c>
      <c r="T15" t="str">
        <f t="shared" si="4"/>
        <v/>
      </c>
      <c r="V15">
        <f t="shared" si="12"/>
        <v>39</v>
      </c>
      <c r="AG15" s="5"/>
      <c r="AH15" s="5"/>
      <c r="AI15" s="16"/>
      <c r="AY15" s="5"/>
    </row>
    <row r="16" spans="1:51" x14ac:dyDescent="0.2">
      <c r="A16">
        <f t="shared" si="13"/>
        <v>15</v>
      </c>
      <c r="B16" s="8">
        <f t="shared" si="5"/>
        <v>1</v>
      </c>
      <c r="C16">
        <f t="shared" si="14"/>
        <v>0</v>
      </c>
      <c r="D16" s="5">
        <f t="shared" si="15"/>
        <v>0</v>
      </c>
      <c r="I16" t="str">
        <f t="shared" si="6"/>
        <v/>
      </c>
      <c r="J16" t="str">
        <f t="shared" si="7"/>
        <v/>
      </c>
      <c r="K16" t="str">
        <f t="shared" si="8"/>
        <v/>
      </c>
      <c r="L16" t="str">
        <f t="shared" si="9"/>
        <v/>
      </c>
      <c r="M16" t="str">
        <f t="shared" si="10"/>
        <v/>
      </c>
      <c r="O16" s="6">
        <f t="shared" si="11"/>
        <v>38</v>
      </c>
      <c r="P16" s="8" t="str">
        <f t="shared" si="0"/>
        <v/>
      </c>
      <c r="Q16" t="str">
        <f t="shared" si="1"/>
        <v/>
      </c>
      <c r="R16" t="str">
        <f t="shared" si="2"/>
        <v/>
      </c>
      <c r="S16" t="str">
        <f t="shared" si="3"/>
        <v/>
      </c>
      <c r="T16" t="str">
        <f t="shared" si="4"/>
        <v/>
      </c>
      <c r="V16">
        <f t="shared" si="12"/>
        <v>39</v>
      </c>
      <c r="AG16" s="5"/>
      <c r="AH16" s="5"/>
      <c r="AI16" s="16"/>
      <c r="AY16" s="5"/>
    </row>
    <row r="17" spans="1:51" x14ac:dyDescent="0.2">
      <c r="A17">
        <f t="shared" si="13"/>
        <v>16</v>
      </c>
      <c r="B17" s="8">
        <f t="shared" si="5"/>
        <v>1</v>
      </c>
      <c r="C17">
        <f t="shared" si="14"/>
        <v>0</v>
      </c>
      <c r="D17" s="5">
        <f t="shared" si="15"/>
        <v>0</v>
      </c>
      <c r="I17" t="str">
        <f t="shared" si="6"/>
        <v/>
      </c>
      <c r="J17" t="str">
        <f t="shared" si="7"/>
        <v/>
      </c>
      <c r="K17" t="str">
        <f t="shared" si="8"/>
        <v/>
      </c>
      <c r="L17" t="str">
        <f t="shared" si="9"/>
        <v/>
      </c>
      <c r="M17" t="str">
        <f t="shared" si="10"/>
        <v/>
      </c>
      <c r="O17" s="6">
        <f t="shared" si="11"/>
        <v>38</v>
      </c>
      <c r="P17" s="8" t="str">
        <f t="shared" si="0"/>
        <v/>
      </c>
      <c r="Q17" t="str">
        <f t="shared" si="1"/>
        <v/>
      </c>
      <c r="R17" t="str">
        <f t="shared" si="2"/>
        <v/>
      </c>
      <c r="S17" t="str">
        <f t="shared" si="3"/>
        <v/>
      </c>
      <c r="T17" t="str">
        <f t="shared" si="4"/>
        <v/>
      </c>
      <c r="V17">
        <f t="shared" si="12"/>
        <v>39</v>
      </c>
      <c r="AG17" s="5"/>
      <c r="AH17" s="5"/>
      <c r="AI17" s="16"/>
      <c r="AY17" s="5"/>
    </row>
    <row r="18" spans="1:51" x14ac:dyDescent="0.2">
      <c r="A18">
        <f t="shared" si="13"/>
        <v>17</v>
      </c>
      <c r="B18" s="8">
        <f t="shared" si="5"/>
        <v>1</v>
      </c>
      <c r="C18">
        <f t="shared" si="14"/>
        <v>0</v>
      </c>
      <c r="D18" s="5">
        <f t="shared" si="15"/>
        <v>0</v>
      </c>
      <c r="I18" t="str">
        <f t="shared" si="6"/>
        <v/>
      </c>
      <c r="J18" t="str">
        <f t="shared" si="7"/>
        <v/>
      </c>
      <c r="K18" t="str">
        <f t="shared" si="8"/>
        <v/>
      </c>
      <c r="L18" t="str">
        <f t="shared" si="9"/>
        <v/>
      </c>
      <c r="M18" t="str">
        <f t="shared" si="10"/>
        <v/>
      </c>
      <c r="O18" s="6">
        <f t="shared" si="11"/>
        <v>38</v>
      </c>
      <c r="P18" s="8" t="str">
        <f t="shared" si="0"/>
        <v/>
      </c>
      <c r="Q18" t="str">
        <f t="shared" si="1"/>
        <v/>
      </c>
      <c r="R18" t="str">
        <f t="shared" si="2"/>
        <v/>
      </c>
      <c r="S18" t="str">
        <f t="shared" si="3"/>
        <v/>
      </c>
      <c r="T18" t="str">
        <f t="shared" si="4"/>
        <v/>
      </c>
      <c r="V18">
        <f t="shared" si="12"/>
        <v>39</v>
      </c>
      <c r="AG18" s="5"/>
      <c r="AH18" s="5"/>
      <c r="AI18" s="16"/>
      <c r="AY18" s="5"/>
    </row>
    <row r="19" spans="1:51" x14ac:dyDescent="0.2">
      <c r="A19">
        <f t="shared" si="13"/>
        <v>18</v>
      </c>
      <c r="B19" s="8">
        <f t="shared" si="5"/>
        <v>1</v>
      </c>
      <c r="C19">
        <f t="shared" si="14"/>
        <v>0</v>
      </c>
      <c r="D19" s="5">
        <f t="shared" si="15"/>
        <v>0</v>
      </c>
      <c r="I19" t="str">
        <f t="shared" si="6"/>
        <v/>
      </c>
      <c r="J19" t="str">
        <f t="shared" si="7"/>
        <v/>
      </c>
      <c r="K19" t="str">
        <f t="shared" si="8"/>
        <v/>
      </c>
      <c r="L19" t="str">
        <f t="shared" si="9"/>
        <v/>
      </c>
      <c r="M19" t="str">
        <f t="shared" si="10"/>
        <v/>
      </c>
      <c r="O19" s="6">
        <f t="shared" si="11"/>
        <v>38</v>
      </c>
      <c r="P19" s="8" t="str">
        <f t="shared" si="0"/>
        <v/>
      </c>
      <c r="Q19" t="str">
        <f t="shared" si="1"/>
        <v/>
      </c>
      <c r="R19" t="str">
        <f t="shared" si="2"/>
        <v/>
      </c>
      <c r="S19" t="str">
        <f t="shared" si="3"/>
        <v/>
      </c>
      <c r="T19" t="str">
        <f t="shared" si="4"/>
        <v/>
      </c>
      <c r="V19">
        <f t="shared" si="12"/>
        <v>39</v>
      </c>
      <c r="AG19" s="5"/>
      <c r="AH19" s="5"/>
      <c r="AI19" s="16"/>
      <c r="AY19" s="5"/>
    </row>
    <row r="20" spans="1:51" x14ac:dyDescent="0.2">
      <c r="A20">
        <f t="shared" si="13"/>
        <v>19</v>
      </c>
      <c r="B20" s="8">
        <f t="shared" si="5"/>
        <v>1</v>
      </c>
      <c r="C20">
        <f t="shared" si="14"/>
        <v>0</v>
      </c>
      <c r="D20" s="5">
        <f t="shared" si="15"/>
        <v>0</v>
      </c>
      <c r="I20" t="str">
        <f t="shared" si="6"/>
        <v/>
      </c>
      <c r="J20" t="str">
        <f t="shared" si="7"/>
        <v/>
      </c>
      <c r="K20" t="str">
        <f t="shared" si="8"/>
        <v/>
      </c>
      <c r="L20" t="str">
        <f t="shared" si="9"/>
        <v/>
      </c>
      <c r="M20" t="str">
        <f t="shared" si="10"/>
        <v/>
      </c>
      <c r="O20" s="6">
        <f t="shared" si="11"/>
        <v>38</v>
      </c>
      <c r="P20" s="8" t="str">
        <f t="shared" si="0"/>
        <v/>
      </c>
      <c r="Q20" t="str">
        <f t="shared" si="1"/>
        <v/>
      </c>
      <c r="R20" t="str">
        <f t="shared" si="2"/>
        <v/>
      </c>
      <c r="S20" t="str">
        <f t="shared" si="3"/>
        <v/>
      </c>
      <c r="T20" t="str">
        <f t="shared" si="4"/>
        <v/>
      </c>
      <c r="V20">
        <f t="shared" si="12"/>
        <v>39</v>
      </c>
      <c r="AG20" s="5"/>
      <c r="AH20" s="5"/>
      <c r="AI20" s="16"/>
      <c r="AY20" s="5"/>
    </row>
    <row r="21" spans="1:51" x14ac:dyDescent="0.2">
      <c r="A21">
        <f t="shared" si="13"/>
        <v>20</v>
      </c>
      <c r="B21" s="8">
        <f t="shared" si="5"/>
        <v>1</v>
      </c>
      <c r="C21">
        <f t="shared" si="14"/>
        <v>0</v>
      </c>
      <c r="D21" s="5">
        <f t="shared" si="15"/>
        <v>0</v>
      </c>
      <c r="I21" t="str">
        <f t="shared" si="6"/>
        <v/>
      </c>
      <c r="J21" t="str">
        <f t="shared" si="7"/>
        <v/>
      </c>
      <c r="K21" t="str">
        <f t="shared" si="8"/>
        <v/>
      </c>
      <c r="L21" t="str">
        <f t="shared" si="9"/>
        <v/>
      </c>
      <c r="M21" t="str">
        <f t="shared" si="10"/>
        <v/>
      </c>
      <c r="O21" s="6">
        <f t="shared" si="11"/>
        <v>38</v>
      </c>
      <c r="P21" s="8" t="str">
        <f t="shared" si="0"/>
        <v/>
      </c>
      <c r="Q21" t="str">
        <f t="shared" si="1"/>
        <v/>
      </c>
      <c r="R21" t="str">
        <f t="shared" si="2"/>
        <v/>
      </c>
      <c r="S21" t="str">
        <f t="shared" si="3"/>
        <v/>
      </c>
      <c r="T21" t="str">
        <f t="shared" si="4"/>
        <v/>
      </c>
      <c r="V21">
        <f t="shared" si="12"/>
        <v>39</v>
      </c>
      <c r="AG21" s="5"/>
      <c r="AH21" s="5"/>
      <c r="AI21" s="16"/>
      <c r="AY21" s="5"/>
    </row>
    <row r="22" spans="1:51" x14ac:dyDescent="0.2">
      <c r="A22">
        <f t="shared" si="13"/>
        <v>21</v>
      </c>
      <c r="B22" s="8">
        <f t="shared" si="5"/>
        <v>1</v>
      </c>
      <c r="C22">
        <f t="shared" si="14"/>
        <v>0</v>
      </c>
      <c r="D22" s="5">
        <f t="shared" si="15"/>
        <v>0</v>
      </c>
      <c r="I22" t="str">
        <f t="shared" si="6"/>
        <v/>
      </c>
      <c r="J22" t="str">
        <f t="shared" si="7"/>
        <v/>
      </c>
      <c r="K22" t="str">
        <f t="shared" si="8"/>
        <v/>
      </c>
      <c r="L22" t="str">
        <f t="shared" si="9"/>
        <v/>
      </c>
      <c r="M22" t="str">
        <f t="shared" si="10"/>
        <v/>
      </c>
      <c r="O22" s="6">
        <f t="shared" si="11"/>
        <v>38</v>
      </c>
      <c r="P22" s="8" t="str">
        <f t="shared" si="0"/>
        <v/>
      </c>
      <c r="Q22" t="str">
        <f t="shared" si="1"/>
        <v/>
      </c>
      <c r="R22" t="str">
        <f t="shared" si="2"/>
        <v/>
      </c>
      <c r="S22" t="str">
        <f t="shared" si="3"/>
        <v/>
      </c>
      <c r="T22" t="str">
        <f t="shared" si="4"/>
        <v/>
      </c>
      <c r="V22">
        <f t="shared" si="12"/>
        <v>39</v>
      </c>
      <c r="AG22" s="5"/>
      <c r="AH22" s="5"/>
      <c r="AI22" s="16"/>
      <c r="AY22" s="5"/>
    </row>
    <row r="23" spans="1:51" x14ac:dyDescent="0.2">
      <c r="A23">
        <f t="shared" si="13"/>
        <v>22</v>
      </c>
      <c r="B23" s="8">
        <f t="shared" si="5"/>
        <v>1</v>
      </c>
      <c r="C23">
        <f t="shared" si="14"/>
        <v>0</v>
      </c>
      <c r="D23" s="5">
        <f t="shared" si="15"/>
        <v>0</v>
      </c>
      <c r="I23" t="str">
        <f t="shared" si="6"/>
        <v/>
      </c>
      <c r="J23" t="str">
        <f t="shared" si="7"/>
        <v/>
      </c>
      <c r="K23" t="str">
        <f t="shared" si="8"/>
        <v/>
      </c>
      <c r="L23" t="str">
        <f t="shared" si="9"/>
        <v/>
      </c>
      <c r="M23" t="str">
        <f t="shared" si="10"/>
        <v/>
      </c>
      <c r="O23" s="6">
        <f t="shared" si="11"/>
        <v>38</v>
      </c>
      <c r="P23" s="8" t="str">
        <f t="shared" si="0"/>
        <v/>
      </c>
      <c r="Q23" t="str">
        <f t="shared" si="1"/>
        <v/>
      </c>
      <c r="R23" t="str">
        <f t="shared" si="2"/>
        <v/>
      </c>
      <c r="S23" t="str">
        <f t="shared" si="3"/>
        <v/>
      </c>
      <c r="T23" t="str">
        <f t="shared" si="4"/>
        <v/>
      </c>
      <c r="V23">
        <f t="shared" si="12"/>
        <v>39</v>
      </c>
      <c r="AG23" s="5"/>
      <c r="AH23" s="5"/>
      <c r="AI23" s="16"/>
      <c r="AY23" s="5"/>
    </row>
    <row r="24" spans="1:51" x14ac:dyDescent="0.2">
      <c r="A24">
        <f t="shared" si="13"/>
        <v>23</v>
      </c>
      <c r="B24" s="8">
        <f t="shared" si="5"/>
        <v>1</v>
      </c>
      <c r="C24">
        <f t="shared" si="14"/>
        <v>0</v>
      </c>
      <c r="D24" s="5">
        <f t="shared" si="15"/>
        <v>0</v>
      </c>
      <c r="I24" t="str">
        <f t="shared" si="6"/>
        <v/>
      </c>
      <c r="J24" t="str">
        <f t="shared" si="7"/>
        <v/>
      </c>
      <c r="K24" t="str">
        <f t="shared" si="8"/>
        <v/>
      </c>
      <c r="L24" t="str">
        <f t="shared" si="9"/>
        <v/>
      </c>
      <c r="M24" t="str">
        <f t="shared" si="10"/>
        <v/>
      </c>
      <c r="O24" s="6">
        <f t="shared" si="11"/>
        <v>38</v>
      </c>
      <c r="P24" s="8" t="str">
        <f t="shared" si="0"/>
        <v/>
      </c>
      <c r="Q24" t="str">
        <f t="shared" si="1"/>
        <v/>
      </c>
      <c r="R24" t="str">
        <f t="shared" si="2"/>
        <v/>
      </c>
      <c r="S24" t="str">
        <f t="shared" si="3"/>
        <v/>
      </c>
      <c r="T24" t="str">
        <f t="shared" si="4"/>
        <v/>
      </c>
      <c r="V24">
        <f t="shared" si="12"/>
        <v>39</v>
      </c>
      <c r="AG24" s="5"/>
      <c r="AH24" s="5"/>
      <c r="AI24" s="16"/>
      <c r="AY24" s="5"/>
    </row>
    <row r="25" spans="1:51" x14ac:dyDescent="0.2">
      <c r="A25">
        <f t="shared" si="13"/>
        <v>24</v>
      </c>
      <c r="B25" s="8">
        <f t="shared" si="5"/>
        <v>1</v>
      </c>
      <c r="C25">
        <f t="shared" si="14"/>
        <v>0</v>
      </c>
      <c r="D25" s="5">
        <f t="shared" si="15"/>
        <v>0</v>
      </c>
      <c r="I25" t="str">
        <f t="shared" si="6"/>
        <v/>
      </c>
      <c r="J25" t="str">
        <f t="shared" si="7"/>
        <v/>
      </c>
      <c r="K25" t="str">
        <f t="shared" si="8"/>
        <v/>
      </c>
      <c r="L25" t="str">
        <f t="shared" si="9"/>
        <v/>
      </c>
      <c r="M25" t="str">
        <f t="shared" si="10"/>
        <v/>
      </c>
      <c r="O25" s="6">
        <f t="shared" si="11"/>
        <v>38</v>
      </c>
      <c r="P25" s="8" t="str">
        <f t="shared" si="0"/>
        <v/>
      </c>
      <c r="Q25" t="str">
        <f t="shared" si="1"/>
        <v/>
      </c>
      <c r="R25" t="str">
        <f t="shared" si="2"/>
        <v/>
      </c>
      <c r="S25" t="str">
        <f t="shared" si="3"/>
        <v/>
      </c>
      <c r="T25" t="str">
        <f t="shared" si="4"/>
        <v/>
      </c>
      <c r="V25">
        <f t="shared" si="12"/>
        <v>39</v>
      </c>
      <c r="AG25" s="5"/>
      <c r="AH25" s="5"/>
      <c r="AI25" s="16"/>
      <c r="AY25" s="5"/>
    </row>
    <row r="26" spans="1:51" x14ac:dyDescent="0.2">
      <c r="A26">
        <f t="shared" si="13"/>
        <v>25</v>
      </c>
      <c r="B26" s="8">
        <f t="shared" si="5"/>
        <v>1</v>
      </c>
      <c r="C26">
        <f t="shared" si="14"/>
        <v>0</v>
      </c>
      <c r="D26" s="5">
        <f t="shared" si="15"/>
        <v>0</v>
      </c>
      <c r="I26" t="str">
        <f t="shared" si="6"/>
        <v/>
      </c>
      <c r="J26" t="str">
        <f t="shared" si="7"/>
        <v/>
      </c>
      <c r="K26" t="str">
        <f t="shared" si="8"/>
        <v/>
      </c>
      <c r="L26" t="str">
        <f t="shared" si="9"/>
        <v/>
      </c>
      <c r="M26" t="str">
        <f t="shared" si="10"/>
        <v/>
      </c>
      <c r="O26" s="6">
        <f t="shared" si="11"/>
        <v>38</v>
      </c>
      <c r="P26" s="8" t="str">
        <f t="shared" si="0"/>
        <v/>
      </c>
      <c r="Q26" t="str">
        <f t="shared" si="1"/>
        <v/>
      </c>
      <c r="R26" t="str">
        <f t="shared" si="2"/>
        <v/>
      </c>
      <c r="S26" t="str">
        <f t="shared" si="3"/>
        <v/>
      </c>
      <c r="T26" t="str">
        <f t="shared" si="4"/>
        <v/>
      </c>
      <c r="V26">
        <f t="shared" si="12"/>
        <v>39</v>
      </c>
      <c r="AG26" s="5"/>
      <c r="AH26" s="5"/>
      <c r="AI26" s="16"/>
      <c r="AY26" s="5"/>
    </row>
    <row r="27" spans="1:51" x14ac:dyDescent="0.2">
      <c r="A27">
        <f t="shared" si="13"/>
        <v>26</v>
      </c>
      <c r="B27" s="8">
        <f t="shared" si="5"/>
        <v>1</v>
      </c>
      <c r="C27">
        <f t="shared" si="14"/>
        <v>0</v>
      </c>
      <c r="D27" s="5">
        <f t="shared" si="15"/>
        <v>0</v>
      </c>
      <c r="I27" t="str">
        <f t="shared" si="6"/>
        <v/>
      </c>
      <c r="J27" t="str">
        <f t="shared" si="7"/>
        <v/>
      </c>
      <c r="K27" t="str">
        <f t="shared" si="8"/>
        <v/>
      </c>
      <c r="L27" t="str">
        <f t="shared" si="9"/>
        <v/>
      </c>
      <c r="M27" t="str">
        <f t="shared" si="10"/>
        <v/>
      </c>
      <c r="O27" s="6">
        <f t="shared" si="11"/>
        <v>38</v>
      </c>
      <c r="P27" s="8" t="str">
        <f t="shared" si="0"/>
        <v/>
      </c>
      <c r="Q27" t="str">
        <f t="shared" si="1"/>
        <v/>
      </c>
      <c r="R27" t="str">
        <f t="shared" si="2"/>
        <v/>
      </c>
      <c r="S27" t="str">
        <f t="shared" si="3"/>
        <v/>
      </c>
      <c r="T27" t="str">
        <f t="shared" si="4"/>
        <v/>
      </c>
      <c r="V27">
        <f t="shared" si="12"/>
        <v>39</v>
      </c>
      <c r="AG27" s="5"/>
      <c r="AH27" s="5"/>
      <c r="AI27" s="16"/>
      <c r="AY27" s="5"/>
    </row>
    <row r="28" spans="1:51" x14ac:dyDescent="0.2">
      <c r="A28">
        <f t="shared" si="13"/>
        <v>27</v>
      </c>
      <c r="B28" s="8">
        <f t="shared" si="5"/>
        <v>1</v>
      </c>
      <c r="C28">
        <f t="shared" si="14"/>
        <v>0</v>
      </c>
      <c r="D28" s="5">
        <f t="shared" si="15"/>
        <v>0</v>
      </c>
      <c r="I28" t="str">
        <f t="shared" si="6"/>
        <v/>
      </c>
      <c r="J28" t="str">
        <f t="shared" si="7"/>
        <v/>
      </c>
      <c r="K28" t="str">
        <f t="shared" si="8"/>
        <v/>
      </c>
      <c r="L28" t="str">
        <f t="shared" si="9"/>
        <v/>
      </c>
      <c r="M28" t="str">
        <f t="shared" si="10"/>
        <v/>
      </c>
      <c r="O28" s="6">
        <f t="shared" si="11"/>
        <v>38</v>
      </c>
      <c r="P28" s="8" t="str">
        <f t="shared" si="0"/>
        <v/>
      </c>
      <c r="Q28" t="str">
        <f t="shared" si="1"/>
        <v/>
      </c>
      <c r="R28" t="str">
        <f t="shared" si="2"/>
        <v/>
      </c>
      <c r="S28" t="str">
        <f t="shared" si="3"/>
        <v/>
      </c>
      <c r="T28" t="str">
        <f t="shared" si="4"/>
        <v/>
      </c>
      <c r="V28">
        <f t="shared" si="12"/>
        <v>39</v>
      </c>
      <c r="AG28" s="5"/>
      <c r="AH28" s="5"/>
      <c r="AI28" s="16"/>
      <c r="AY28" s="5"/>
    </row>
    <row r="29" spans="1:51" x14ac:dyDescent="0.2">
      <c r="A29">
        <f t="shared" si="13"/>
        <v>28</v>
      </c>
      <c r="B29" s="8">
        <f t="shared" si="5"/>
        <v>1</v>
      </c>
      <c r="C29">
        <f t="shared" si="14"/>
        <v>0</v>
      </c>
      <c r="D29" s="5">
        <f t="shared" si="15"/>
        <v>0</v>
      </c>
      <c r="I29" t="str">
        <f t="shared" si="6"/>
        <v/>
      </c>
      <c r="J29" t="str">
        <f t="shared" si="7"/>
        <v/>
      </c>
      <c r="K29" t="str">
        <f t="shared" si="8"/>
        <v/>
      </c>
      <c r="L29" t="str">
        <f t="shared" si="9"/>
        <v/>
      </c>
      <c r="M29" t="str">
        <f t="shared" si="10"/>
        <v/>
      </c>
      <c r="O29" s="6">
        <f t="shared" si="11"/>
        <v>38</v>
      </c>
      <c r="P29" s="8" t="str">
        <f t="shared" si="0"/>
        <v/>
      </c>
      <c r="Q29" t="str">
        <f t="shared" si="1"/>
        <v/>
      </c>
      <c r="R29" t="str">
        <f t="shared" si="2"/>
        <v/>
      </c>
      <c r="S29" t="str">
        <f t="shared" si="3"/>
        <v/>
      </c>
      <c r="T29" t="str">
        <f t="shared" si="4"/>
        <v/>
      </c>
      <c r="V29">
        <f t="shared" si="12"/>
        <v>39</v>
      </c>
      <c r="AG29" s="5"/>
      <c r="AH29" s="5"/>
      <c r="AI29" s="16"/>
      <c r="AY29" s="5"/>
    </row>
    <row r="30" spans="1:51" x14ac:dyDescent="0.2">
      <c r="A30">
        <f t="shared" si="13"/>
        <v>29</v>
      </c>
      <c r="B30" s="8">
        <f t="shared" si="5"/>
        <v>1</v>
      </c>
      <c r="C30">
        <f t="shared" si="14"/>
        <v>0</v>
      </c>
      <c r="D30" s="5">
        <f t="shared" si="15"/>
        <v>0</v>
      </c>
      <c r="I30" t="str">
        <f t="shared" si="6"/>
        <v/>
      </c>
      <c r="J30" t="str">
        <f t="shared" si="7"/>
        <v/>
      </c>
      <c r="K30" t="str">
        <f t="shared" si="8"/>
        <v/>
      </c>
      <c r="L30" t="str">
        <f t="shared" si="9"/>
        <v/>
      </c>
      <c r="M30" t="str">
        <f t="shared" si="10"/>
        <v/>
      </c>
      <c r="O30" s="6">
        <f t="shared" si="11"/>
        <v>38</v>
      </c>
      <c r="P30" s="8" t="str">
        <f t="shared" si="0"/>
        <v/>
      </c>
      <c r="Q30" t="str">
        <f t="shared" si="1"/>
        <v/>
      </c>
      <c r="R30" t="str">
        <f t="shared" si="2"/>
        <v/>
      </c>
      <c r="S30" t="str">
        <f t="shared" si="3"/>
        <v/>
      </c>
      <c r="T30" t="str">
        <f t="shared" si="4"/>
        <v/>
      </c>
      <c r="V30">
        <f t="shared" si="12"/>
        <v>39</v>
      </c>
      <c r="AG30" s="5"/>
      <c r="AH30" s="5"/>
      <c r="AI30" s="16"/>
      <c r="AY30" s="5"/>
    </row>
    <row r="31" spans="1:51" x14ac:dyDescent="0.2">
      <c r="A31">
        <f t="shared" si="13"/>
        <v>30</v>
      </c>
      <c r="B31" s="8">
        <f t="shared" si="5"/>
        <v>1</v>
      </c>
      <c r="C31">
        <f t="shared" si="14"/>
        <v>0</v>
      </c>
      <c r="D31" s="5">
        <f t="shared" si="15"/>
        <v>0</v>
      </c>
      <c r="I31" t="str">
        <f t="shared" si="6"/>
        <v/>
      </c>
      <c r="J31" t="str">
        <f t="shared" si="7"/>
        <v/>
      </c>
      <c r="K31" t="str">
        <f t="shared" si="8"/>
        <v/>
      </c>
      <c r="L31" t="str">
        <f t="shared" si="9"/>
        <v/>
      </c>
      <c r="M31" t="str">
        <f t="shared" si="10"/>
        <v/>
      </c>
      <c r="O31" s="6">
        <f t="shared" si="11"/>
        <v>38</v>
      </c>
      <c r="P31" s="8" t="str">
        <f t="shared" si="0"/>
        <v/>
      </c>
      <c r="Q31" t="str">
        <f t="shared" si="1"/>
        <v/>
      </c>
      <c r="R31" t="str">
        <f t="shared" si="2"/>
        <v/>
      </c>
      <c r="S31" t="str">
        <f t="shared" si="3"/>
        <v/>
      </c>
      <c r="T31" t="str">
        <f t="shared" si="4"/>
        <v/>
      </c>
      <c r="V31">
        <f t="shared" si="12"/>
        <v>39</v>
      </c>
      <c r="AG31" s="5"/>
      <c r="AH31" s="5"/>
      <c r="AI31" s="16"/>
      <c r="AY31" s="5"/>
    </row>
    <row r="32" spans="1:51" x14ac:dyDescent="0.2">
      <c r="A32">
        <f t="shared" si="13"/>
        <v>31</v>
      </c>
      <c r="B32" s="8">
        <f t="shared" si="5"/>
        <v>1</v>
      </c>
      <c r="C32">
        <f t="shared" si="14"/>
        <v>0</v>
      </c>
      <c r="D32" s="5">
        <f t="shared" si="15"/>
        <v>0</v>
      </c>
      <c r="I32" t="str">
        <f t="shared" si="6"/>
        <v/>
      </c>
      <c r="J32" t="str">
        <f t="shared" si="7"/>
        <v/>
      </c>
      <c r="K32" t="str">
        <f t="shared" si="8"/>
        <v/>
      </c>
      <c r="L32" t="str">
        <f t="shared" si="9"/>
        <v/>
      </c>
      <c r="M32" t="str">
        <f t="shared" si="10"/>
        <v/>
      </c>
      <c r="O32" s="6">
        <f t="shared" si="11"/>
        <v>38</v>
      </c>
      <c r="P32" s="8" t="str">
        <f t="shared" si="0"/>
        <v/>
      </c>
      <c r="Q32" t="str">
        <f t="shared" si="1"/>
        <v/>
      </c>
      <c r="R32" t="str">
        <f t="shared" si="2"/>
        <v/>
      </c>
      <c r="S32" t="str">
        <f t="shared" si="3"/>
        <v/>
      </c>
      <c r="T32" t="str">
        <f t="shared" si="4"/>
        <v/>
      </c>
      <c r="V32">
        <f t="shared" si="12"/>
        <v>39</v>
      </c>
      <c r="AG32" s="5"/>
      <c r="AH32" s="5"/>
      <c r="AI32" s="16"/>
      <c r="AY32" s="5"/>
    </row>
    <row r="33" spans="1:51" x14ac:dyDescent="0.2">
      <c r="A33">
        <f t="shared" si="13"/>
        <v>32</v>
      </c>
      <c r="B33" s="8">
        <f t="shared" si="5"/>
        <v>1</v>
      </c>
      <c r="C33">
        <f t="shared" si="14"/>
        <v>0</v>
      </c>
      <c r="D33" s="5">
        <f t="shared" si="15"/>
        <v>0</v>
      </c>
      <c r="I33" t="str">
        <f t="shared" si="6"/>
        <v/>
      </c>
      <c r="J33" t="str">
        <f t="shared" si="7"/>
        <v/>
      </c>
      <c r="K33" t="str">
        <f t="shared" si="8"/>
        <v/>
      </c>
      <c r="L33" t="str">
        <f t="shared" si="9"/>
        <v/>
      </c>
      <c r="M33" t="str">
        <f t="shared" si="10"/>
        <v/>
      </c>
      <c r="O33" s="6">
        <f t="shared" si="11"/>
        <v>38</v>
      </c>
      <c r="P33" s="8" t="str">
        <f t="shared" si="0"/>
        <v/>
      </c>
      <c r="Q33" t="str">
        <f t="shared" si="1"/>
        <v/>
      </c>
      <c r="R33" t="str">
        <f t="shared" si="2"/>
        <v/>
      </c>
      <c r="S33" t="str">
        <f t="shared" si="3"/>
        <v/>
      </c>
      <c r="T33" t="str">
        <f t="shared" si="4"/>
        <v/>
      </c>
      <c r="V33">
        <f t="shared" si="12"/>
        <v>39</v>
      </c>
      <c r="AG33" s="5"/>
      <c r="AH33" s="5"/>
      <c r="AI33" s="16"/>
      <c r="AY33" s="5"/>
    </row>
    <row r="34" spans="1:51" x14ac:dyDescent="0.2">
      <c r="A34">
        <f t="shared" si="13"/>
        <v>33</v>
      </c>
      <c r="B34" s="8">
        <f t="shared" si="5"/>
        <v>1</v>
      </c>
      <c r="C34">
        <f t="shared" si="14"/>
        <v>0</v>
      </c>
      <c r="D34" s="5">
        <f t="shared" si="15"/>
        <v>0</v>
      </c>
      <c r="I34" t="str">
        <f t="shared" si="6"/>
        <v/>
      </c>
      <c r="J34" t="str">
        <f t="shared" si="7"/>
        <v/>
      </c>
      <c r="K34" t="str">
        <f t="shared" si="8"/>
        <v/>
      </c>
      <c r="L34" t="str">
        <f t="shared" si="9"/>
        <v/>
      </c>
      <c r="M34" t="str">
        <f t="shared" si="10"/>
        <v/>
      </c>
      <c r="O34" s="6">
        <f t="shared" si="11"/>
        <v>38</v>
      </c>
      <c r="P34" s="8" t="str">
        <f t="shared" si="0"/>
        <v/>
      </c>
      <c r="Q34" t="str">
        <f t="shared" si="1"/>
        <v/>
      </c>
      <c r="R34" t="str">
        <f t="shared" si="2"/>
        <v/>
      </c>
      <c r="S34" t="str">
        <f t="shared" si="3"/>
        <v/>
      </c>
      <c r="T34" t="str">
        <f t="shared" si="4"/>
        <v/>
      </c>
      <c r="V34">
        <f t="shared" si="12"/>
        <v>39</v>
      </c>
      <c r="AG34" s="5"/>
      <c r="AH34" s="5"/>
      <c r="AI34" s="16"/>
      <c r="AY34" s="5"/>
    </row>
    <row r="35" spans="1:51" x14ac:dyDescent="0.2">
      <c r="A35">
        <f t="shared" si="13"/>
        <v>34</v>
      </c>
      <c r="B35" s="8">
        <f t="shared" si="5"/>
        <v>1</v>
      </c>
      <c r="C35">
        <f t="shared" si="14"/>
        <v>0</v>
      </c>
      <c r="D35" s="5">
        <f t="shared" si="15"/>
        <v>0</v>
      </c>
      <c r="I35" t="str">
        <f t="shared" si="6"/>
        <v/>
      </c>
      <c r="J35" t="str">
        <f t="shared" si="7"/>
        <v/>
      </c>
      <c r="K35" t="str">
        <f t="shared" si="8"/>
        <v/>
      </c>
      <c r="L35" t="str">
        <f t="shared" si="9"/>
        <v/>
      </c>
      <c r="M35" t="str">
        <f t="shared" si="10"/>
        <v/>
      </c>
      <c r="O35" s="6">
        <f t="shared" si="11"/>
        <v>38</v>
      </c>
      <c r="P35" s="8" t="str">
        <f t="shared" si="0"/>
        <v/>
      </c>
      <c r="Q35" t="str">
        <f t="shared" si="1"/>
        <v/>
      </c>
      <c r="R35" t="str">
        <f t="shared" si="2"/>
        <v/>
      </c>
      <c r="S35" t="str">
        <f t="shared" si="3"/>
        <v/>
      </c>
      <c r="T35" t="str">
        <f t="shared" si="4"/>
        <v/>
      </c>
      <c r="V35">
        <f t="shared" si="12"/>
        <v>39</v>
      </c>
      <c r="AG35" s="5"/>
      <c r="AH35" s="5"/>
      <c r="AI35" s="16"/>
      <c r="AY35" s="5"/>
    </row>
    <row r="36" spans="1:51" x14ac:dyDescent="0.2">
      <c r="A36">
        <f t="shared" si="13"/>
        <v>35</v>
      </c>
      <c r="B36" s="8">
        <f t="shared" si="5"/>
        <v>1</v>
      </c>
      <c r="C36">
        <f t="shared" si="14"/>
        <v>0</v>
      </c>
      <c r="D36" s="5">
        <f t="shared" si="15"/>
        <v>0</v>
      </c>
      <c r="I36" t="str">
        <f t="shared" si="6"/>
        <v/>
      </c>
      <c r="J36" t="str">
        <f t="shared" si="7"/>
        <v/>
      </c>
      <c r="K36" t="str">
        <f t="shared" si="8"/>
        <v/>
      </c>
      <c r="L36" t="str">
        <f t="shared" si="9"/>
        <v/>
      </c>
      <c r="M36" t="str">
        <f t="shared" si="10"/>
        <v/>
      </c>
      <c r="O36" s="6">
        <f t="shared" si="11"/>
        <v>38</v>
      </c>
      <c r="P36" s="8" t="str">
        <f t="shared" si="0"/>
        <v/>
      </c>
      <c r="Q36" t="str">
        <f t="shared" si="1"/>
        <v/>
      </c>
      <c r="R36" t="str">
        <f t="shared" si="2"/>
        <v/>
      </c>
      <c r="S36" t="str">
        <f t="shared" si="3"/>
        <v/>
      </c>
      <c r="T36" t="str">
        <f t="shared" si="4"/>
        <v/>
      </c>
      <c r="V36">
        <f t="shared" si="12"/>
        <v>39</v>
      </c>
      <c r="AG36" s="5"/>
      <c r="AH36" s="5"/>
      <c r="AI36" s="16"/>
      <c r="AY36" s="5"/>
    </row>
    <row r="37" spans="1:51" x14ac:dyDescent="0.2">
      <c r="A37">
        <f t="shared" si="13"/>
        <v>36</v>
      </c>
      <c r="B37" s="8">
        <f t="shared" si="5"/>
        <v>1</v>
      </c>
      <c r="C37">
        <f t="shared" si="14"/>
        <v>0</v>
      </c>
      <c r="D37" s="5">
        <f t="shared" si="15"/>
        <v>0</v>
      </c>
      <c r="I37" t="str">
        <f t="shared" si="6"/>
        <v/>
      </c>
      <c r="J37" t="str">
        <f t="shared" si="7"/>
        <v/>
      </c>
      <c r="K37" t="str">
        <f t="shared" si="8"/>
        <v/>
      </c>
      <c r="L37" t="str">
        <f t="shared" si="9"/>
        <v/>
      </c>
      <c r="M37" t="str">
        <f t="shared" si="10"/>
        <v/>
      </c>
      <c r="O37" s="6">
        <f t="shared" si="11"/>
        <v>38</v>
      </c>
      <c r="P37" s="8" t="str">
        <f t="shared" si="0"/>
        <v/>
      </c>
      <c r="Q37" t="str">
        <f t="shared" si="1"/>
        <v/>
      </c>
      <c r="R37" t="str">
        <f t="shared" si="2"/>
        <v/>
      </c>
      <c r="S37" t="str">
        <f t="shared" si="3"/>
        <v/>
      </c>
      <c r="T37" t="str">
        <f t="shared" si="4"/>
        <v/>
      </c>
      <c r="V37">
        <f t="shared" si="12"/>
        <v>39</v>
      </c>
      <c r="AG37" s="5"/>
      <c r="AH37" s="5"/>
      <c r="AI37" s="16"/>
      <c r="AY37" s="5"/>
    </row>
    <row r="38" spans="1:51" x14ac:dyDescent="0.2">
      <c r="A38">
        <f t="shared" si="13"/>
        <v>37</v>
      </c>
      <c r="B38" s="8">
        <f t="shared" si="5"/>
        <v>1</v>
      </c>
      <c r="C38">
        <f t="shared" si="14"/>
        <v>0</v>
      </c>
      <c r="D38" s="5">
        <f t="shared" si="15"/>
        <v>0</v>
      </c>
      <c r="I38" t="str">
        <f t="shared" si="6"/>
        <v/>
      </c>
      <c r="J38" t="str">
        <f t="shared" si="7"/>
        <v/>
      </c>
      <c r="K38" t="str">
        <f t="shared" si="8"/>
        <v/>
      </c>
      <c r="L38" t="str">
        <f t="shared" si="9"/>
        <v/>
      </c>
      <c r="M38" t="str">
        <f t="shared" si="10"/>
        <v/>
      </c>
      <c r="O38" s="6">
        <f t="shared" si="11"/>
        <v>38</v>
      </c>
      <c r="P38" s="8" t="str">
        <f t="shared" si="0"/>
        <v/>
      </c>
      <c r="Q38" t="str">
        <f t="shared" si="1"/>
        <v/>
      </c>
      <c r="R38" t="str">
        <f t="shared" si="2"/>
        <v/>
      </c>
      <c r="S38" t="str">
        <f t="shared" si="3"/>
        <v/>
      </c>
      <c r="T38" t="str">
        <f t="shared" si="4"/>
        <v/>
      </c>
      <c r="V38">
        <f t="shared" si="12"/>
        <v>39</v>
      </c>
      <c r="AG38" s="5"/>
      <c r="AH38" s="5"/>
      <c r="AI38" s="16"/>
      <c r="AY38" s="5"/>
    </row>
    <row r="39" spans="1:51" x14ac:dyDescent="0.2">
      <c r="A39">
        <f t="shared" si="13"/>
        <v>38</v>
      </c>
      <c r="B39" s="8">
        <f t="shared" si="5"/>
        <v>1</v>
      </c>
      <c r="C39">
        <f t="shared" si="14"/>
        <v>0</v>
      </c>
      <c r="D39" s="5">
        <f t="shared" si="15"/>
        <v>0</v>
      </c>
      <c r="I39" t="str">
        <f t="shared" si="6"/>
        <v/>
      </c>
      <c r="J39" t="str">
        <f t="shared" si="7"/>
        <v/>
      </c>
      <c r="K39" t="str">
        <f t="shared" si="8"/>
        <v/>
      </c>
      <c r="L39" t="str">
        <f t="shared" si="9"/>
        <v/>
      </c>
      <c r="M39" t="str">
        <f t="shared" si="10"/>
        <v/>
      </c>
      <c r="O39" s="6">
        <f t="shared" si="11"/>
        <v>38</v>
      </c>
      <c r="P39" s="8" t="str">
        <f t="shared" si="0"/>
        <v/>
      </c>
      <c r="Q39" t="str">
        <f t="shared" si="1"/>
        <v/>
      </c>
      <c r="R39" t="str">
        <f t="shared" si="2"/>
        <v/>
      </c>
      <c r="S39" t="str">
        <f t="shared" si="3"/>
        <v/>
      </c>
      <c r="T39" t="str">
        <f t="shared" si="4"/>
        <v/>
      </c>
      <c r="V39">
        <f t="shared" si="12"/>
        <v>39</v>
      </c>
      <c r="AG39" s="5"/>
      <c r="AH39" s="5"/>
      <c r="AI39" s="16"/>
      <c r="AY39" s="5"/>
    </row>
    <row r="40" spans="1:51" x14ac:dyDescent="0.2">
      <c r="A40">
        <f t="shared" si="13"/>
        <v>39</v>
      </c>
      <c r="B40" s="8">
        <f t="shared" si="5"/>
        <v>1</v>
      </c>
      <c r="C40">
        <f t="shared" si="14"/>
        <v>0</v>
      </c>
      <c r="D40" s="5">
        <f t="shared" si="15"/>
        <v>0</v>
      </c>
      <c r="I40" t="str">
        <f t="shared" si="6"/>
        <v/>
      </c>
      <c r="J40" t="str">
        <f t="shared" si="7"/>
        <v/>
      </c>
      <c r="K40" t="str">
        <f t="shared" si="8"/>
        <v/>
      </c>
      <c r="L40" t="str">
        <f t="shared" si="9"/>
        <v/>
      </c>
      <c r="M40" t="str">
        <f t="shared" si="10"/>
        <v/>
      </c>
      <c r="O40" s="6">
        <f t="shared" si="11"/>
        <v>38</v>
      </c>
      <c r="P40" s="8" t="str">
        <f t="shared" si="0"/>
        <v/>
      </c>
      <c r="Q40" t="str">
        <f t="shared" si="1"/>
        <v/>
      </c>
      <c r="R40" t="str">
        <f t="shared" si="2"/>
        <v/>
      </c>
      <c r="S40" t="str">
        <f t="shared" si="3"/>
        <v/>
      </c>
      <c r="T40" t="str">
        <f t="shared" si="4"/>
        <v/>
      </c>
      <c r="V40">
        <f t="shared" si="12"/>
        <v>39</v>
      </c>
      <c r="AG40" s="5"/>
      <c r="AH40" s="5"/>
      <c r="AI40" s="16"/>
      <c r="AY40" s="5"/>
    </row>
    <row r="41" spans="1:51" x14ac:dyDescent="0.2">
      <c r="A41">
        <f t="shared" si="13"/>
        <v>40</v>
      </c>
      <c r="B41" s="8">
        <f t="shared" si="5"/>
        <v>1</v>
      </c>
      <c r="C41">
        <f t="shared" si="14"/>
        <v>0</v>
      </c>
      <c r="D41" s="5">
        <f t="shared" si="15"/>
        <v>0</v>
      </c>
      <c r="I41" t="str">
        <f t="shared" si="6"/>
        <v/>
      </c>
      <c r="J41" t="str">
        <f t="shared" si="7"/>
        <v/>
      </c>
      <c r="K41" t="str">
        <f t="shared" si="8"/>
        <v/>
      </c>
      <c r="L41" t="str">
        <f t="shared" si="9"/>
        <v/>
      </c>
      <c r="M41" t="str">
        <f t="shared" si="10"/>
        <v/>
      </c>
      <c r="O41" s="6">
        <f t="shared" si="11"/>
        <v>38</v>
      </c>
      <c r="P41" s="8" t="str">
        <f t="shared" si="0"/>
        <v/>
      </c>
      <c r="Q41" t="str">
        <f t="shared" si="1"/>
        <v/>
      </c>
      <c r="R41" t="str">
        <f t="shared" si="2"/>
        <v/>
      </c>
      <c r="S41" t="str">
        <f t="shared" si="3"/>
        <v/>
      </c>
      <c r="T41" t="str">
        <f t="shared" si="4"/>
        <v/>
      </c>
      <c r="V41">
        <f t="shared" si="12"/>
        <v>39</v>
      </c>
      <c r="AG41" s="5"/>
      <c r="AH41" s="5"/>
      <c r="AI41" s="16"/>
      <c r="AY41" s="5"/>
    </row>
    <row r="42" spans="1:51" x14ac:dyDescent="0.2">
      <c r="A42">
        <f t="shared" si="13"/>
        <v>41</v>
      </c>
      <c r="B42" s="8">
        <f t="shared" si="5"/>
        <v>1</v>
      </c>
      <c r="C42">
        <f t="shared" si="14"/>
        <v>0</v>
      </c>
      <c r="D42" s="5">
        <f t="shared" si="15"/>
        <v>0</v>
      </c>
      <c r="I42" t="str">
        <f t="shared" si="6"/>
        <v/>
      </c>
      <c r="J42" t="str">
        <f t="shared" si="7"/>
        <v/>
      </c>
      <c r="K42" t="str">
        <f t="shared" si="8"/>
        <v/>
      </c>
      <c r="L42" t="str">
        <f t="shared" si="9"/>
        <v/>
      </c>
      <c r="M42" t="str">
        <f t="shared" si="10"/>
        <v/>
      </c>
      <c r="O42" s="6">
        <f t="shared" si="11"/>
        <v>38</v>
      </c>
      <c r="P42" s="8" t="str">
        <f t="shared" si="0"/>
        <v/>
      </c>
      <c r="Q42" t="str">
        <f t="shared" si="1"/>
        <v/>
      </c>
      <c r="R42" t="str">
        <f t="shared" si="2"/>
        <v/>
      </c>
      <c r="S42" t="str">
        <f t="shared" si="3"/>
        <v/>
      </c>
      <c r="T42" t="str">
        <f t="shared" si="4"/>
        <v/>
      </c>
      <c r="V42">
        <f t="shared" si="12"/>
        <v>39</v>
      </c>
      <c r="AG42" s="5"/>
      <c r="AH42" s="5"/>
      <c r="AI42" s="16"/>
      <c r="AY42" s="5"/>
    </row>
    <row r="43" spans="1:51" x14ac:dyDescent="0.2">
      <c r="A43">
        <f t="shared" si="13"/>
        <v>42</v>
      </c>
      <c r="B43" s="8">
        <v>1</v>
      </c>
      <c r="C43">
        <f t="shared" ref="C43" si="16">IF(G43&lt;&gt;"PeriodStart",E42,18)</f>
        <v>0</v>
      </c>
      <c r="D43" s="5">
        <f t="shared" ref="D43" si="17">F42</f>
        <v>0</v>
      </c>
      <c r="I43" t="str">
        <f t="shared" si="6"/>
        <v/>
      </c>
      <c r="J43" t="str">
        <f t="shared" si="7"/>
        <v/>
      </c>
      <c r="K43" t="str">
        <f t="shared" si="8"/>
        <v/>
      </c>
      <c r="L43" t="str">
        <f t="shared" si="9"/>
        <v/>
      </c>
      <c r="M43" t="str">
        <f t="shared" si="10"/>
        <v/>
      </c>
      <c r="O43" s="6">
        <f t="shared" si="11"/>
        <v>38</v>
      </c>
      <c r="P43" s="8" t="str">
        <f t="shared" si="0"/>
        <v/>
      </c>
      <c r="Q43" t="str">
        <f t="shared" si="1"/>
        <v/>
      </c>
      <c r="R43" t="str">
        <f t="shared" si="2"/>
        <v/>
      </c>
      <c r="S43" t="str">
        <f t="shared" si="3"/>
        <v/>
      </c>
      <c r="T43" t="str">
        <f t="shared" si="4"/>
        <v/>
      </c>
      <c r="V43">
        <f t="shared" si="12"/>
        <v>39</v>
      </c>
      <c r="AG43" s="5"/>
      <c r="AH43" s="5"/>
      <c r="AI43" s="16"/>
      <c r="AY43" s="5"/>
    </row>
    <row r="44" spans="1:51" x14ac:dyDescent="0.2">
      <c r="A44">
        <f t="shared" si="13"/>
        <v>43</v>
      </c>
      <c r="B44" s="8">
        <f t="shared" si="5"/>
        <v>1</v>
      </c>
      <c r="C44">
        <f t="shared" si="14"/>
        <v>0</v>
      </c>
      <c r="D44" s="5">
        <f t="shared" si="15"/>
        <v>0</v>
      </c>
      <c r="I44" t="str">
        <f t="shared" si="6"/>
        <v/>
      </c>
      <c r="J44" t="str">
        <f t="shared" si="7"/>
        <v/>
      </c>
      <c r="K44" t="str">
        <f t="shared" si="8"/>
        <v/>
      </c>
      <c r="L44" t="str">
        <f t="shared" si="9"/>
        <v/>
      </c>
      <c r="M44" t="str">
        <f t="shared" si="10"/>
        <v/>
      </c>
      <c r="O44" s="6">
        <f t="shared" si="11"/>
        <v>38</v>
      </c>
      <c r="P44" s="8" t="str">
        <f t="shared" si="0"/>
        <v/>
      </c>
      <c r="Q44" t="str">
        <f t="shared" si="1"/>
        <v/>
      </c>
      <c r="R44" t="str">
        <f t="shared" si="2"/>
        <v/>
      </c>
      <c r="S44" t="str">
        <f t="shared" si="3"/>
        <v/>
      </c>
      <c r="T44" t="str">
        <f t="shared" si="4"/>
        <v/>
      </c>
      <c r="V44">
        <f t="shared" si="12"/>
        <v>39</v>
      </c>
      <c r="AG44" s="5"/>
      <c r="AH44" s="5"/>
      <c r="AI44" s="16"/>
      <c r="AY44" s="5"/>
    </row>
    <row r="45" spans="1:51" x14ac:dyDescent="0.2">
      <c r="A45">
        <f t="shared" si="13"/>
        <v>44</v>
      </c>
      <c r="B45" s="8">
        <f t="shared" si="5"/>
        <v>1</v>
      </c>
      <c r="C45">
        <f t="shared" si="14"/>
        <v>0</v>
      </c>
      <c r="D45" s="5">
        <f t="shared" si="15"/>
        <v>0</v>
      </c>
      <c r="I45" t="str">
        <f t="shared" si="6"/>
        <v/>
      </c>
      <c r="J45" t="str">
        <f t="shared" si="7"/>
        <v/>
      </c>
      <c r="K45" t="str">
        <f t="shared" si="8"/>
        <v/>
      </c>
      <c r="L45" t="str">
        <f t="shared" si="9"/>
        <v/>
      </c>
      <c r="M45" t="str">
        <f t="shared" si="10"/>
        <v/>
      </c>
      <c r="O45" s="6">
        <f t="shared" si="11"/>
        <v>38</v>
      </c>
      <c r="P45" s="8" t="str">
        <f t="shared" si="0"/>
        <v/>
      </c>
      <c r="Q45" t="str">
        <f t="shared" si="1"/>
        <v/>
      </c>
      <c r="R45" t="str">
        <f t="shared" si="2"/>
        <v/>
      </c>
      <c r="S45" t="str">
        <f t="shared" si="3"/>
        <v/>
      </c>
      <c r="T45" t="str">
        <f t="shared" si="4"/>
        <v/>
      </c>
      <c r="V45">
        <f t="shared" si="12"/>
        <v>39</v>
      </c>
      <c r="AG45" s="5"/>
      <c r="AH45" s="5"/>
      <c r="AI45" s="16"/>
      <c r="AY45" s="5"/>
    </row>
    <row r="46" spans="1:51" x14ac:dyDescent="0.2">
      <c r="A46">
        <f t="shared" si="13"/>
        <v>45</v>
      </c>
      <c r="B46" s="8">
        <f t="shared" si="5"/>
        <v>1</v>
      </c>
      <c r="C46">
        <f t="shared" si="14"/>
        <v>0</v>
      </c>
      <c r="D46" s="5">
        <f t="shared" si="15"/>
        <v>0</v>
      </c>
      <c r="I46" t="str">
        <f t="shared" si="6"/>
        <v/>
      </c>
      <c r="J46" t="str">
        <f t="shared" si="7"/>
        <v/>
      </c>
      <c r="K46" t="str">
        <f t="shared" si="8"/>
        <v/>
      </c>
      <c r="L46" t="str">
        <f t="shared" si="9"/>
        <v/>
      </c>
      <c r="M46" t="str">
        <f t="shared" si="10"/>
        <v/>
      </c>
      <c r="O46" s="6">
        <f t="shared" si="11"/>
        <v>38</v>
      </c>
      <c r="P46" s="8" t="str">
        <f t="shared" si="0"/>
        <v/>
      </c>
      <c r="Q46" t="str">
        <f t="shared" si="1"/>
        <v/>
      </c>
      <c r="R46" t="str">
        <f t="shared" si="2"/>
        <v/>
      </c>
      <c r="S46" t="str">
        <f t="shared" si="3"/>
        <v/>
      </c>
      <c r="T46" t="str">
        <f t="shared" si="4"/>
        <v/>
      </c>
      <c r="V46">
        <f t="shared" si="12"/>
        <v>39</v>
      </c>
      <c r="AG46" s="5"/>
      <c r="AH46" s="5"/>
      <c r="AI46" s="16"/>
      <c r="AY46" s="5"/>
    </row>
    <row r="47" spans="1:51" x14ac:dyDescent="0.2">
      <c r="A47">
        <f t="shared" si="13"/>
        <v>46</v>
      </c>
      <c r="B47" s="8">
        <f t="shared" si="5"/>
        <v>1</v>
      </c>
      <c r="C47">
        <f t="shared" si="14"/>
        <v>0</v>
      </c>
      <c r="D47" s="5">
        <f t="shared" si="15"/>
        <v>0</v>
      </c>
      <c r="I47" t="str">
        <f t="shared" si="6"/>
        <v/>
      </c>
      <c r="J47" t="str">
        <f t="shared" si="7"/>
        <v/>
      </c>
      <c r="K47" t="str">
        <f t="shared" si="8"/>
        <v/>
      </c>
      <c r="L47" t="str">
        <f t="shared" si="9"/>
        <v/>
      </c>
      <c r="M47" t="str">
        <f t="shared" si="10"/>
        <v/>
      </c>
      <c r="O47" s="6">
        <f t="shared" si="11"/>
        <v>38</v>
      </c>
      <c r="P47" s="8" t="str">
        <f t="shared" si="0"/>
        <v/>
      </c>
      <c r="Q47" t="str">
        <f t="shared" si="1"/>
        <v/>
      </c>
      <c r="R47" t="str">
        <f t="shared" si="2"/>
        <v/>
      </c>
      <c r="S47" t="str">
        <f t="shared" si="3"/>
        <v/>
      </c>
      <c r="T47" t="str">
        <f t="shared" si="4"/>
        <v/>
      </c>
      <c r="V47">
        <f t="shared" si="12"/>
        <v>39</v>
      </c>
      <c r="AG47" s="5"/>
      <c r="AH47" s="5"/>
      <c r="AI47" s="16"/>
      <c r="AY47" s="5"/>
    </row>
    <row r="48" spans="1:51" x14ac:dyDescent="0.2">
      <c r="A48">
        <f t="shared" si="13"/>
        <v>47</v>
      </c>
      <c r="B48" s="8">
        <f t="shared" si="5"/>
        <v>1</v>
      </c>
      <c r="C48">
        <f t="shared" si="14"/>
        <v>0</v>
      </c>
      <c r="D48" s="5">
        <f t="shared" si="15"/>
        <v>0</v>
      </c>
      <c r="I48" t="str">
        <f t="shared" si="6"/>
        <v/>
      </c>
      <c r="J48" t="str">
        <f t="shared" si="7"/>
        <v/>
      </c>
      <c r="K48" t="str">
        <f t="shared" si="8"/>
        <v/>
      </c>
      <c r="L48" t="str">
        <f t="shared" si="9"/>
        <v/>
      </c>
      <c r="M48" t="str">
        <f t="shared" si="10"/>
        <v/>
      </c>
      <c r="O48" s="6">
        <f t="shared" si="11"/>
        <v>38</v>
      </c>
      <c r="P48" s="8" t="str">
        <f t="shared" si="0"/>
        <v/>
      </c>
      <c r="Q48" t="str">
        <f t="shared" si="1"/>
        <v/>
      </c>
      <c r="R48" t="str">
        <f t="shared" si="2"/>
        <v/>
      </c>
      <c r="S48" t="str">
        <f t="shared" si="3"/>
        <v/>
      </c>
      <c r="T48" t="str">
        <f t="shared" si="4"/>
        <v/>
      </c>
      <c r="V48">
        <f t="shared" si="12"/>
        <v>39</v>
      </c>
      <c r="AG48" s="5"/>
      <c r="AH48" s="5"/>
      <c r="AI48" s="16"/>
      <c r="AY48" s="5"/>
    </row>
    <row r="49" spans="1:51" x14ac:dyDescent="0.2">
      <c r="A49">
        <f t="shared" si="13"/>
        <v>48</v>
      </c>
      <c r="B49" s="8">
        <f t="shared" si="5"/>
        <v>1</v>
      </c>
      <c r="C49">
        <f t="shared" si="14"/>
        <v>0</v>
      </c>
      <c r="D49" s="5">
        <f t="shared" si="15"/>
        <v>0</v>
      </c>
      <c r="I49" t="str">
        <f t="shared" si="6"/>
        <v/>
      </c>
      <c r="J49" t="str">
        <f t="shared" si="7"/>
        <v/>
      </c>
      <c r="K49" t="str">
        <f t="shared" si="8"/>
        <v/>
      </c>
      <c r="L49" t="str">
        <f t="shared" si="9"/>
        <v/>
      </c>
      <c r="M49" t="str">
        <f t="shared" si="10"/>
        <v/>
      </c>
      <c r="O49" s="6">
        <f t="shared" si="11"/>
        <v>38</v>
      </c>
      <c r="P49" s="8" t="str">
        <f t="shared" si="0"/>
        <v/>
      </c>
      <c r="Q49" t="str">
        <f t="shared" si="1"/>
        <v/>
      </c>
      <c r="R49" t="str">
        <f t="shared" si="2"/>
        <v/>
      </c>
      <c r="S49" t="str">
        <f t="shared" si="3"/>
        <v/>
      </c>
      <c r="T49" t="str">
        <f t="shared" si="4"/>
        <v/>
      </c>
      <c r="V49">
        <f t="shared" si="12"/>
        <v>39</v>
      </c>
      <c r="AG49" s="5"/>
      <c r="AH49" s="5"/>
      <c r="AI49" s="16"/>
      <c r="AY49" s="5"/>
    </row>
    <row r="50" spans="1:51" x14ac:dyDescent="0.2">
      <c r="A50">
        <f t="shared" si="13"/>
        <v>49</v>
      </c>
      <c r="B50" s="8">
        <f t="shared" si="5"/>
        <v>1</v>
      </c>
      <c r="C50">
        <f t="shared" si="14"/>
        <v>0</v>
      </c>
      <c r="D50" s="5">
        <f t="shared" si="15"/>
        <v>0</v>
      </c>
      <c r="I50" t="str">
        <f t="shared" si="6"/>
        <v/>
      </c>
      <c r="J50" t="str">
        <f t="shared" si="7"/>
        <v/>
      </c>
      <c r="K50" t="str">
        <f t="shared" si="8"/>
        <v/>
      </c>
      <c r="L50" t="str">
        <f t="shared" si="9"/>
        <v/>
      </c>
      <c r="M50" t="str">
        <f t="shared" si="10"/>
        <v/>
      </c>
      <c r="O50" s="6">
        <f t="shared" si="11"/>
        <v>38</v>
      </c>
      <c r="P50" s="8" t="str">
        <f t="shared" si="0"/>
        <v/>
      </c>
      <c r="Q50" t="str">
        <f t="shared" si="1"/>
        <v/>
      </c>
      <c r="R50" t="str">
        <f t="shared" si="2"/>
        <v/>
      </c>
      <c r="S50" t="str">
        <f t="shared" si="3"/>
        <v/>
      </c>
      <c r="T50" t="str">
        <f t="shared" si="4"/>
        <v/>
      </c>
      <c r="V50">
        <f t="shared" si="12"/>
        <v>39</v>
      </c>
      <c r="AG50" s="5"/>
      <c r="AH50" s="5"/>
      <c r="AI50" s="16"/>
      <c r="AY50" s="5"/>
    </row>
    <row r="51" spans="1:51" x14ac:dyDescent="0.2">
      <c r="A51">
        <f t="shared" si="13"/>
        <v>50</v>
      </c>
      <c r="B51" s="8">
        <f t="shared" si="5"/>
        <v>1</v>
      </c>
      <c r="C51">
        <f t="shared" si="14"/>
        <v>0</v>
      </c>
      <c r="D51" s="5">
        <f t="shared" si="15"/>
        <v>0</v>
      </c>
      <c r="I51" t="str">
        <f t="shared" si="6"/>
        <v/>
      </c>
      <c r="J51" t="str">
        <f t="shared" si="7"/>
        <v/>
      </c>
      <c r="K51" t="str">
        <f t="shared" si="8"/>
        <v/>
      </c>
      <c r="L51" t="str">
        <f t="shared" si="9"/>
        <v/>
      </c>
      <c r="M51" t="str">
        <f t="shared" si="10"/>
        <v/>
      </c>
      <c r="O51" s="6">
        <f t="shared" si="11"/>
        <v>38</v>
      </c>
      <c r="P51" s="8" t="str">
        <f t="shared" si="0"/>
        <v/>
      </c>
      <c r="Q51" t="str">
        <f t="shared" si="1"/>
        <v/>
      </c>
      <c r="R51" t="str">
        <f t="shared" si="2"/>
        <v/>
      </c>
      <c r="S51" t="str">
        <f t="shared" si="3"/>
        <v/>
      </c>
      <c r="T51" t="str">
        <f t="shared" si="4"/>
        <v/>
      </c>
      <c r="U51" s="8"/>
      <c r="V51">
        <f t="shared" si="12"/>
        <v>39</v>
      </c>
      <c r="AG51" s="5"/>
      <c r="AH51" s="5"/>
      <c r="AI51" s="16"/>
      <c r="AY51" s="5"/>
    </row>
    <row r="52" spans="1:51" x14ac:dyDescent="0.2">
      <c r="A52">
        <f t="shared" si="13"/>
        <v>51</v>
      </c>
      <c r="B52" s="8">
        <f t="shared" si="5"/>
        <v>1</v>
      </c>
      <c r="C52">
        <f t="shared" si="14"/>
        <v>0</v>
      </c>
      <c r="D52" s="5">
        <f t="shared" si="15"/>
        <v>0</v>
      </c>
      <c r="I52" t="str">
        <f t="shared" si="6"/>
        <v/>
      </c>
      <c r="J52" t="str">
        <f t="shared" si="7"/>
        <v/>
      </c>
      <c r="K52" t="str">
        <f t="shared" si="8"/>
        <v/>
      </c>
      <c r="L52" t="str">
        <f t="shared" si="9"/>
        <v/>
      </c>
      <c r="M52" t="str">
        <f t="shared" si="10"/>
        <v/>
      </c>
      <c r="O52" s="6">
        <f t="shared" si="11"/>
        <v>38</v>
      </c>
      <c r="P52" s="8" t="str">
        <f t="shared" si="0"/>
        <v/>
      </c>
      <c r="Q52" t="str">
        <f t="shared" si="1"/>
        <v/>
      </c>
      <c r="R52" t="str">
        <f t="shared" si="2"/>
        <v/>
      </c>
      <c r="S52" t="str">
        <f t="shared" si="3"/>
        <v/>
      </c>
      <c r="T52" t="str">
        <f t="shared" si="4"/>
        <v/>
      </c>
      <c r="V52">
        <f t="shared" si="12"/>
        <v>39</v>
      </c>
      <c r="AG52" s="5"/>
      <c r="AH52" s="5"/>
      <c r="AI52" s="16"/>
      <c r="AY52" s="5"/>
    </row>
    <row r="53" spans="1:51" x14ac:dyDescent="0.2">
      <c r="A53">
        <f t="shared" si="13"/>
        <v>52</v>
      </c>
      <c r="B53" s="8">
        <f t="shared" si="5"/>
        <v>1</v>
      </c>
      <c r="C53">
        <f t="shared" si="14"/>
        <v>0</v>
      </c>
      <c r="D53" s="5">
        <f t="shared" si="15"/>
        <v>0</v>
      </c>
      <c r="I53" t="str">
        <f t="shared" si="6"/>
        <v/>
      </c>
      <c r="J53" t="str">
        <f t="shared" si="7"/>
        <v/>
      </c>
      <c r="K53" t="str">
        <f t="shared" si="8"/>
        <v/>
      </c>
      <c r="L53" t="str">
        <f t="shared" si="9"/>
        <v/>
      </c>
      <c r="M53" t="str">
        <f t="shared" si="10"/>
        <v/>
      </c>
      <c r="O53" s="6">
        <f t="shared" si="11"/>
        <v>38</v>
      </c>
      <c r="P53" s="8" t="str">
        <f t="shared" si="0"/>
        <v/>
      </c>
      <c r="Q53" t="str">
        <f t="shared" si="1"/>
        <v/>
      </c>
      <c r="R53" t="str">
        <f t="shared" si="2"/>
        <v/>
      </c>
      <c r="S53" t="str">
        <f t="shared" si="3"/>
        <v/>
      </c>
      <c r="T53" t="str">
        <f t="shared" si="4"/>
        <v/>
      </c>
      <c r="V53">
        <f t="shared" si="12"/>
        <v>39</v>
      </c>
      <c r="AG53" s="5"/>
      <c r="AH53" s="5"/>
      <c r="AI53" s="16"/>
      <c r="AY53" s="5"/>
    </row>
    <row r="54" spans="1:51" x14ac:dyDescent="0.2">
      <c r="A54">
        <f t="shared" si="13"/>
        <v>53</v>
      </c>
      <c r="B54" s="8">
        <f t="shared" si="5"/>
        <v>1</v>
      </c>
      <c r="C54">
        <f t="shared" si="14"/>
        <v>0</v>
      </c>
      <c r="D54" s="5">
        <f t="shared" si="15"/>
        <v>0</v>
      </c>
      <c r="I54" t="str">
        <f t="shared" si="6"/>
        <v/>
      </c>
      <c r="J54" t="str">
        <f t="shared" si="7"/>
        <v/>
      </c>
      <c r="K54" t="str">
        <f t="shared" si="8"/>
        <v/>
      </c>
      <c r="L54" t="str">
        <f t="shared" si="9"/>
        <v/>
      </c>
      <c r="M54" t="str">
        <f t="shared" si="10"/>
        <v/>
      </c>
      <c r="O54" s="6">
        <f t="shared" si="11"/>
        <v>38</v>
      </c>
      <c r="P54" s="8" t="str">
        <f t="shared" si="0"/>
        <v/>
      </c>
      <c r="Q54" t="str">
        <f t="shared" si="1"/>
        <v/>
      </c>
      <c r="R54" t="str">
        <f t="shared" si="2"/>
        <v/>
      </c>
      <c r="S54" t="str">
        <f t="shared" si="3"/>
        <v/>
      </c>
      <c r="T54" t="str">
        <f t="shared" si="4"/>
        <v/>
      </c>
      <c r="V54">
        <f t="shared" si="12"/>
        <v>39</v>
      </c>
      <c r="AG54" s="5"/>
      <c r="AH54" s="5"/>
      <c r="AI54" s="16"/>
      <c r="AY54" s="5"/>
    </row>
    <row r="55" spans="1:51" x14ac:dyDescent="0.2">
      <c r="A55">
        <f t="shared" si="13"/>
        <v>54</v>
      </c>
      <c r="B55" s="8">
        <f t="shared" si="5"/>
        <v>1</v>
      </c>
      <c r="C55">
        <f t="shared" si="14"/>
        <v>0</v>
      </c>
      <c r="D55" s="5">
        <f t="shared" si="15"/>
        <v>0</v>
      </c>
      <c r="I55" t="str">
        <f t="shared" si="6"/>
        <v/>
      </c>
      <c r="J55" t="str">
        <f t="shared" si="7"/>
        <v/>
      </c>
      <c r="K55" t="str">
        <f t="shared" si="8"/>
        <v/>
      </c>
      <c r="L55" t="str">
        <f t="shared" si="9"/>
        <v/>
      </c>
      <c r="M55" t="str">
        <f t="shared" si="10"/>
        <v/>
      </c>
      <c r="O55" s="6">
        <f t="shared" si="11"/>
        <v>38</v>
      </c>
      <c r="P55" s="8" t="str">
        <f t="shared" si="0"/>
        <v/>
      </c>
      <c r="Q55" t="str">
        <f t="shared" si="1"/>
        <v/>
      </c>
      <c r="R55" t="str">
        <f t="shared" si="2"/>
        <v/>
      </c>
      <c r="S55" t="str">
        <f t="shared" si="3"/>
        <v/>
      </c>
      <c r="T55" t="str">
        <f t="shared" si="4"/>
        <v/>
      </c>
      <c r="V55">
        <f t="shared" si="12"/>
        <v>39</v>
      </c>
      <c r="AG55" s="5"/>
      <c r="AH55" s="5"/>
      <c r="AI55" s="16"/>
      <c r="AY55" s="5"/>
    </row>
    <row r="56" spans="1:51" x14ac:dyDescent="0.2">
      <c r="A56">
        <f t="shared" si="13"/>
        <v>55</v>
      </c>
      <c r="B56" s="8">
        <f t="shared" si="5"/>
        <v>1</v>
      </c>
      <c r="C56">
        <f t="shared" si="14"/>
        <v>0</v>
      </c>
      <c r="D56" s="5">
        <f t="shared" si="15"/>
        <v>0</v>
      </c>
      <c r="I56" t="str">
        <f t="shared" si="6"/>
        <v/>
      </c>
      <c r="J56" t="str">
        <f t="shared" si="7"/>
        <v/>
      </c>
      <c r="K56" t="str">
        <f t="shared" si="8"/>
        <v/>
      </c>
      <c r="L56" t="str">
        <f t="shared" si="9"/>
        <v/>
      </c>
      <c r="M56" t="str">
        <f t="shared" si="10"/>
        <v/>
      </c>
      <c r="O56" s="6">
        <f t="shared" si="11"/>
        <v>38</v>
      </c>
      <c r="P56" s="8" t="str">
        <f t="shared" si="0"/>
        <v/>
      </c>
      <c r="Q56" t="str">
        <f t="shared" si="1"/>
        <v/>
      </c>
      <c r="R56" t="str">
        <f t="shared" si="2"/>
        <v/>
      </c>
      <c r="S56" t="str">
        <f t="shared" si="3"/>
        <v/>
      </c>
      <c r="T56" t="str">
        <f t="shared" si="4"/>
        <v/>
      </c>
      <c r="V56">
        <f t="shared" si="12"/>
        <v>39</v>
      </c>
      <c r="AG56" s="5"/>
      <c r="AH56" s="5"/>
      <c r="AI56" s="16"/>
      <c r="AY56" s="5"/>
    </row>
    <row r="57" spans="1:51" x14ac:dyDescent="0.2">
      <c r="A57">
        <f t="shared" si="13"/>
        <v>56</v>
      </c>
      <c r="B57" s="8">
        <f t="shared" si="5"/>
        <v>1</v>
      </c>
      <c r="C57">
        <f t="shared" si="14"/>
        <v>0</v>
      </c>
      <c r="D57" s="5">
        <f t="shared" si="15"/>
        <v>0</v>
      </c>
      <c r="I57" t="str">
        <f t="shared" si="6"/>
        <v/>
      </c>
      <c r="J57" t="str">
        <f t="shared" si="7"/>
        <v/>
      </c>
      <c r="K57" t="str">
        <f t="shared" si="8"/>
        <v/>
      </c>
      <c r="L57" t="str">
        <f t="shared" si="9"/>
        <v/>
      </c>
      <c r="M57" t="str">
        <f t="shared" si="10"/>
        <v/>
      </c>
      <c r="O57" s="6">
        <f t="shared" si="11"/>
        <v>38</v>
      </c>
      <c r="P57" s="8" t="str">
        <f t="shared" si="0"/>
        <v/>
      </c>
      <c r="Q57" t="str">
        <f t="shared" si="1"/>
        <v/>
      </c>
      <c r="R57" t="str">
        <f t="shared" si="2"/>
        <v/>
      </c>
      <c r="S57" t="str">
        <f t="shared" si="3"/>
        <v/>
      </c>
      <c r="T57" t="str">
        <f t="shared" si="4"/>
        <v/>
      </c>
      <c r="V57">
        <f t="shared" si="12"/>
        <v>39</v>
      </c>
      <c r="AG57" s="5"/>
      <c r="AH57" s="5"/>
      <c r="AI57" s="16"/>
      <c r="AY57" s="5"/>
    </row>
    <row r="58" spans="1:51" x14ac:dyDescent="0.2">
      <c r="A58">
        <f t="shared" si="13"/>
        <v>57</v>
      </c>
      <c r="B58" s="8">
        <f t="shared" si="5"/>
        <v>1</v>
      </c>
      <c r="C58">
        <f t="shared" si="14"/>
        <v>0</v>
      </c>
      <c r="D58" s="5">
        <f t="shared" si="15"/>
        <v>0</v>
      </c>
      <c r="I58" t="str">
        <f t="shared" si="6"/>
        <v/>
      </c>
      <c r="J58" t="str">
        <f t="shared" si="7"/>
        <v/>
      </c>
      <c r="K58" t="str">
        <f t="shared" si="8"/>
        <v/>
      </c>
      <c r="L58" t="str">
        <f t="shared" si="9"/>
        <v/>
      </c>
      <c r="M58" t="str">
        <f t="shared" si="10"/>
        <v/>
      </c>
      <c r="O58" s="6">
        <f t="shared" si="11"/>
        <v>38</v>
      </c>
      <c r="P58" s="8" t="str">
        <f t="shared" si="0"/>
        <v/>
      </c>
      <c r="Q58" t="str">
        <f t="shared" si="1"/>
        <v/>
      </c>
      <c r="R58" t="str">
        <f t="shared" si="2"/>
        <v/>
      </c>
      <c r="S58" t="str">
        <f t="shared" si="3"/>
        <v/>
      </c>
      <c r="T58" t="str">
        <f t="shared" si="4"/>
        <v/>
      </c>
      <c r="V58">
        <f t="shared" si="12"/>
        <v>39</v>
      </c>
      <c r="AG58" s="5"/>
      <c r="AH58" s="5"/>
      <c r="AI58" s="16"/>
      <c r="AY58" s="5"/>
    </row>
    <row r="59" spans="1:51" x14ac:dyDescent="0.2">
      <c r="A59">
        <f t="shared" si="13"/>
        <v>58</v>
      </c>
      <c r="B59" s="8">
        <f t="shared" si="5"/>
        <v>1</v>
      </c>
      <c r="C59">
        <f t="shared" si="14"/>
        <v>0</v>
      </c>
      <c r="D59" s="5">
        <f t="shared" si="15"/>
        <v>0</v>
      </c>
      <c r="I59" t="str">
        <f t="shared" si="6"/>
        <v/>
      </c>
      <c r="J59" t="str">
        <f t="shared" si="7"/>
        <v/>
      </c>
      <c r="K59" t="str">
        <f t="shared" si="8"/>
        <v/>
      </c>
      <c r="L59" t="str">
        <f t="shared" si="9"/>
        <v/>
      </c>
      <c r="M59" t="str">
        <f t="shared" si="10"/>
        <v/>
      </c>
      <c r="O59" s="6">
        <f t="shared" si="11"/>
        <v>38</v>
      </c>
      <c r="P59" s="8" t="str">
        <f t="shared" si="0"/>
        <v/>
      </c>
      <c r="Q59" t="str">
        <f t="shared" si="1"/>
        <v/>
      </c>
      <c r="R59" t="str">
        <f t="shared" si="2"/>
        <v/>
      </c>
      <c r="S59" t="str">
        <f t="shared" si="3"/>
        <v/>
      </c>
      <c r="T59" t="str">
        <f t="shared" si="4"/>
        <v/>
      </c>
      <c r="V59">
        <f t="shared" si="12"/>
        <v>39</v>
      </c>
      <c r="AG59" s="5"/>
      <c r="AH59" s="5"/>
      <c r="AI59" s="16"/>
      <c r="AY59" s="5"/>
    </row>
    <row r="60" spans="1:51" x14ac:dyDescent="0.2">
      <c r="A60">
        <f t="shared" si="13"/>
        <v>59</v>
      </c>
      <c r="B60" s="8">
        <f t="shared" si="5"/>
        <v>1</v>
      </c>
      <c r="C60">
        <f t="shared" si="14"/>
        <v>0</v>
      </c>
      <c r="D60" s="5">
        <f t="shared" si="15"/>
        <v>0</v>
      </c>
      <c r="I60" t="str">
        <f t="shared" si="6"/>
        <v/>
      </c>
      <c r="J60" t="str">
        <f t="shared" si="7"/>
        <v/>
      </c>
      <c r="K60" t="str">
        <f t="shared" si="8"/>
        <v/>
      </c>
      <c r="L60" t="str">
        <f t="shared" si="9"/>
        <v/>
      </c>
      <c r="M60" t="str">
        <f t="shared" si="10"/>
        <v/>
      </c>
      <c r="O60" s="6">
        <f t="shared" si="11"/>
        <v>38</v>
      </c>
      <c r="P60" s="8" t="str">
        <f t="shared" si="0"/>
        <v/>
      </c>
      <c r="Q60" t="str">
        <f t="shared" si="1"/>
        <v/>
      </c>
      <c r="R60" t="str">
        <f t="shared" si="2"/>
        <v/>
      </c>
      <c r="S60" t="str">
        <f t="shared" si="3"/>
        <v/>
      </c>
      <c r="T60" t="str">
        <f t="shared" si="4"/>
        <v/>
      </c>
      <c r="V60">
        <f t="shared" si="12"/>
        <v>39</v>
      </c>
      <c r="AG60" s="5"/>
      <c r="AH60" s="5"/>
      <c r="AI60" s="16"/>
      <c r="AY60" s="5"/>
    </row>
    <row r="61" spans="1:51" x14ac:dyDescent="0.2">
      <c r="A61">
        <f t="shared" si="13"/>
        <v>60</v>
      </c>
      <c r="B61" s="8">
        <f t="shared" si="5"/>
        <v>1</v>
      </c>
      <c r="C61">
        <f t="shared" si="14"/>
        <v>0</v>
      </c>
      <c r="D61" s="5">
        <f t="shared" si="15"/>
        <v>0</v>
      </c>
      <c r="I61" t="str">
        <f t="shared" si="6"/>
        <v/>
      </c>
      <c r="J61" t="str">
        <f t="shared" si="7"/>
        <v/>
      </c>
      <c r="K61" t="str">
        <f t="shared" si="8"/>
        <v/>
      </c>
      <c r="L61" t="str">
        <f t="shared" si="9"/>
        <v/>
      </c>
      <c r="M61" t="str">
        <f t="shared" si="10"/>
        <v/>
      </c>
      <c r="O61" s="6">
        <f t="shared" si="11"/>
        <v>38</v>
      </c>
      <c r="P61" s="8" t="str">
        <f t="shared" si="0"/>
        <v/>
      </c>
      <c r="Q61" t="str">
        <f t="shared" si="1"/>
        <v/>
      </c>
      <c r="R61" t="str">
        <f t="shared" si="2"/>
        <v/>
      </c>
      <c r="S61" t="str">
        <f t="shared" si="3"/>
        <v/>
      </c>
      <c r="T61" t="str">
        <f t="shared" si="4"/>
        <v/>
      </c>
      <c r="V61">
        <f t="shared" si="12"/>
        <v>39</v>
      </c>
      <c r="AG61" s="5"/>
      <c r="AH61" s="5"/>
      <c r="AI61" s="16"/>
      <c r="AY61" s="5"/>
    </row>
    <row r="62" spans="1:51" x14ac:dyDescent="0.2">
      <c r="A62">
        <f t="shared" si="13"/>
        <v>61</v>
      </c>
      <c r="B62" s="8">
        <f t="shared" si="5"/>
        <v>1</v>
      </c>
      <c r="C62">
        <f t="shared" si="14"/>
        <v>0</v>
      </c>
      <c r="D62" s="5">
        <f t="shared" si="15"/>
        <v>0</v>
      </c>
      <c r="I62" t="str">
        <f t="shared" si="6"/>
        <v/>
      </c>
      <c r="J62" t="str">
        <f t="shared" si="7"/>
        <v/>
      </c>
      <c r="K62" t="str">
        <f t="shared" si="8"/>
        <v/>
      </c>
      <c r="L62" t="str">
        <f t="shared" si="9"/>
        <v/>
      </c>
      <c r="M62" t="str">
        <f t="shared" si="10"/>
        <v/>
      </c>
      <c r="O62" s="6">
        <f t="shared" si="11"/>
        <v>38</v>
      </c>
      <c r="P62" s="8" t="str">
        <f t="shared" si="0"/>
        <v/>
      </c>
      <c r="Q62" t="str">
        <f t="shared" si="1"/>
        <v/>
      </c>
      <c r="R62" t="str">
        <f t="shared" si="2"/>
        <v/>
      </c>
      <c r="S62" t="str">
        <f t="shared" si="3"/>
        <v/>
      </c>
      <c r="T62" t="str">
        <f t="shared" si="4"/>
        <v/>
      </c>
      <c r="V62">
        <f t="shared" si="12"/>
        <v>39</v>
      </c>
      <c r="AG62" s="5"/>
      <c r="AH62" s="5"/>
      <c r="AI62" s="16"/>
      <c r="AY62" s="5"/>
    </row>
    <row r="63" spans="1:51" x14ac:dyDescent="0.2">
      <c r="A63">
        <f t="shared" si="13"/>
        <v>62</v>
      </c>
      <c r="B63" s="8">
        <f t="shared" si="5"/>
        <v>1</v>
      </c>
      <c r="C63">
        <f t="shared" si="14"/>
        <v>0</v>
      </c>
      <c r="D63" s="5">
        <f t="shared" si="15"/>
        <v>0</v>
      </c>
      <c r="I63" t="str">
        <f t="shared" si="6"/>
        <v/>
      </c>
      <c r="J63" t="str">
        <f t="shared" si="7"/>
        <v/>
      </c>
      <c r="K63" t="str">
        <f t="shared" si="8"/>
        <v/>
      </c>
      <c r="L63" t="str">
        <f t="shared" si="9"/>
        <v/>
      </c>
      <c r="M63" t="str">
        <f t="shared" si="10"/>
        <v/>
      </c>
      <c r="O63" s="6">
        <f t="shared" si="11"/>
        <v>38</v>
      </c>
      <c r="P63" s="8" t="str">
        <f t="shared" si="0"/>
        <v/>
      </c>
      <c r="Q63" t="str">
        <f t="shared" si="1"/>
        <v/>
      </c>
      <c r="R63" t="str">
        <f t="shared" si="2"/>
        <v/>
      </c>
      <c r="S63" t="str">
        <f t="shared" si="3"/>
        <v/>
      </c>
      <c r="T63" t="str">
        <f t="shared" si="4"/>
        <v/>
      </c>
      <c r="V63">
        <f t="shared" si="12"/>
        <v>39</v>
      </c>
      <c r="AG63" s="5"/>
      <c r="AH63" s="5"/>
      <c r="AI63" s="16"/>
      <c r="AY63" s="5"/>
    </row>
    <row r="64" spans="1:51" x14ac:dyDescent="0.2">
      <c r="A64">
        <f t="shared" si="13"/>
        <v>63</v>
      </c>
      <c r="B64" s="8">
        <f t="shared" si="5"/>
        <v>1</v>
      </c>
      <c r="C64">
        <f t="shared" si="14"/>
        <v>0</v>
      </c>
      <c r="D64" s="5">
        <f t="shared" si="15"/>
        <v>0</v>
      </c>
      <c r="I64" t="str">
        <f t="shared" si="6"/>
        <v/>
      </c>
      <c r="J64" t="str">
        <f t="shared" si="7"/>
        <v/>
      </c>
      <c r="K64" t="str">
        <f t="shared" si="8"/>
        <v/>
      </c>
      <c r="L64" t="str">
        <f t="shared" si="9"/>
        <v/>
      </c>
      <c r="M64" t="str">
        <f t="shared" si="10"/>
        <v/>
      </c>
      <c r="O64" s="6">
        <f t="shared" si="11"/>
        <v>38</v>
      </c>
      <c r="P64" s="8" t="str">
        <f t="shared" si="0"/>
        <v/>
      </c>
      <c r="Q64" t="str">
        <f t="shared" si="1"/>
        <v/>
      </c>
      <c r="R64" t="str">
        <f t="shared" si="2"/>
        <v/>
      </c>
      <c r="S64" t="str">
        <f t="shared" si="3"/>
        <v/>
      </c>
      <c r="T64" t="str">
        <f t="shared" si="4"/>
        <v/>
      </c>
      <c r="V64">
        <f t="shared" si="12"/>
        <v>39</v>
      </c>
      <c r="AG64" s="5"/>
      <c r="AH64" s="5"/>
      <c r="AI64" s="16"/>
      <c r="AY64" s="5"/>
    </row>
    <row r="65" spans="1:51" x14ac:dyDescent="0.2">
      <c r="A65">
        <f t="shared" si="13"/>
        <v>64</v>
      </c>
      <c r="B65" s="8">
        <f t="shared" si="5"/>
        <v>1</v>
      </c>
      <c r="C65">
        <f t="shared" si="14"/>
        <v>0</v>
      </c>
      <c r="D65" s="5">
        <f t="shared" si="15"/>
        <v>0</v>
      </c>
      <c r="I65" t="str">
        <f t="shared" si="6"/>
        <v/>
      </c>
      <c r="J65" t="str">
        <f t="shared" si="7"/>
        <v/>
      </c>
      <c r="K65" t="str">
        <f t="shared" si="8"/>
        <v/>
      </c>
      <c r="L65" t="str">
        <f t="shared" si="9"/>
        <v/>
      </c>
      <c r="M65" t="str">
        <f t="shared" si="10"/>
        <v/>
      </c>
      <c r="O65" s="6">
        <f t="shared" si="11"/>
        <v>38</v>
      </c>
      <c r="P65" s="8" t="str">
        <f t="shared" si="0"/>
        <v/>
      </c>
      <c r="Q65" t="str">
        <f t="shared" si="1"/>
        <v/>
      </c>
      <c r="R65" t="str">
        <f t="shared" si="2"/>
        <v/>
      </c>
      <c r="S65" t="str">
        <f t="shared" si="3"/>
        <v/>
      </c>
      <c r="T65" t="str">
        <f t="shared" si="4"/>
        <v/>
      </c>
      <c r="V65">
        <f t="shared" si="12"/>
        <v>39</v>
      </c>
      <c r="AG65" s="5"/>
      <c r="AH65" s="5"/>
      <c r="AI65" s="16"/>
      <c r="AY65" s="5"/>
    </row>
    <row r="66" spans="1:51" x14ac:dyDescent="0.2">
      <c r="A66">
        <f t="shared" si="13"/>
        <v>65</v>
      </c>
      <c r="B66" s="8">
        <f t="shared" si="5"/>
        <v>1</v>
      </c>
      <c r="C66">
        <f t="shared" si="14"/>
        <v>0</v>
      </c>
      <c r="D66" s="5">
        <f t="shared" si="15"/>
        <v>0</v>
      </c>
      <c r="I66" t="str">
        <f t="shared" si="6"/>
        <v/>
      </c>
      <c r="J66" t="str">
        <f t="shared" si="7"/>
        <v/>
      </c>
      <c r="K66" t="str">
        <f t="shared" si="8"/>
        <v/>
      </c>
      <c r="L66" t="str">
        <f t="shared" si="9"/>
        <v/>
      </c>
      <c r="M66" t="str">
        <f t="shared" si="10"/>
        <v/>
      </c>
      <c r="O66" s="6">
        <f t="shared" si="11"/>
        <v>38</v>
      </c>
      <c r="P66" s="8" t="str">
        <f t="shared" si="0"/>
        <v/>
      </c>
      <c r="Q66" t="str">
        <f t="shared" si="1"/>
        <v/>
      </c>
      <c r="R66" t="str">
        <f t="shared" si="2"/>
        <v/>
      </c>
      <c r="S66" t="str">
        <f t="shared" si="3"/>
        <v/>
      </c>
      <c r="T66" t="str">
        <f t="shared" si="4"/>
        <v/>
      </c>
      <c r="V66">
        <f t="shared" si="12"/>
        <v>39</v>
      </c>
      <c r="AG66" s="5"/>
      <c r="AH66" s="5"/>
      <c r="AI66" s="16"/>
      <c r="AY66" s="5"/>
    </row>
    <row r="67" spans="1:51" x14ac:dyDescent="0.2">
      <c r="A67">
        <f t="shared" si="13"/>
        <v>66</v>
      </c>
      <c r="B67" s="8">
        <f t="shared" si="5"/>
        <v>1</v>
      </c>
      <c r="C67">
        <f t="shared" si="14"/>
        <v>0</v>
      </c>
      <c r="D67" s="5">
        <f t="shared" si="15"/>
        <v>0</v>
      </c>
      <c r="I67" t="str">
        <f t="shared" si="6"/>
        <v/>
      </c>
      <c r="J67" t="str">
        <f t="shared" si="7"/>
        <v/>
      </c>
      <c r="K67" t="str">
        <f t="shared" si="8"/>
        <v/>
      </c>
      <c r="L67" t="str">
        <f t="shared" si="9"/>
        <v/>
      </c>
      <c r="M67" t="str">
        <f t="shared" si="10"/>
        <v/>
      </c>
      <c r="O67" s="6">
        <f t="shared" si="11"/>
        <v>38</v>
      </c>
      <c r="P67" s="8" t="str">
        <f t="shared" ref="P67:P130" si="18">IF($D67&gt;0,P66,"")</f>
        <v/>
      </c>
      <c r="Q67" t="str">
        <f t="shared" ref="Q67:Q130" si="19">IF($D67&gt;0,Q66,"")</f>
        <v/>
      </c>
      <c r="R67" t="str">
        <f t="shared" ref="R67:R130" si="20">IF($D67&gt;0,R66,"")</f>
        <v/>
      </c>
      <c r="S67" t="str">
        <f t="shared" ref="S67:S130" si="21">IF($D67&gt;0,S66,"")</f>
        <v/>
      </c>
      <c r="T67" t="str">
        <f t="shared" ref="T67:T130" si="22">IF($D67&gt;0,T66,"")</f>
        <v/>
      </c>
      <c r="V67">
        <f t="shared" si="12"/>
        <v>39</v>
      </c>
      <c r="AG67" s="5"/>
      <c r="AH67" s="5"/>
      <c r="AI67" s="16"/>
      <c r="AY67" s="5"/>
    </row>
    <row r="68" spans="1:51" x14ac:dyDescent="0.2">
      <c r="A68">
        <f t="shared" si="13"/>
        <v>67</v>
      </c>
      <c r="B68" s="8">
        <f t="shared" ref="B68:B131" si="23">IF(G68="PeriodStart",B67+1,B67)</f>
        <v>1</v>
      </c>
      <c r="C68">
        <f t="shared" ref="C68:C131" si="24">IF(G68&lt;&gt;"PeriodStart",E67,18)</f>
        <v>0</v>
      </c>
      <c r="D68" s="5">
        <f t="shared" ref="D68:D131" si="25">F67</f>
        <v>0</v>
      </c>
      <c r="I68" t="str">
        <f t="shared" ref="I68:I131" si="26">IF($D68&gt;0,I67,"")</f>
        <v/>
      </c>
      <c r="J68" t="str">
        <f t="shared" ref="J68:J131" si="27">IF($D68&gt;0,J67,"")</f>
        <v/>
      </c>
      <c r="K68" t="str">
        <f t="shared" ref="K68:K131" si="28">IF($D68&gt;0,K67,"")</f>
        <v/>
      </c>
      <c r="L68" t="str">
        <f t="shared" ref="L68:L131" si="29">IF($D68&gt;0,L67,"")</f>
        <v/>
      </c>
      <c r="M68" t="str">
        <f t="shared" ref="M68:M131" si="30">IF($D68&gt;0,M67,"")</f>
        <v/>
      </c>
      <c r="O68" s="6">
        <f t="shared" ref="O68:O80" si="31">O67</f>
        <v>38</v>
      </c>
      <c r="P68" s="8" t="str">
        <f t="shared" si="18"/>
        <v/>
      </c>
      <c r="Q68" t="str">
        <f t="shared" si="19"/>
        <v/>
      </c>
      <c r="R68" t="str">
        <f t="shared" si="20"/>
        <v/>
      </c>
      <c r="S68" t="str">
        <f t="shared" si="21"/>
        <v/>
      </c>
      <c r="T68" t="str">
        <f t="shared" si="22"/>
        <v/>
      </c>
      <c r="V68">
        <f t="shared" ref="V68:V131" si="32">V67</f>
        <v>39</v>
      </c>
      <c r="AG68" s="5"/>
      <c r="AH68" s="5"/>
      <c r="AI68" s="16"/>
      <c r="AY68" s="5"/>
    </row>
    <row r="69" spans="1:51" x14ac:dyDescent="0.2">
      <c r="A69">
        <f t="shared" ref="A69:A132" si="33">A68+1</f>
        <v>68</v>
      </c>
      <c r="B69" s="8">
        <f t="shared" si="23"/>
        <v>1</v>
      </c>
      <c r="C69">
        <f t="shared" si="24"/>
        <v>0</v>
      </c>
      <c r="D69" s="5">
        <f t="shared" si="25"/>
        <v>0</v>
      </c>
      <c r="I69" t="str">
        <f t="shared" si="26"/>
        <v/>
      </c>
      <c r="J69" t="str">
        <f t="shared" si="27"/>
        <v/>
      </c>
      <c r="K69" t="str">
        <f t="shared" si="28"/>
        <v/>
      </c>
      <c r="L69" t="str">
        <f t="shared" si="29"/>
        <v/>
      </c>
      <c r="M69" t="str">
        <f t="shared" si="30"/>
        <v/>
      </c>
      <c r="O69" s="6">
        <f t="shared" si="31"/>
        <v>38</v>
      </c>
      <c r="P69" s="8" t="str">
        <f t="shared" si="18"/>
        <v/>
      </c>
      <c r="Q69" t="str">
        <f t="shared" si="19"/>
        <v/>
      </c>
      <c r="R69" t="str">
        <f t="shared" si="20"/>
        <v/>
      </c>
      <c r="S69" t="str">
        <f t="shared" si="21"/>
        <v/>
      </c>
      <c r="T69" t="str">
        <f t="shared" si="22"/>
        <v/>
      </c>
      <c r="V69">
        <f t="shared" si="32"/>
        <v>39</v>
      </c>
      <c r="AG69" s="5"/>
      <c r="AH69" s="5"/>
      <c r="AI69" s="16"/>
      <c r="AY69" s="5"/>
    </row>
    <row r="70" spans="1:51" x14ac:dyDescent="0.2">
      <c r="A70">
        <f t="shared" si="33"/>
        <v>69</v>
      </c>
      <c r="B70" s="8">
        <f t="shared" si="23"/>
        <v>1</v>
      </c>
      <c r="C70">
        <f t="shared" si="24"/>
        <v>0</v>
      </c>
      <c r="D70" s="5">
        <f t="shared" si="25"/>
        <v>0</v>
      </c>
      <c r="I70" t="str">
        <f t="shared" si="26"/>
        <v/>
      </c>
      <c r="J70" t="str">
        <f t="shared" si="27"/>
        <v/>
      </c>
      <c r="K70" t="str">
        <f t="shared" si="28"/>
        <v/>
      </c>
      <c r="L70" t="str">
        <f t="shared" si="29"/>
        <v/>
      </c>
      <c r="M70" t="str">
        <f t="shared" si="30"/>
        <v/>
      </c>
      <c r="O70" s="6">
        <f t="shared" si="31"/>
        <v>38</v>
      </c>
      <c r="P70" s="8" t="str">
        <f t="shared" si="18"/>
        <v/>
      </c>
      <c r="Q70" t="str">
        <f t="shared" si="19"/>
        <v/>
      </c>
      <c r="R70" t="str">
        <f t="shared" si="20"/>
        <v/>
      </c>
      <c r="S70" t="str">
        <f t="shared" si="21"/>
        <v/>
      </c>
      <c r="T70" t="str">
        <f t="shared" si="22"/>
        <v/>
      </c>
      <c r="V70">
        <f t="shared" si="32"/>
        <v>39</v>
      </c>
      <c r="AG70" s="5"/>
      <c r="AH70" s="5"/>
      <c r="AI70" s="16"/>
      <c r="AY70" s="5"/>
    </row>
    <row r="71" spans="1:51" x14ac:dyDescent="0.2">
      <c r="A71">
        <f t="shared" si="33"/>
        <v>70</v>
      </c>
      <c r="B71" s="8">
        <f t="shared" si="23"/>
        <v>1</v>
      </c>
      <c r="C71">
        <f t="shared" si="24"/>
        <v>0</v>
      </c>
      <c r="D71" s="5">
        <f t="shared" si="25"/>
        <v>0</v>
      </c>
      <c r="I71" t="str">
        <f t="shared" si="26"/>
        <v/>
      </c>
      <c r="J71" t="str">
        <f t="shared" si="27"/>
        <v/>
      </c>
      <c r="K71" t="str">
        <f t="shared" si="28"/>
        <v/>
      </c>
      <c r="L71" t="str">
        <f t="shared" si="29"/>
        <v/>
      </c>
      <c r="M71" t="str">
        <f t="shared" si="30"/>
        <v/>
      </c>
      <c r="O71" s="6">
        <f t="shared" si="31"/>
        <v>38</v>
      </c>
      <c r="P71" s="8" t="str">
        <f t="shared" si="18"/>
        <v/>
      </c>
      <c r="Q71" t="str">
        <f t="shared" si="19"/>
        <v/>
      </c>
      <c r="R71" t="str">
        <f t="shared" si="20"/>
        <v/>
      </c>
      <c r="S71" t="str">
        <f t="shared" si="21"/>
        <v/>
      </c>
      <c r="T71" t="str">
        <f t="shared" si="22"/>
        <v/>
      </c>
      <c r="V71">
        <f t="shared" si="32"/>
        <v>39</v>
      </c>
      <c r="AG71" s="5"/>
      <c r="AH71" s="5"/>
      <c r="AI71" s="16"/>
      <c r="AY71" s="5"/>
    </row>
    <row r="72" spans="1:51" x14ac:dyDescent="0.2">
      <c r="A72">
        <f t="shared" si="33"/>
        <v>71</v>
      </c>
      <c r="B72" s="8">
        <f t="shared" si="23"/>
        <v>1</v>
      </c>
      <c r="C72">
        <f t="shared" si="24"/>
        <v>0</v>
      </c>
      <c r="D72" s="5">
        <f t="shared" si="25"/>
        <v>0</v>
      </c>
      <c r="I72" t="str">
        <f t="shared" si="26"/>
        <v/>
      </c>
      <c r="J72" t="str">
        <f t="shared" si="27"/>
        <v/>
      </c>
      <c r="K72" t="str">
        <f t="shared" si="28"/>
        <v/>
      </c>
      <c r="L72" t="str">
        <f t="shared" si="29"/>
        <v/>
      </c>
      <c r="M72" t="str">
        <f t="shared" si="30"/>
        <v/>
      </c>
      <c r="O72" s="6">
        <f t="shared" si="31"/>
        <v>38</v>
      </c>
      <c r="P72" s="8" t="str">
        <f t="shared" si="18"/>
        <v/>
      </c>
      <c r="Q72" t="str">
        <f t="shared" si="19"/>
        <v/>
      </c>
      <c r="R72" t="str">
        <f t="shared" si="20"/>
        <v/>
      </c>
      <c r="S72" t="str">
        <f t="shared" si="21"/>
        <v/>
      </c>
      <c r="T72" t="str">
        <f t="shared" si="22"/>
        <v/>
      </c>
      <c r="V72">
        <f t="shared" si="32"/>
        <v>39</v>
      </c>
      <c r="AG72" s="5"/>
      <c r="AH72" s="5"/>
      <c r="AI72" s="16"/>
      <c r="AY72" s="5"/>
    </row>
    <row r="73" spans="1:51" x14ac:dyDescent="0.2">
      <c r="A73">
        <f t="shared" si="33"/>
        <v>72</v>
      </c>
      <c r="B73" s="8">
        <f t="shared" si="23"/>
        <v>1</v>
      </c>
      <c r="C73">
        <f t="shared" si="24"/>
        <v>0</v>
      </c>
      <c r="D73" s="5">
        <f t="shared" si="25"/>
        <v>0</v>
      </c>
      <c r="I73" t="str">
        <f t="shared" si="26"/>
        <v/>
      </c>
      <c r="J73" t="str">
        <f t="shared" si="27"/>
        <v/>
      </c>
      <c r="K73" t="str">
        <f t="shared" si="28"/>
        <v/>
      </c>
      <c r="L73" t="str">
        <f t="shared" si="29"/>
        <v/>
      </c>
      <c r="M73" t="str">
        <f t="shared" si="30"/>
        <v/>
      </c>
      <c r="O73" s="6">
        <f t="shared" si="31"/>
        <v>38</v>
      </c>
      <c r="P73" s="8" t="str">
        <f t="shared" si="18"/>
        <v/>
      </c>
      <c r="Q73" t="str">
        <f t="shared" si="19"/>
        <v/>
      </c>
      <c r="R73" t="str">
        <f t="shared" si="20"/>
        <v/>
      </c>
      <c r="S73" t="str">
        <f t="shared" si="21"/>
        <v/>
      </c>
      <c r="T73" t="str">
        <f t="shared" si="22"/>
        <v/>
      </c>
      <c r="V73">
        <f t="shared" si="32"/>
        <v>39</v>
      </c>
      <c r="AG73" s="5"/>
      <c r="AH73" s="5"/>
      <c r="AI73" s="16"/>
      <c r="AY73" s="5"/>
    </row>
    <row r="74" spans="1:51" x14ac:dyDescent="0.2">
      <c r="A74">
        <f t="shared" si="33"/>
        <v>73</v>
      </c>
      <c r="B74" s="8">
        <f t="shared" si="23"/>
        <v>1</v>
      </c>
      <c r="C74">
        <f t="shared" si="24"/>
        <v>0</v>
      </c>
      <c r="D74" s="5">
        <f t="shared" si="25"/>
        <v>0</v>
      </c>
      <c r="I74" t="str">
        <f t="shared" si="26"/>
        <v/>
      </c>
      <c r="J74" t="str">
        <f t="shared" si="27"/>
        <v/>
      </c>
      <c r="K74" t="str">
        <f t="shared" si="28"/>
        <v/>
      </c>
      <c r="L74" t="str">
        <f t="shared" si="29"/>
        <v/>
      </c>
      <c r="M74" t="str">
        <f t="shared" si="30"/>
        <v/>
      </c>
      <c r="O74" s="6">
        <f t="shared" si="31"/>
        <v>38</v>
      </c>
      <c r="P74" s="8" t="str">
        <f t="shared" si="18"/>
        <v/>
      </c>
      <c r="Q74" t="str">
        <f t="shared" si="19"/>
        <v/>
      </c>
      <c r="R74" t="str">
        <f t="shared" si="20"/>
        <v/>
      </c>
      <c r="S74" t="str">
        <f t="shared" si="21"/>
        <v/>
      </c>
      <c r="T74" t="str">
        <f t="shared" si="22"/>
        <v/>
      </c>
      <c r="V74">
        <f t="shared" si="32"/>
        <v>39</v>
      </c>
      <c r="AG74" s="5"/>
      <c r="AH74" s="5"/>
      <c r="AI74" s="16"/>
      <c r="AY74" s="5"/>
    </row>
    <row r="75" spans="1:51" x14ac:dyDescent="0.2">
      <c r="A75">
        <f t="shared" si="33"/>
        <v>74</v>
      </c>
      <c r="B75" s="8">
        <f t="shared" si="23"/>
        <v>1</v>
      </c>
      <c r="C75">
        <f t="shared" si="24"/>
        <v>0</v>
      </c>
      <c r="D75" s="5">
        <f t="shared" si="25"/>
        <v>0</v>
      </c>
      <c r="I75" t="str">
        <f t="shared" si="26"/>
        <v/>
      </c>
      <c r="J75" t="str">
        <f t="shared" si="27"/>
        <v/>
      </c>
      <c r="K75" t="str">
        <f t="shared" si="28"/>
        <v/>
      </c>
      <c r="L75" t="str">
        <f t="shared" si="29"/>
        <v/>
      </c>
      <c r="M75" t="str">
        <f t="shared" si="30"/>
        <v/>
      </c>
      <c r="O75" s="6">
        <f t="shared" si="31"/>
        <v>38</v>
      </c>
      <c r="P75" s="8" t="str">
        <f t="shared" si="18"/>
        <v/>
      </c>
      <c r="Q75" t="str">
        <f t="shared" si="19"/>
        <v/>
      </c>
      <c r="R75" t="str">
        <f t="shared" si="20"/>
        <v/>
      </c>
      <c r="S75" t="str">
        <f t="shared" si="21"/>
        <v/>
      </c>
      <c r="T75" t="str">
        <f t="shared" si="22"/>
        <v/>
      </c>
      <c r="V75">
        <f t="shared" si="32"/>
        <v>39</v>
      </c>
      <c r="AG75" s="5"/>
      <c r="AH75" s="5"/>
      <c r="AI75" s="16"/>
      <c r="AY75" s="5"/>
    </row>
    <row r="76" spans="1:51" x14ac:dyDescent="0.2">
      <c r="A76">
        <f t="shared" si="33"/>
        <v>75</v>
      </c>
      <c r="B76" s="8">
        <f t="shared" si="23"/>
        <v>1</v>
      </c>
      <c r="C76">
        <f t="shared" si="24"/>
        <v>0</v>
      </c>
      <c r="D76" s="5">
        <f t="shared" si="25"/>
        <v>0</v>
      </c>
      <c r="I76" t="str">
        <f t="shared" si="26"/>
        <v/>
      </c>
      <c r="J76" t="str">
        <f t="shared" si="27"/>
        <v/>
      </c>
      <c r="K76" t="str">
        <f t="shared" si="28"/>
        <v/>
      </c>
      <c r="L76" t="str">
        <f t="shared" si="29"/>
        <v/>
      </c>
      <c r="M76" t="str">
        <f t="shared" si="30"/>
        <v/>
      </c>
      <c r="O76" s="6">
        <f t="shared" si="31"/>
        <v>38</v>
      </c>
      <c r="P76" s="8" t="str">
        <f t="shared" si="18"/>
        <v/>
      </c>
      <c r="Q76" t="str">
        <f t="shared" si="19"/>
        <v/>
      </c>
      <c r="R76" t="str">
        <f t="shared" si="20"/>
        <v/>
      </c>
      <c r="S76" t="str">
        <f t="shared" si="21"/>
        <v/>
      </c>
      <c r="T76" t="str">
        <f t="shared" si="22"/>
        <v/>
      </c>
      <c r="V76">
        <f t="shared" si="32"/>
        <v>39</v>
      </c>
      <c r="AG76" s="5"/>
      <c r="AH76" s="5"/>
      <c r="AI76" s="16"/>
      <c r="AY76" s="5"/>
    </row>
    <row r="77" spans="1:51" x14ac:dyDescent="0.2">
      <c r="A77">
        <f t="shared" si="33"/>
        <v>76</v>
      </c>
      <c r="B77" s="8">
        <f t="shared" si="23"/>
        <v>1</v>
      </c>
      <c r="C77">
        <f t="shared" si="24"/>
        <v>0</v>
      </c>
      <c r="D77" s="5">
        <f t="shared" si="25"/>
        <v>0</v>
      </c>
      <c r="I77" t="str">
        <f t="shared" si="26"/>
        <v/>
      </c>
      <c r="J77" t="str">
        <f t="shared" si="27"/>
        <v/>
      </c>
      <c r="K77" t="str">
        <f t="shared" si="28"/>
        <v/>
      </c>
      <c r="L77" t="str">
        <f t="shared" si="29"/>
        <v/>
      </c>
      <c r="M77" t="str">
        <f t="shared" si="30"/>
        <v/>
      </c>
      <c r="O77" s="6">
        <f t="shared" si="31"/>
        <v>38</v>
      </c>
      <c r="P77" s="8" t="str">
        <f t="shared" si="18"/>
        <v/>
      </c>
      <c r="Q77" t="str">
        <f t="shared" si="19"/>
        <v/>
      </c>
      <c r="R77" t="str">
        <f t="shared" si="20"/>
        <v/>
      </c>
      <c r="S77" t="str">
        <f t="shared" si="21"/>
        <v/>
      </c>
      <c r="T77" t="str">
        <f t="shared" si="22"/>
        <v/>
      </c>
      <c r="V77">
        <f t="shared" si="32"/>
        <v>39</v>
      </c>
      <c r="AG77" s="5"/>
      <c r="AH77" s="5"/>
      <c r="AI77" s="16"/>
      <c r="AY77" s="5"/>
    </row>
    <row r="78" spans="1:51" x14ac:dyDescent="0.2">
      <c r="A78">
        <f t="shared" si="33"/>
        <v>77</v>
      </c>
      <c r="B78" s="8">
        <f t="shared" si="23"/>
        <v>1</v>
      </c>
      <c r="C78">
        <f t="shared" si="24"/>
        <v>0</v>
      </c>
      <c r="D78" s="5">
        <f t="shared" si="25"/>
        <v>0</v>
      </c>
      <c r="I78" t="str">
        <f t="shared" si="26"/>
        <v/>
      </c>
      <c r="J78" t="str">
        <f t="shared" si="27"/>
        <v/>
      </c>
      <c r="K78" t="str">
        <f t="shared" si="28"/>
        <v/>
      </c>
      <c r="L78" t="str">
        <f t="shared" si="29"/>
        <v/>
      </c>
      <c r="M78" t="str">
        <f t="shared" si="30"/>
        <v/>
      </c>
      <c r="O78" s="6">
        <f t="shared" si="31"/>
        <v>38</v>
      </c>
      <c r="P78" s="8" t="str">
        <f t="shared" si="18"/>
        <v/>
      </c>
      <c r="Q78" t="str">
        <f t="shared" si="19"/>
        <v/>
      </c>
      <c r="R78" t="str">
        <f t="shared" si="20"/>
        <v/>
      </c>
      <c r="S78" t="str">
        <f t="shared" si="21"/>
        <v/>
      </c>
      <c r="T78" t="str">
        <f t="shared" si="22"/>
        <v/>
      </c>
      <c r="V78">
        <f t="shared" si="32"/>
        <v>39</v>
      </c>
      <c r="AG78" s="5"/>
      <c r="AH78" s="5"/>
      <c r="AI78" s="16"/>
      <c r="AY78" s="5"/>
    </row>
    <row r="79" spans="1:51" x14ac:dyDescent="0.2">
      <c r="A79">
        <f t="shared" si="33"/>
        <v>78</v>
      </c>
      <c r="B79" s="8">
        <v>2</v>
      </c>
      <c r="I79" t="str">
        <f t="shared" si="26"/>
        <v/>
      </c>
      <c r="J79" t="str">
        <f t="shared" si="27"/>
        <v/>
      </c>
      <c r="K79" t="str">
        <f t="shared" si="28"/>
        <v/>
      </c>
      <c r="L79" t="str">
        <f t="shared" si="29"/>
        <v/>
      </c>
      <c r="M79" t="str">
        <f t="shared" si="30"/>
        <v/>
      </c>
      <c r="O79" s="6">
        <f t="shared" si="31"/>
        <v>38</v>
      </c>
      <c r="P79" s="8" t="str">
        <f t="shared" si="18"/>
        <v/>
      </c>
      <c r="Q79" t="str">
        <f t="shared" si="19"/>
        <v/>
      </c>
      <c r="R79" t="str">
        <f t="shared" si="20"/>
        <v/>
      </c>
      <c r="S79" t="str">
        <f t="shared" si="21"/>
        <v/>
      </c>
      <c r="T79" t="str">
        <f t="shared" si="22"/>
        <v/>
      </c>
      <c r="V79">
        <f t="shared" si="32"/>
        <v>39</v>
      </c>
      <c r="AG79" s="5"/>
      <c r="AH79" s="5"/>
      <c r="AI79" s="16"/>
      <c r="AY79" s="5"/>
    </row>
    <row r="80" spans="1:51" x14ac:dyDescent="0.2">
      <c r="A80">
        <f t="shared" si="33"/>
        <v>79</v>
      </c>
      <c r="B80" s="8">
        <f t="shared" si="23"/>
        <v>2</v>
      </c>
      <c r="C80">
        <f t="shared" si="24"/>
        <v>0</v>
      </c>
      <c r="D80" s="5">
        <f t="shared" si="25"/>
        <v>0</v>
      </c>
      <c r="I80" t="str">
        <f t="shared" si="26"/>
        <v/>
      </c>
      <c r="J80" t="str">
        <f t="shared" si="27"/>
        <v/>
      </c>
      <c r="K80" t="str">
        <f t="shared" si="28"/>
        <v/>
      </c>
      <c r="L80" t="str">
        <f t="shared" si="29"/>
        <v/>
      </c>
      <c r="M80" t="str">
        <f t="shared" si="30"/>
        <v/>
      </c>
      <c r="O80" s="6">
        <f t="shared" si="31"/>
        <v>38</v>
      </c>
      <c r="P80" s="8" t="str">
        <f t="shared" si="18"/>
        <v/>
      </c>
      <c r="Q80" t="str">
        <f t="shared" si="19"/>
        <v/>
      </c>
      <c r="R80" t="str">
        <f t="shared" si="20"/>
        <v/>
      </c>
      <c r="S80" t="str">
        <f t="shared" si="21"/>
        <v/>
      </c>
      <c r="T80" t="str">
        <f t="shared" si="22"/>
        <v/>
      </c>
      <c r="V80">
        <f t="shared" si="32"/>
        <v>39</v>
      </c>
      <c r="AG80" s="5"/>
      <c r="AH80" s="5"/>
      <c r="AI80" s="16"/>
      <c r="AY80" s="5"/>
    </row>
    <row r="81" spans="1:51" x14ac:dyDescent="0.2">
      <c r="A81">
        <f t="shared" si="33"/>
        <v>80</v>
      </c>
      <c r="B81" s="8">
        <f t="shared" si="23"/>
        <v>2</v>
      </c>
      <c r="C81">
        <f t="shared" si="24"/>
        <v>0</v>
      </c>
      <c r="D81" s="5">
        <f t="shared" si="25"/>
        <v>0</v>
      </c>
      <c r="I81" t="str">
        <f t="shared" si="26"/>
        <v/>
      </c>
      <c r="J81" t="str">
        <f t="shared" si="27"/>
        <v/>
      </c>
      <c r="K81" t="str">
        <f t="shared" si="28"/>
        <v/>
      </c>
      <c r="L81" t="str">
        <f t="shared" si="29"/>
        <v/>
      </c>
      <c r="M81" t="str">
        <f t="shared" si="30"/>
        <v/>
      </c>
      <c r="O81" s="6">
        <f t="shared" ref="O81:O131" si="34">O80</f>
        <v>38</v>
      </c>
      <c r="P81" s="8" t="str">
        <f t="shared" si="18"/>
        <v/>
      </c>
      <c r="Q81" t="str">
        <f t="shared" si="19"/>
        <v/>
      </c>
      <c r="R81" t="str">
        <f t="shared" si="20"/>
        <v/>
      </c>
      <c r="S81" t="str">
        <f t="shared" si="21"/>
        <v/>
      </c>
      <c r="T81" t="str">
        <f t="shared" si="22"/>
        <v/>
      </c>
      <c r="V81">
        <f t="shared" si="32"/>
        <v>39</v>
      </c>
      <c r="AG81" s="5"/>
      <c r="AH81" s="5"/>
      <c r="AI81" s="16"/>
      <c r="AY81" s="5"/>
    </row>
    <row r="82" spans="1:51" x14ac:dyDescent="0.2">
      <c r="A82">
        <f t="shared" si="33"/>
        <v>81</v>
      </c>
      <c r="B82" s="8">
        <f t="shared" si="23"/>
        <v>2</v>
      </c>
      <c r="C82">
        <f t="shared" si="24"/>
        <v>0</v>
      </c>
      <c r="D82" s="5">
        <f t="shared" si="25"/>
        <v>0</v>
      </c>
      <c r="I82" t="str">
        <f t="shared" si="26"/>
        <v/>
      </c>
      <c r="J82" t="str">
        <f t="shared" si="27"/>
        <v/>
      </c>
      <c r="K82" t="str">
        <f t="shared" si="28"/>
        <v/>
      </c>
      <c r="L82" t="str">
        <f t="shared" si="29"/>
        <v/>
      </c>
      <c r="M82" t="str">
        <f t="shared" si="30"/>
        <v/>
      </c>
      <c r="O82" s="6">
        <f t="shared" si="34"/>
        <v>38</v>
      </c>
      <c r="P82" s="8" t="str">
        <f t="shared" si="18"/>
        <v/>
      </c>
      <c r="Q82" t="str">
        <f t="shared" si="19"/>
        <v/>
      </c>
      <c r="R82" t="str">
        <f t="shared" si="20"/>
        <v/>
      </c>
      <c r="S82" t="str">
        <f t="shared" si="21"/>
        <v/>
      </c>
      <c r="T82" t="str">
        <f t="shared" si="22"/>
        <v/>
      </c>
      <c r="V82">
        <f t="shared" si="32"/>
        <v>39</v>
      </c>
      <c r="AG82" s="5"/>
      <c r="AH82" s="5"/>
      <c r="AI82" s="16"/>
      <c r="AY82" s="5"/>
    </row>
    <row r="83" spans="1:51" x14ac:dyDescent="0.2">
      <c r="A83">
        <f t="shared" si="33"/>
        <v>82</v>
      </c>
      <c r="B83" s="8">
        <f t="shared" si="23"/>
        <v>2</v>
      </c>
      <c r="C83">
        <f t="shared" si="24"/>
        <v>0</v>
      </c>
      <c r="D83" s="5">
        <f t="shared" si="25"/>
        <v>0</v>
      </c>
      <c r="I83" t="str">
        <f t="shared" si="26"/>
        <v/>
      </c>
      <c r="J83" t="str">
        <f t="shared" si="27"/>
        <v/>
      </c>
      <c r="K83" t="str">
        <f t="shared" si="28"/>
        <v/>
      </c>
      <c r="L83" t="str">
        <f t="shared" si="29"/>
        <v/>
      </c>
      <c r="M83" t="str">
        <f t="shared" si="30"/>
        <v/>
      </c>
      <c r="O83" s="6">
        <f t="shared" si="34"/>
        <v>38</v>
      </c>
      <c r="P83" s="8" t="str">
        <f t="shared" si="18"/>
        <v/>
      </c>
      <c r="Q83" t="str">
        <f t="shared" si="19"/>
        <v/>
      </c>
      <c r="R83" t="str">
        <f t="shared" si="20"/>
        <v/>
      </c>
      <c r="S83" t="str">
        <f t="shared" si="21"/>
        <v/>
      </c>
      <c r="T83" t="str">
        <f t="shared" si="22"/>
        <v/>
      </c>
      <c r="V83">
        <f t="shared" si="32"/>
        <v>39</v>
      </c>
      <c r="AG83" s="5"/>
      <c r="AH83" s="5"/>
      <c r="AI83" s="16"/>
      <c r="AY83" s="5"/>
    </row>
    <row r="84" spans="1:51" x14ac:dyDescent="0.2">
      <c r="A84">
        <f t="shared" si="33"/>
        <v>83</v>
      </c>
      <c r="B84" s="8">
        <f t="shared" si="23"/>
        <v>2</v>
      </c>
      <c r="C84">
        <f t="shared" si="24"/>
        <v>0</v>
      </c>
      <c r="D84" s="5">
        <f t="shared" si="25"/>
        <v>0</v>
      </c>
      <c r="I84" t="str">
        <f t="shared" si="26"/>
        <v/>
      </c>
      <c r="J84" t="str">
        <f t="shared" si="27"/>
        <v/>
      </c>
      <c r="K84" t="str">
        <f t="shared" si="28"/>
        <v/>
      </c>
      <c r="L84" t="str">
        <f t="shared" si="29"/>
        <v/>
      </c>
      <c r="M84" t="str">
        <f t="shared" si="30"/>
        <v/>
      </c>
      <c r="O84" s="6">
        <f t="shared" si="34"/>
        <v>38</v>
      </c>
      <c r="P84" s="8" t="str">
        <f t="shared" si="18"/>
        <v/>
      </c>
      <c r="Q84" t="str">
        <f t="shared" si="19"/>
        <v/>
      </c>
      <c r="R84" t="str">
        <f t="shared" si="20"/>
        <v/>
      </c>
      <c r="S84" t="str">
        <f t="shared" si="21"/>
        <v/>
      </c>
      <c r="T84" t="str">
        <f t="shared" si="22"/>
        <v/>
      </c>
      <c r="V84">
        <f t="shared" si="32"/>
        <v>39</v>
      </c>
      <c r="AG84" s="5"/>
      <c r="AH84" s="5"/>
      <c r="AI84" s="16"/>
      <c r="AY84" s="5"/>
    </row>
    <row r="85" spans="1:51" x14ac:dyDescent="0.2">
      <c r="A85">
        <f t="shared" si="33"/>
        <v>84</v>
      </c>
      <c r="B85" s="8">
        <f t="shared" si="23"/>
        <v>2</v>
      </c>
      <c r="C85">
        <f t="shared" si="24"/>
        <v>0</v>
      </c>
      <c r="D85" s="5">
        <f t="shared" si="25"/>
        <v>0</v>
      </c>
      <c r="I85" t="str">
        <f t="shared" si="26"/>
        <v/>
      </c>
      <c r="J85" t="str">
        <f t="shared" si="27"/>
        <v/>
      </c>
      <c r="K85" t="str">
        <f t="shared" si="28"/>
        <v/>
      </c>
      <c r="L85" t="str">
        <f t="shared" si="29"/>
        <v/>
      </c>
      <c r="M85" t="str">
        <f t="shared" si="30"/>
        <v/>
      </c>
      <c r="O85" s="6">
        <f t="shared" si="34"/>
        <v>38</v>
      </c>
      <c r="P85" s="8" t="str">
        <f t="shared" si="18"/>
        <v/>
      </c>
      <c r="Q85" t="str">
        <f t="shared" si="19"/>
        <v/>
      </c>
      <c r="R85" t="str">
        <f t="shared" si="20"/>
        <v/>
      </c>
      <c r="S85" t="str">
        <f t="shared" si="21"/>
        <v/>
      </c>
      <c r="T85" t="str">
        <f t="shared" si="22"/>
        <v/>
      </c>
      <c r="V85">
        <f t="shared" si="32"/>
        <v>39</v>
      </c>
      <c r="AG85" s="5"/>
      <c r="AH85" s="5"/>
      <c r="AI85" s="16"/>
      <c r="AY85" s="5"/>
    </row>
    <row r="86" spans="1:51" x14ac:dyDescent="0.2">
      <c r="A86">
        <f t="shared" si="33"/>
        <v>85</v>
      </c>
      <c r="B86" s="8">
        <f t="shared" si="23"/>
        <v>2</v>
      </c>
      <c r="C86">
        <f t="shared" si="24"/>
        <v>0</v>
      </c>
      <c r="D86" s="5">
        <f t="shared" si="25"/>
        <v>0</v>
      </c>
      <c r="I86" t="str">
        <f t="shared" si="26"/>
        <v/>
      </c>
      <c r="J86" t="str">
        <f t="shared" si="27"/>
        <v/>
      </c>
      <c r="K86" t="str">
        <f t="shared" si="28"/>
        <v/>
      </c>
      <c r="L86" t="str">
        <f t="shared" si="29"/>
        <v/>
      </c>
      <c r="M86" t="str">
        <f t="shared" si="30"/>
        <v/>
      </c>
      <c r="O86" s="6">
        <f t="shared" si="34"/>
        <v>38</v>
      </c>
      <c r="P86" s="8" t="str">
        <f t="shared" si="18"/>
        <v/>
      </c>
      <c r="Q86" t="str">
        <f t="shared" si="19"/>
        <v/>
      </c>
      <c r="R86" t="str">
        <f t="shared" si="20"/>
        <v/>
      </c>
      <c r="S86" t="str">
        <f t="shared" si="21"/>
        <v/>
      </c>
      <c r="T86" t="str">
        <f t="shared" si="22"/>
        <v/>
      </c>
      <c r="V86">
        <f t="shared" si="32"/>
        <v>39</v>
      </c>
      <c r="AG86" s="5"/>
      <c r="AH86" s="5"/>
      <c r="AI86" s="16"/>
      <c r="AY86" s="5"/>
    </row>
    <row r="87" spans="1:51" x14ac:dyDescent="0.2">
      <c r="A87">
        <f t="shared" si="33"/>
        <v>86</v>
      </c>
      <c r="B87" s="8">
        <f t="shared" si="23"/>
        <v>2</v>
      </c>
      <c r="C87">
        <f t="shared" si="24"/>
        <v>0</v>
      </c>
      <c r="D87" s="5">
        <f t="shared" si="25"/>
        <v>0</v>
      </c>
      <c r="I87" t="str">
        <f t="shared" si="26"/>
        <v/>
      </c>
      <c r="J87" t="str">
        <f t="shared" si="27"/>
        <v/>
      </c>
      <c r="K87" t="str">
        <f t="shared" si="28"/>
        <v/>
      </c>
      <c r="L87" t="str">
        <f t="shared" si="29"/>
        <v/>
      </c>
      <c r="M87" t="str">
        <f t="shared" si="30"/>
        <v/>
      </c>
      <c r="O87" s="6">
        <f t="shared" si="34"/>
        <v>38</v>
      </c>
      <c r="P87" s="8" t="str">
        <f t="shared" si="18"/>
        <v/>
      </c>
      <c r="Q87" t="str">
        <f t="shared" si="19"/>
        <v/>
      </c>
      <c r="R87" t="str">
        <f t="shared" si="20"/>
        <v/>
      </c>
      <c r="S87" t="str">
        <f t="shared" si="21"/>
        <v/>
      </c>
      <c r="T87" t="str">
        <f t="shared" si="22"/>
        <v/>
      </c>
      <c r="V87">
        <f t="shared" si="32"/>
        <v>39</v>
      </c>
      <c r="AG87" s="5"/>
      <c r="AH87" s="5"/>
      <c r="AI87" s="16"/>
      <c r="AY87" s="5"/>
    </row>
    <row r="88" spans="1:51" x14ac:dyDescent="0.2">
      <c r="A88">
        <f t="shared" si="33"/>
        <v>87</v>
      </c>
      <c r="B88" s="8">
        <f t="shared" si="23"/>
        <v>2</v>
      </c>
      <c r="C88">
        <f t="shared" si="24"/>
        <v>0</v>
      </c>
      <c r="D88" s="5">
        <f t="shared" si="25"/>
        <v>0</v>
      </c>
      <c r="I88" t="str">
        <f t="shared" si="26"/>
        <v/>
      </c>
      <c r="J88" t="str">
        <f t="shared" si="27"/>
        <v/>
      </c>
      <c r="K88" t="str">
        <f t="shared" si="28"/>
        <v/>
      </c>
      <c r="L88" t="str">
        <f t="shared" si="29"/>
        <v/>
      </c>
      <c r="M88" t="str">
        <f t="shared" si="30"/>
        <v/>
      </c>
      <c r="O88" s="6">
        <f t="shared" si="34"/>
        <v>38</v>
      </c>
      <c r="P88" s="8" t="str">
        <f t="shared" si="18"/>
        <v/>
      </c>
      <c r="Q88" t="str">
        <f t="shared" si="19"/>
        <v/>
      </c>
      <c r="R88" t="str">
        <f t="shared" si="20"/>
        <v/>
      </c>
      <c r="S88" t="str">
        <f t="shared" si="21"/>
        <v/>
      </c>
      <c r="T88" t="str">
        <f t="shared" si="22"/>
        <v/>
      </c>
      <c r="V88">
        <f t="shared" si="32"/>
        <v>39</v>
      </c>
      <c r="AG88" s="5"/>
      <c r="AH88" s="5"/>
      <c r="AI88" s="16"/>
      <c r="AY88" s="5"/>
    </row>
    <row r="89" spans="1:51" x14ac:dyDescent="0.2">
      <c r="A89">
        <f t="shared" si="33"/>
        <v>88</v>
      </c>
      <c r="B89" s="8">
        <f t="shared" si="23"/>
        <v>2</v>
      </c>
      <c r="C89">
        <f t="shared" si="24"/>
        <v>0</v>
      </c>
      <c r="D89" s="5">
        <f t="shared" si="25"/>
        <v>0</v>
      </c>
      <c r="I89" t="str">
        <f t="shared" si="26"/>
        <v/>
      </c>
      <c r="J89" t="str">
        <f t="shared" si="27"/>
        <v/>
      </c>
      <c r="K89" t="str">
        <f t="shared" si="28"/>
        <v/>
      </c>
      <c r="L89" t="str">
        <f t="shared" si="29"/>
        <v/>
      </c>
      <c r="M89" t="str">
        <f t="shared" si="30"/>
        <v/>
      </c>
      <c r="O89" s="6">
        <f t="shared" si="34"/>
        <v>38</v>
      </c>
      <c r="P89" s="8" t="str">
        <f t="shared" si="18"/>
        <v/>
      </c>
      <c r="Q89" t="str">
        <f t="shared" si="19"/>
        <v/>
      </c>
      <c r="R89" t="str">
        <f t="shared" si="20"/>
        <v/>
      </c>
      <c r="S89" t="str">
        <f t="shared" si="21"/>
        <v/>
      </c>
      <c r="T89" t="str">
        <f t="shared" si="22"/>
        <v/>
      </c>
      <c r="V89">
        <f t="shared" si="32"/>
        <v>39</v>
      </c>
      <c r="AG89" s="5"/>
      <c r="AH89" s="5"/>
      <c r="AI89" s="16"/>
      <c r="AY89" s="5"/>
    </row>
    <row r="90" spans="1:51" x14ac:dyDescent="0.2">
      <c r="A90">
        <f t="shared" si="33"/>
        <v>89</v>
      </c>
      <c r="B90" s="8">
        <f t="shared" si="23"/>
        <v>2</v>
      </c>
      <c r="C90">
        <f t="shared" si="24"/>
        <v>0</v>
      </c>
      <c r="D90" s="5">
        <f t="shared" si="25"/>
        <v>0</v>
      </c>
      <c r="I90" t="str">
        <f t="shared" si="26"/>
        <v/>
      </c>
      <c r="J90" t="str">
        <f t="shared" si="27"/>
        <v/>
      </c>
      <c r="K90" t="str">
        <f t="shared" si="28"/>
        <v/>
      </c>
      <c r="L90" t="str">
        <f t="shared" si="29"/>
        <v/>
      </c>
      <c r="M90" t="str">
        <f t="shared" si="30"/>
        <v/>
      </c>
      <c r="O90" s="6">
        <f t="shared" si="34"/>
        <v>38</v>
      </c>
      <c r="P90" s="8" t="str">
        <f t="shared" si="18"/>
        <v/>
      </c>
      <c r="Q90" t="str">
        <f t="shared" si="19"/>
        <v/>
      </c>
      <c r="R90" t="str">
        <f t="shared" si="20"/>
        <v/>
      </c>
      <c r="S90" t="str">
        <f t="shared" si="21"/>
        <v/>
      </c>
      <c r="T90" t="str">
        <f t="shared" si="22"/>
        <v/>
      </c>
      <c r="V90">
        <f t="shared" si="32"/>
        <v>39</v>
      </c>
      <c r="AG90" s="5"/>
      <c r="AH90" s="5"/>
      <c r="AI90" s="16"/>
      <c r="AY90" s="5"/>
    </row>
    <row r="91" spans="1:51" x14ac:dyDescent="0.2">
      <c r="A91">
        <f t="shared" si="33"/>
        <v>90</v>
      </c>
      <c r="B91" s="8">
        <f t="shared" si="23"/>
        <v>2</v>
      </c>
      <c r="C91">
        <f t="shared" si="24"/>
        <v>0</v>
      </c>
      <c r="D91" s="5">
        <f t="shared" si="25"/>
        <v>0</v>
      </c>
      <c r="I91" t="str">
        <f t="shared" si="26"/>
        <v/>
      </c>
      <c r="J91" t="str">
        <f t="shared" si="27"/>
        <v/>
      </c>
      <c r="K91" t="str">
        <f t="shared" si="28"/>
        <v/>
      </c>
      <c r="L91" t="str">
        <f t="shared" si="29"/>
        <v/>
      </c>
      <c r="M91" t="str">
        <f t="shared" si="30"/>
        <v/>
      </c>
      <c r="O91" s="6">
        <f t="shared" si="34"/>
        <v>38</v>
      </c>
      <c r="P91" s="8" t="str">
        <f t="shared" si="18"/>
        <v/>
      </c>
      <c r="Q91" t="str">
        <f t="shared" si="19"/>
        <v/>
      </c>
      <c r="R91" t="str">
        <f t="shared" si="20"/>
        <v/>
      </c>
      <c r="S91" t="str">
        <f t="shared" si="21"/>
        <v/>
      </c>
      <c r="T91" t="str">
        <f t="shared" si="22"/>
        <v/>
      </c>
      <c r="V91">
        <f t="shared" si="32"/>
        <v>39</v>
      </c>
      <c r="AG91" s="5"/>
      <c r="AH91" s="5"/>
      <c r="AI91" s="16"/>
      <c r="AY91" s="5"/>
    </row>
    <row r="92" spans="1:51" x14ac:dyDescent="0.2">
      <c r="A92">
        <f t="shared" si="33"/>
        <v>91</v>
      </c>
      <c r="B92" s="8">
        <f t="shared" si="23"/>
        <v>2</v>
      </c>
      <c r="C92">
        <f t="shared" si="24"/>
        <v>0</v>
      </c>
      <c r="D92" s="5">
        <f t="shared" si="25"/>
        <v>0</v>
      </c>
      <c r="I92" t="str">
        <f t="shared" si="26"/>
        <v/>
      </c>
      <c r="J92" t="str">
        <f t="shared" si="27"/>
        <v/>
      </c>
      <c r="K92" t="str">
        <f t="shared" si="28"/>
        <v/>
      </c>
      <c r="L92" t="str">
        <f t="shared" si="29"/>
        <v/>
      </c>
      <c r="M92" t="str">
        <f t="shared" si="30"/>
        <v/>
      </c>
      <c r="O92" s="6">
        <f t="shared" si="34"/>
        <v>38</v>
      </c>
      <c r="P92" s="8" t="str">
        <f t="shared" si="18"/>
        <v/>
      </c>
      <c r="Q92" t="str">
        <f t="shared" si="19"/>
        <v/>
      </c>
      <c r="R92" t="str">
        <f t="shared" si="20"/>
        <v/>
      </c>
      <c r="S92" t="str">
        <f t="shared" si="21"/>
        <v/>
      </c>
      <c r="T92" t="str">
        <f t="shared" si="22"/>
        <v/>
      </c>
      <c r="V92">
        <f t="shared" si="32"/>
        <v>39</v>
      </c>
      <c r="AG92" s="5"/>
      <c r="AH92" s="5"/>
      <c r="AI92" s="16"/>
      <c r="AY92" s="5"/>
    </row>
    <row r="93" spans="1:51" x14ac:dyDescent="0.2">
      <c r="A93">
        <f t="shared" si="33"/>
        <v>92</v>
      </c>
      <c r="B93" s="8">
        <f t="shared" si="23"/>
        <v>2</v>
      </c>
      <c r="C93">
        <f t="shared" si="24"/>
        <v>0</v>
      </c>
      <c r="D93" s="5">
        <f t="shared" si="25"/>
        <v>0</v>
      </c>
      <c r="I93" t="str">
        <f t="shared" si="26"/>
        <v/>
      </c>
      <c r="J93" t="str">
        <f t="shared" si="27"/>
        <v/>
      </c>
      <c r="K93" t="str">
        <f t="shared" si="28"/>
        <v/>
      </c>
      <c r="L93" t="str">
        <f t="shared" si="29"/>
        <v/>
      </c>
      <c r="M93" t="str">
        <f t="shared" si="30"/>
        <v/>
      </c>
      <c r="O93" s="6">
        <f t="shared" si="34"/>
        <v>38</v>
      </c>
      <c r="P93" s="8" t="str">
        <f t="shared" si="18"/>
        <v/>
      </c>
      <c r="Q93" t="str">
        <f t="shared" si="19"/>
        <v/>
      </c>
      <c r="R93" t="str">
        <f t="shared" si="20"/>
        <v/>
      </c>
      <c r="S93" t="str">
        <f t="shared" si="21"/>
        <v/>
      </c>
      <c r="T93" t="str">
        <f t="shared" si="22"/>
        <v/>
      </c>
      <c r="V93">
        <f t="shared" si="32"/>
        <v>39</v>
      </c>
      <c r="AG93" s="5"/>
      <c r="AH93" s="5"/>
      <c r="AI93" s="16"/>
      <c r="AY93" s="5"/>
    </row>
    <row r="94" spans="1:51" x14ac:dyDescent="0.2">
      <c r="A94">
        <f t="shared" si="33"/>
        <v>93</v>
      </c>
      <c r="B94" s="8">
        <f t="shared" si="23"/>
        <v>2</v>
      </c>
      <c r="C94">
        <f t="shared" si="24"/>
        <v>0</v>
      </c>
      <c r="D94" s="5">
        <f t="shared" si="25"/>
        <v>0</v>
      </c>
      <c r="I94" t="str">
        <f t="shared" si="26"/>
        <v/>
      </c>
      <c r="J94" t="str">
        <f t="shared" si="27"/>
        <v/>
      </c>
      <c r="K94" t="str">
        <f t="shared" si="28"/>
        <v/>
      </c>
      <c r="L94" t="str">
        <f t="shared" si="29"/>
        <v/>
      </c>
      <c r="M94" t="str">
        <f t="shared" si="30"/>
        <v/>
      </c>
      <c r="O94" s="6">
        <f t="shared" si="34"/>
        <v>38</v>
      </c>
      <c r="P94" s="8" t="str">
        <f t="shared" si="18"/>
        <v/>
      </c>
      <c r="Q94" t="str">
        <f t="shared" si="19"/>
        <v/>
      </c>
      <c r="R94" t="str">
        <f t="shared" si="20"/>
        <v/>
      </c>
      <c r="S94" t="str">
        <f t="shared" si="21"/>
        <v/>
      </c>
      <c r="T94" t="str">
        <f t="shared" si="22"/>
        <v/>
      </c>
      <c r="V94">
        <f t="shared" si="32"/>
        <v>39</v>
      </c>
      <c r="AG94" s="5"/>
      <c r="AH94" s="5"/>
      <c r="AI94" s="16"/>
      <c r="AY94" s="5"/>
    </row>
    <row r="95" spans="1:51" x14ac:dyDescent="0.2">
      <c r="A95">
        <f t="shared" si="33"/>
        <v>94</v>
      </c>
      <c r="B95" s="8">
        <f t="shared" si="23"/>
        <v>2</v>
      </c>
      <c r="C95">
        <f t="shared" si="24"/>
        <v>0</v>
      </c>
      <c r="D95" s="5">
        <f t="shared" si="25"/>
        <v>0</v>
      </c>
      <c r="I95" t="str">
        <f t="shared" si="26"/>
        <v/>
      </c>
      <c r="J95" t="str">
        <f t="shared" si="27"/>
        <v/>
      </c>
      <c r="K95" t="str">
        <f t="shared" si="28"/>
        <v/>
      </c>
      <c r="L95" t="str">
        <f t="shared" si="29"/>
        <v/>
      </c>
      <c r="M95" t="str">
        <f t="shared" si="30"/>
        <v/>
      </c>
      <c r="O95" s="6">
        <f t="shared" si="34"/>
        <v>38</v>
      </c>
      <c r="P95" s="8" t="str">
        <f t="shared" si="18"/>
        <v/>
      </c>
      <c r="Q95" t="str">
        <f t="shared" si="19"/>
        <v/>
      </c>
      <c r="R95" t="str">
        <f t="shared" si="20"/>
        <v/>
      </c>
      <c r="S95" t="str">
        <f t="shared" si="21"/>
        <v/>
      </c>
      <c r="T95" t="str">
        <f t="shared" si="22"/>
        <v/>
      </c>
      <c r="V95">
        <f t="shared" si="32"/>
        <v>39</v>
      </c>
      <c r="AG95" s="5"/>
      <c r="AH95" s="5"/>
      <c r="AI95" s="16"/>
      <c r="AY95" s="5"/>
    </row>
    <row r="96" spans="1:51" x14ac:dyDescent="0.2">
      <c r="A96">
        <f t="shared" si="33"/>
        <v>95</v>
      </c>
      <c r="B96" s="8">
        <f t="shared" si="23"/>
        <v>2</v>
      </c>
      <c r="C96">
        <f t="shared" si="24"/>
        <v>0</v>
      </c>
      <c r="D96" s="5">
        <f t="shared" si="25"/>
        <v>0</v>
      </c>
      <c r="I96" t="str">
        <f t="shared" si="26"/>
        <v/>
      </c>
      <c r="J96" t="str">
        <f t="shared" si="27"/>
        <v/>
      </c>
      <c r="K96" t="str">
        <f t="shared" si="28"/>
        <v/>
      </c>
      <c r="L96" t="str">
        <f t="shared" si="29"/>
        <v/>
      </c>
      <c r="M96" t="str">
        <f t="shared" si="30"/>
        <v/>
      </c>
      <c r="O96" s="6">
        <f t="shared" si="34"/>
        <v>38</v>
      </c>
      <c r="P96" s="8" t="str">
        <f t="shared" si="18"/>
        <v/>
      </c>
      <c r="Q96" t="str">
        <f t="shared" si="19"/>
        <v/>
      </c>
      <c r="R96" t="str">
        <f t="shared" si="20"/>
        <v/>
      </c>
      <c r="S96" t="str">
        <f t="shared" si="21"/>
        <v/>
      </c>
      <c r="T96" t="str">
        <f t="shared" si="22"/>
        <v/>
      </c>
      <c r="V96">
        <f t="shared" si="32"/>
        <v>39</v>
      </c>
      <c r="AG96" s="5"/>
      <c r="AH96" s="5"/>
      <c r="AI96" s="16"/>
      <c r="AY96" s="5"/>
    </row>
    <row r="97" spans="1:51" x14ac:dyDescent="0.2">
      <c r="A97">
        <f t="shared" si="33"/>
        <v>96</v>
      </c>
      <c r="B97" s="8">
        <f t="shared" si="23"/>
        <v>2</v>
      </c>
      <c r="C97">
        <f t="shared" si="24"/>
        <v>0</v>
      </c>
      <c r="D97" s="5">
        <f t="shared" si="25"/>
        <v>0</v>
      </c>
      <c r="I97" t="str">
        <f t="shared" si="26"/>
        <v/>
      </c>
      <c r="J97" t="str">
        <f t="shared" si="27"/>
        <v/>
      </c>
      <c r="K97" t="str">
        <f t="shared" si="28"/>
        <v/>
      </c>
      <c r="L97" t="str">
        <f t="shared" si="29"/>
        <v/>
      </c>
      <c r="M97" t="str">
        <f t="shared" si="30"/>
        <v/>
      </c>
      <c r="O97" s="6">
        <f t="shared" si="34"/>
        <v>38</v>
      </c>
      <c r="P97" s="8" t="str">
        <f t="shared" si="18"/>
        <v/>
      </c>
      <c r="Q97" t="str">
        <f t="shared" si="19"/>
        <v/>
      </c>
      <c r="R97" t="str">
        <f t="shared" si="20"/>
        <v/>
      </c>
      <c r="S97" t="str">
        <f t="shared" si="21"/>
        <v/>
      </c>
      <c r="T97" t="str">
        <f t="shared" si="22"/>
        <v/>
      </c>
      <c r="V97">
        <f t="shared" si="32"/>
        <v>39</v>
      </c>
      <c r="AG97" s="5"/>
      <c r="AH97" s="5"/>
      <c r="AI97" s="16"/>
      <c r="AY97" s="5"/>
    </row>
    <row r="98" spans="1:51" x14ac:dyDescent="0.2">
      <c r="A98">
        <f t="shared" si="33"/>
        <v>97</v>
      </c>
      <c r="B98" s="8">
        <f t="shared" si="23"/>
        <v>2</v>
      </c>
      <c r="C98">
        <f t="shared" si="24"/>
        <v>0</v>
      </c>
      <c r="D98" s="5">
        <f t="shared" si="25"/>
        <v>0</v>
      </c>
      <c r="I98" t="str">
        <f t="shared" si="26"/>
        <v/>
      </c>
      <c r="J98" t="str">
        <f t="shared" si="27"/>
        <v/>
      </c>
      <c r="K98" t="str">
        <f t="shared" si="28"/>
        <v/>
      </c>
      <c r="L98" t="str">
        <f t="shared" si="29"/>
        <v/>
      </c>
      <c r="M98" t="str">
        <f t="shared" si="30"/>
        <v/>
      </c>
      <c r="O98" s="6">
        <f t="shared" si="34"/>
        <v>38</v>
      </c>
      <c r="P98" s="8" t="str">
        <f t="shared" si="18"/>
        <v/>
      </c>
      <c r="Q98" t="str">
        <f t="shared" si="19"/>
        <v/>
      </c>
      <c r="R98" t="str">
        <f t="shared" si="20"/>
        <v/>
      </c>
      <c r="S98" t="str">
        <f t="shared" si="21"/>
        <v/>
      </c>
      <c r="T98" t="str">
        <f t="shared" si="22"/>
        <v/>
      </c>
      <c r="V98">
        <f t="shared" si="32"/>
        <v>39</v>
      </c>
      <c r="AG98" s="5"/>
      <c r="AH98" s="5"/>
      <c r="AI98" s="16"/>
      <c r="AY98" s="5"/>
    </row>
    <row r="99" spans="1:51" x14ac:dyDescent="0.2">
      <c r="A99">
        <f t="shared" si="33"/>
        <v>98</v>
      </c>
      <c r="B99" s="8">
        <f t="shared" si="23"/>
        <v>2</v>
      </c>
      <c r="C99">
        <f t="shared" si="24"/>
        <v>0</v>
      </c>
      <c r="D99" s="5">
        <f t="shared" si="25"/>
        <v>0</v>
      </c>
      <c r="I99" t="str">
        <f t="shared" si="26"/>
        <v/>
      </c>
      <c r="J99" t="str">
        <f t="shared" si="27"/>
        <v/>
      </c>
      <c r="K99" t="str">
        <f t="shared" si="28"/>
        <v/>
      </c>
      <c r="L99" t="str">
        <f t="shared" si="29"/>
        <v/>
      </c>
      <c r="M99" t="str">
        <f t="shared" si="30"/>
        <v/>
      </c>
      <c r="O99" s="6">
        <f t="shared" si="34"/>
        <v>38</v>
      </c>
      <c r="P99" s="8" t="str">
        <f t="shared" si="18"/>
        <v/>
      </c>
      <c r="Q99" t="str">
        <f t="shared" si="19"/>
        <v/>
      </c>
      <c r="R99" t="str">
        <f t="shared" si="20"/>
        <v/>
      </c>
      <c r="S99" t="str">
        <f t="shared" si="21"/>
        <v/>
      </c>
      <c r="T99" t="str">
        <f t="shared" si="22"/>
        <v/>
      </c>
      <c r="V99">
        <f t="shared" si="32"/>
        <v>39</v>
      </c>
      <c r="AG99" s="5"/>
      <c r="AH99" s="5"/>
      <c r="AI99" s="16"/>
      <c r="AY99" s="5"/>
    </row>
    <row r="100" spans="1:51" x14ac:dyDescent="0.2">
      <c r="A100">
        <f t="shared" si="33"/>
        <v>99</v>
      </c>
      <c r="B100" s="8">
        <f t="shared" si="23"/>
        <v>2</v>
      </c>
      <c r="C100">
        <f t="shared" si="24"/>
        <v>0</v>
      </c>
      <c r="D100" s="5">
        <f t="shared" si="25"/>
        <v>0</v>
      </c>
      <c r="I100" t="str">
        <f t="shared" si="26"/>
        <v/>
      </c>
      <c r="J100" t="str">
        <f t="shared" si="27"/>
        <v/>
      </c>
      <c r="K100" t="str">
        <f t="shared" si="28"/>
        <v/>
      </c>
      <c r="L100" t="str">
        <f t="shared" si="29"/>
        <v/>
      </c>
      <c r="M100" t="str">
        <f t="shared" si="30"/>
        <v/>
      </c>
      <c r="O100" s="6">
        <f t="shared" si="34"/>
        <v>38</v>
      </c>
      <c r="P100" s="8" t="str">
        <f t="shared" si="18"/>
        <v/>
      </c>
      <c r="Q100" t="str">
        <f t="shared" si="19"/>
        <v/>
      </c>
      <c r="R100" t="str">
        <f t="shared" si="20"/>
        <v/>
      </c>
      <c r="S100" t="str">
        <f t="shared" si="21"/>
        <v/>
      </c>
      <c r="T100" t="str">
        <f t="shared" si="22"/>
        <v/>
      </c>
      <c r="V100">
        <f t="shared" si="32"/>
        <v>39</v>
      </c>
      <c r="AG100" s="5"/>
      <c r="AH100" s="5"/>
      <c r="AI100" s="16"/>
      <c r="AY100" s="5"/>
    </row>
    <row r="101" spans="1:51" x14ac:dyDescent="0.2">
      <c r="A101">
        <f t="shared" si="33"/>
        <v>100</v>
      </c>
      <c r="B101" s="8">
        <f t="shared" si="23"/>
        <v>2</v>
      </c>
      <c r="C101">
        <f t="shared" si="24"/>
        <v>0</v>
      </c>
      <c r="D101" s="5">
        <f t="shared" si="25"/>
        <v>0</v>
      </c>
      <c r="I101" t="str">
        <f t="shared" si="26"/>
        <v/>
      </c>
      <c r="J101" t="str">
        <f t="shared" si="27"/>
        <v/>
      </c>
      <c r="K101" t="str">
        <f t="shared" si="28"/>
        <v/>
      </c>
      <c r="L101" t="str">
        <f t="shared" si="29"/>
        <v/>
      </c>
      <c r="M101" t="str">
        <f t="shared" si="30"/>
        <v/>
      </c>
      <c r="O101" s="6">
        <f t="shared" si="34"/>
        <v>38</v>
      </c>
      <c r="P101" s="8" t="str">
        <f t="shared" si="18"/>
        <v/>
      </c>
      <c r="Q101" t="str">
        <f t="shared" si="19"/>
        <v/>
      </c>
      <c r="R101" t="str">
        <f t="shared" si="20"/>
        <v/>
      </c>
      <c r="S101" t="str">
        <f t="shared" si="21"/>
        <v/>
      </c>
      <c r="T101" t="str">
        <f t="shared" si="22"/>
        <v/>
      </c>
      <c r="V101">
        <f t="shared" si="32"/>
        <v>39</v>
      </c>
      <c r="AG101" s="5"/>
      <c r="AH101" s="5"/>
      <c r="AI101" s="16"/>
      <c r="AY101" s="5"/>
    </row>
    <row r="102" spans="1:51" x14ac:dyDescent="0.2">
      <c r="A102">
        <f t="shared" si="33"/>
        <v>101</v>
      </c>
      <c r="B102" s="8">
        <f t="shared" si="23"/>
        <v>2</v>
      </c>
      <c r="C102">
        <f t="shared" si="24"/>
        <v>0</v>
      </c>
      <c r="D102" s="5">
        <f t="shared" si="25"/>
        <v>0</v>
      </c>
      <c r="I102" t="str">
        <f t="shared" si="26"/>
        <v/>
      </c>
      <c r="J102" t="str">
        <f t="shared" si="27"/>
        <v/>
      </c>
      <c r="K102" t="str">
        <f t="shared" si="28"/>
        <v/>
      </c>
      <c r="L102" t="str">
        <f t="shared" si="29"/>
        <v/>
      </c>
      <c r="M102" t="str">
        <f t="shared" si="30"/>
        <v/>
      </c>
      <c r="O102" s="6">
        <f t="shared" si="34"/>
        <v>38</v>
      </c>
      <c r="P102" s="8" t="str">
        <f t="shared" si="18"/>
        <v/>
      </c>
      <c r="Q102" t="str">
        <f t="shared" si="19"/>
        <v/>
      </c>
      <c r="R102" t="str">
        <f t="shared" si="20"/>
        <v/>
      </c>
      <c r="S102" t="str">
        <f t="shared" si="21"/>
        <v/>
      </c>
      <c r="T102" t="str">
        <f t="shared" si="22"/>
        <v/>
      </c>
      <c r="V102">
        <f t="shared" si="32"/>
        <v>39</v>
      </c>
      <c r="AG102" s="5"/>
      <c r="AH102" s="5"/>
      <c r="AI102" s="16"/>
      <c r="AY102" s="5"/>
    </row>
    <row r="103" spans="1:51" x14ac:dyDescent="0.2">
      <c r="A103">
        <f t="shared" si="33"/>
        <v>102</v>
      </c>
      <c r="B103" s="8">
        <f t="shared" si="23"/>
        <v>2</v>
      </c>
      <c r="C103">
        <f t="shared" si="24"/>
        <v>0</v>
      </c>
      <c r="D103" s="5">
        <f t="shared" si="25"/>
        <v>0</v>
      </c>
      <c r="I103" t="str">
        <f t="shared" si="26"/>
        <v/>
      </c>
      <c r="J103" t="str">
        <f t="shared" si="27"/>
        <v/>
      </c>
      <c r="K103" t="str">
        <f t="shared" si="28"/>
        <v/>
      </c>
      <c r="L103" t="str">
        <f t="shared" si="29"/>
        <v/>
      </c>
      <c r="M103" t="str">
        <f t="shared" si="30"/>
        <v/>
      </c>
      <c r="O103" s="6">
        <f t="shared" si="34"/>
        <v>38</v>
      </c>
      <c r="P103" s="8" t="str">
        <f t="shared" si="18"/>
        <v/>
      </c>
      <c r="Q103" t="str">
        <f t="shared" si="19"/>
        <v/>
      </c>
      <c r="R103" t="str">
        <f t="shared" si="20"/>
        <v/>
      </c>
      <c r="S103" t="str">
        <f t="shared" si="21"/>
        <v/>
      </c>
      <c r="T103" t="str">
        <f t="shared" si="22"/>
        <v/>
      </c>
      <c r="V103">
        <f t="shared" si="32"/>
        <v>39</v>
      </c>
      <c r="AG103" s="5"/>
      <c r="AH103" s="5"/>
      <c r="AI103" s="16"/>
      <c r="AY103" s="5"/>
    </row>
    <row r="104" spans="1:51" x14ac:dyDescent="0.2">
      <c r="A104">
        <f t="shared" si="33"/>
        <v>103</v>
      </c>
      <c r="B104" s="8">
        <f t="shared" si="23"/>
        <v>2</v>
      </c>
      <c r="C104">
        <f>IF(G104&lt;&gt;"PeriodStart",E103,18)</f>
        <v>0</v>
      </c>
      <c r="D104" s="5">
        <f t="shared" si="25"/>
        <v>0</v>
      </c>
      <c r="I104" t="str">
        <f t="shared" si="26"/>
        <v/>
      </c>
      <c r="J104" t="str">
        <f t="shared" si="27"/>
        <v/>
      </c>
      <c r="K104" t="str">
        <f t="shared" si="28"/>
        <v/>
      </c>
      <c r="L104" t="str">
        <f t="shared" si="29"/>
        <v/>
      </c>
      <c r="M104" t="str">
        <f t="shared" si="30"/>
        <v/>
      </c>
      <c r="O104" s="6">
        <f t="shared" si="34"/>
        <v>38</v>
      </c>
      <c r="P104" s="8" t="str">
        <f t="shared" si="18"/>
        <v/>
      </c>
      <c r="Q104" t="str">
        <f t="shared" si="19"/>
        <v/>
      </c>
      <c r="R104" t="str">
        <f t="shared" si="20"/>
        <v/>
      </c>
      <c r="S104" t="str">
        <f t="shared" si="21"/>
        <v/>
      </c>
      <c r="T104" t="str">
        <f t="shared" si="22"/>
        <v/>
      </c>
      <c r="V104">
        <f t="shared" si="32"/>
        <v>39</v>
      </c>
      <c r="AG104" s="5"/>
      <c r="AH104" s="5"/>
      <c r="AI104" s="16"/>
      <c r="AY104" s="5"/>
    </row>
    <row r="105" spans="1:51" x14ac:dyDescent="0.2">
      <c r="A105">
        <f t="shared" si="33"/>
        <v>104</v>
      </c>
      <c r="B105" s="8">
        <f t="shared" si="23"/>
        <v>2</v>
      </c>
      <c r="C105">
        <f>IF(G105&lt;&gt;"PeriodStart",E104,18)</f>
        <v>0</v>
      </c>
      <c r="D105" s="5">
        <f t="shared" si="25"/>
        <v>0</v>
      </c>
      <c r="I105" t="str">
        <f t="shared" si="26"/>
        <v/>
      </c>
      <c r="J105" t="str">
        <f t="shared" si="27"/>
        <v/>
      </c>
      <c r="K105" t="str">
        <f t="shared" si="28"/>
        <v/>
      </c>
      <c r="L105" t="str">
        <f t="shared" si="29"/>
        <v/>
      </c>
      <c r="M105" t="str">
        <f t="shared" si="30"/>
        <v/>
      </c>
      <c r="O105" s="6">
        <f t="shared" si="34"/>
        <v>38</v>
      </c>
      <c r="P105" s="8" t="str">
        <f t="shared" si="18"/>
        <v/>
      </c>
      <c r="Q105" t="str">
        <f t="shared" si="19"/>
        <v/>
      </c>
      <c r="R105" t="str">
        <f t="shared" si="20"/>
        <v/>
      </c>
      <c r="S105" t="str">
        <f t="shared" si="21"/>
        <v/>
      </c>
      <c r="T105" t="str">
        <f t="shared" si="22"/>
        <v/>
      </c>
      <c r="V105">
        <f t="shared" si="32"/>
        <v>39</v>
      </c>
      <c r="AG105" s="5"/>
      <c r="AH105" s="5"/>
      <c r="AI105" s="16"/>
      <c r="AY105" s="5"/>
    </row>
    <row r="106" spans="1:51" x14ac:dyDescent="0.2">
      <c r="A106">
        <f t="shared" si="33"/>
        <v>105</v>
      </c>
      <c r="B106" s="8">
        <f t="shared" si="23"/>
        <v>2</v>
      </c>
      <c r="C106">
        <f t="shared" si="24"/>
        <v>0</v>
      </c>
      <c r="D106" s="5">
        <f t="shared" si="25"/>
        <v>0</v>
      </c>
      <c r="I106" t="str">
        <f t="shared" si="26"/>
        <v/>
      </c>
      <c r="J106" t="str">
        <f t="shared" si="27"/>
        <v/>
      </c>
      <c r="K106" t="str">
        <f t="shared" si="28"/>
        <v/>
      </c>
      <c r="L106" t="str">
        <f t="shared" si="29"/>
        <v/>
      </c>
      <c r="M106" t="str">
        <f t="shared" si="30"/>
        <v/>
      </c>
      <c r="O106" s="6">
        <f t="shared" si="34"/>
        <v>38</v>
      </c>
      <c r="P106" s="8" t="str">
        <f t="shared" si="18"/>
        <v/>
      </c>
      <c r="Q106" t="str">
        <f t="shared" si="19"/>
        <v/>
      </c>
      <c r="R106" t="str">
        <f t="shared" si="20"/>
        <v/>
      </c>
      <c r="S106" t="str">
        <f t="shared" si="21"/>
        <v/>
      </c>
      <c r="T106" t="str">
        <f t="shared" si="22"/>
        <v/>
      </c>
      <c r="V106">
        <f t="shared" si="32"/>
        <v>39</v>
      </c>
      <c r="AG106" s="5"/>
      <c r="AH106" s="5"/>
      <c r="AI106" s="16"/>
      <c r="AY106" s="5"/>
    </row>
    <row r="107" spans="1:51" x14ac:dyDescent="0.2">
      <c r="A107">
        <f t="shared" si="33"/>
        <v>106</v>
      </c>
      <c r="B107" s="8">
        <f t="shared" si="23"/>
        <v>2</v>
      </c>
      <c r="C107">
        <f t="shared" si="24"/>
        <v>0</v>
      </c>
      <c r="D107" s="5">
        <f t="shared" si="25"/>
        <v>0</v>
      </c>
      <c r="I107" t="str">
        <f t="shared" si="26"/>
        <v/>
      </c>
      <c r="J107" t="str">
        <f t="shared" si="27"/>
        <v/>
      </c>
      <c r="K107" t="str">
        <f t="shared" si="28"/>
        <v/>
      </c>
      <c r="L107" t="str">
        <f t="shared" si="29"/>
        <v/>
      </c>
      <c r="M107" t="str">
        <f t="shared" si="30"/>
        <v/>
      </c>
      <c r="O107" s="6">
        <f t="shared" si="34"/>
        <v>38</v>
      </c>
      <c r="P107" s="8" t="str">
        <f t="shared" si="18"/>
        <v/>
      </c>
      <c r="Q107" t="str">
        <f t="shared" si="19"/>
        <v/>
      </c>
      <c r="R107" t="str">
        <f t="shared" si="20"/>
        <v/>
      </c>
      <c r="S107" t="str">
        <f t="shared" si="21"/>
        <v/>
      </c>
      <c r="T107" t="str">
        <f t="shared" si="22"/>
        <v/>
      </c>
      <c r="V107">
        <f t="shared" si="32"/>
        <v>39</v>
      </c>
      <c r="AG107" s="5"/>
      <c r="AH107" s="5"/>
      <c r="AI107" s="16"/>
      <c r="AY107" s="5"/>
    </row>
    <row r="108" spans="1:51" x14ac:dyDescent="0.2">
      <c r="A108">
        <f t="shared" si="33"/>
        <v>107</v>
      </c>
      <c r="B108" s="8">
        <f t="shared" si="23"/>
        <v>2</v>
      </c>
      <c r="C108">
        <f t="shared" si="24"/>
        <v>0</v>
      </c>
      <c r="D108" s="5">
        <f t="shared" si="25"/>
        <v>0</v>
      </c>
      <c r="I108" t="str">
        <f t="shared" si="26"/>
        <v/>
      </c>
      <c r="J108" t="str">
        <f t="shared" si="27"/>
        <v/>
      </c>
      <c r="K108" t="str">
        <f t="shared" si="28"/>
        <v/>
      </c>
      <c r="L108" t="str">
        <f t="shared" si="29"/>
        <v/>
      </c>
      <c r="M108" t="str">
        <f t="shared" si="30"/>
        <v/>
      </c>
      <c r="O108" s="6">
        <f t="shared" si="34"/>
        <v>38</v>
      </c>
      <c r="P108" s="8" t="str">
        <f t="shared" si="18"/>
        <v/>
      </c>
      <c r="Q108" t="str">
        <f t="shared" si="19"/>
        <v/>
      </c>
      <c r="R108" t="str">
        <f t="shared" si="20"/>
        <v/>
      </c>
      <c r="S108" t="str">
        <f t="shared" si="21"/>
        <v/>
      </c>
      <c r="T108" t="str">
        <f t="shared" si="22"/>
        <v/>
      </c>
      <c r="V108">
        <f t="shared" si="32"/>
        <v>39</v>
      </c>
      <c r="AG108" s="5"/>
      <c r="AH108" s="5"/>
      <c r="AI108" s="16"/>
      <c r="AY108" s="5"/>
    </row>
    <row r="109" spans="1:51" x14ac:dyDescent="0.2">
      <c r="A109">
        <f t="shared" si="33"/>
        <v>108</v>
      </c>
      <c r="B109" s="8">
        <f t="shared" si="23"/>
        <v>2</v>
      </c>
      <c r="C109">
        <f t="shared" si="24"/>
        <v>0</v>
      </c>
      <c r="D109" s="5">
        <f t="shared" si="25"/>
        <v>0</v>
      </c>
      <c r="I109" t="str">
        <f t="shared" si="26"/>
        <v/>
      </c>
      <c r="J109" t="str">
        <f t="shared" si="27"/>
        <v/>
      </c>
      <c r="K109" t="str">
        <f t="shared" si="28"/>
        <v/>
      </c>
      <c r="L109" t="str">
        <f t="shared" si="29"/>
        <v/>
      </c>
      <c r="M109" t="str">
        <f t="shared" si="30"/>
        <v/>
      </c>
      <c r="O109" s="6">
        <f t="shared" si="34"/>
        <v>38</v>
      </c>
      <c r="P109" s="8" t="str">
        <f t="shared" si="18"/>
        <v/>
      </c>
      <c r="Q109" t="str">
        <f t="shared" si="19"/>
        <v/>
      </c>
      <c r="R109" t="str">
        <f t="shared" si="20"/>
        <v/>
      </c>
      <c r="S109" t="str">
        <f t="shared" si="21"/>
        <v/>
      </c>
      <c r="T109" t="str">
        <f t="shared" si="22"/>
        <v/>
      </c>
      <c r="V109">
        <f t="shared" si="32"/>
        <v>39</v>
      </c>
      <c r="AG109" s="5"/>
      <c r="AH109" s="5"/>
      <c r="AI109" s="16"/>
      <c r="AY109" s="5"/>
    </row>
    <row r="110" spans="1:51" x14ac:dyDescent="0.2">
      <c r="A110">
        <f t="shared" si="33"/>
        <v>109</v>
      </c>
      <c r="B110" s="8">
        <f t="shared" si="23"/>
        <v>2</v>
      </c>
      <c r="C110">
        <f t="shared" si="24"/>
        <v>0</v>
      </c>
      <c r="D110" s="5">
        <f t="shared" si="25"/>
        <v>0</v>
      </c>
      <c r="I110" t="str">
        <f t="shared" si="26"/>
        <v/>
      </c>
      <c r="J110" t="str">
        <f t="shared" si="27"/>
        <v/>
      </c>
      <c r="K110" t="str">
        <f t="shared" si="28"/>
        <v/>
      </c>
      <c r="L110" t="str">
        <f t="shared" si="29"/>
        <v/>
      </c>
      <c r="M110" t="str">
        <f t="shared" si="30"/>
        <v/>
      </c>
      <c r="O110" s="6">
        <f t="shared" si="34"/>
        <v>38</v>
      </c>
      <c r="P110" s="8" t="str">
        <f t="shared" si="18"/>
        <v/>
      </c>
      <c r="Q110" t="str">
        <f t="shared" si="19"/>
        <v/>
      </c>
      <c r="R110" t="str">
        <f t="shared" si="20"/>
        <v/>
      </c>
      <c r="S110" t="str">
        <f t="shared" si="21"/>
        <v/>
      </c>
      <c r="T110" t="str">
        <f t="shared" si="22"/>
        <v/>
      </c>
      <c r="V110">
        <f t="shared" si="32"/>
        <v>39</v>
      </c>
      <c r="AG110" s="5"/>
      <c r="AH110" s="5"/>
      <c r="AI110" s="16"/>
      <c r="AY110" s="5"/>
    </row>
    <row r="111" spans="1:51" x14ac:dyDescent="0.2">
      <c r="A111">
        <f t="shared" si="33"/>
        <v>110</v>
      </c>
      <c r="B111" s="8">
        <f t="shared" si="23"/>
        <v>2</v>
      </c>
      <c r="C111">
        <f t="shared" si="24"/>
        <v>0</v>
      </c>
      <c r="D111" s="5">
        <f t="shared" si="25"/>
        <v>0</v>
      </c>
      <c r="I111" t="str">
        <f t="shared" si="26"/>
        <v/>
      </c>
      <c r="J111" t="str">
        <f t="shared" si="27"/>
        <v/>
      </c>
      <c r="K111" t="str">
        <f t="shared" si="28"/>
        <v/>
      </c>
      <c r="L111" t="str">
        <f t="shared" si="29"/>
        <v/>
      </c>
      <c r="M111" t="str">
        <f t="shared" si="30"/>
        <v/>
      </c>
      <c r="O111" s="6">
        <f t="shared" si="34"/>
        <v>38</v>
      </c>
      <c r="P111" s="8" t="str">
        <f t="shared" si="18"/>
        <v/>
      </c>
      <c r="Q111" t="str">
        <f t="shared" si="19"/>
        <v/>
      </c>
      <c r="R111" t="str">
        <f t="shared" si="20"/>
        <v/>
      </c>
      <c r="S111" t="str">
        <f t="shared" si="21"/>
        <v/>
      </c>
      <c r="T111" t="str">
        <f t="shared" si="22"/>
        <v/>
      </c>
      <c r="V111">
        <f t="shared" si="32"/>
        <v>39</v>
      </c>
      <c r="AG111" s="5"/>
      <c r="AH111" s="5"/>
      <c r="AI111" s="16"/>
      <c r="AY111" s="5"/>
    </row>
    <row r="112" spans="1:51" x14ac:dyDescent="0.2">
      <c r="A112">
        <f t="shared" si="33"/>
        <v>111</v>
      </c>
      <c r="B112" s="8">
        <f t="shared" si="23"/>
        <v>2</v>
      </c>
      <c r="C112">
        <f t="shared" si="24"/>
        <v>0</v>
      </c>
      <c r="D112" s="5">
        <f t="shared" si="25"/>
        <v>0</v>
      </c>
      <c r="I112" t="str">
        <f t="shared" si="26"/>
        <v/>
      </c>
      <c r="J112" t="str">
        <f t="shared" si="27"/>
        <v/>
      </c>
      <c r="K112" t="str">
        <f t="shared" si="28"/>
        <v/>
      </c>
      <c r="L112" t="str">
        <f t="shared" si="29"/>
        <v/>
      </c>
      <c r="M112" t="str">
        <f t="shared" si="30"/>
        <v/>
      </c>
      <c r="O112" s="6">
        <f t="shared" si="34"/>
        <v>38</v>
      </c>
      <c r="P112" s="8" t="str">
        <f t="shared" si="18"/>
        <v/>
      </c>
      <c r="Q112" t="str">
        <f t="shared" si="19"/>
        <v/>
      </c>
      <c r="R112" t="str">
        <f t="shared" si="20"/>
        <v/>
      </c>
      <c r="S112" t="str">
        <f t="shared" si="21"/>
        <v/>
      </c>
      <c r="T112" t="str">
        <f t="shared" si="22"/>
        <v/>
      </c>
      <c r="V112">
        <f t="shared" si="32"/>
        <v>39</v>
      </c>
      <c r="AG112" s="5"/>
      <c r="AH112" s="5"/>
      <c r="AI112" s="16"/>
      <c r="AY112" s="5"/>
    </row>
    <row r="113" spans="1:51" x14ac:dyDescent="0.2">
      <c r="A113">
        <f t="shared" si="33"/>
        <v>112</v>
      </c>
      <c r="B113" s="8">
        <f t="shared" si="23"/>
        <v>2</v>
      </c>
      <c r="C113">
        <f t="shared" si="24"/>
        <v>0</v>
      </c>
      <c r="D113" s="5">
        <f t="shared" si="25"/>
        <v>0</v>
      </c>
      <c r="I113" t="str">
        <f t="shared" si="26"/>
        <v/>
      </c>
      <c r="J113" t="str">
        <f t="shared" si="27"/>
        <v/>
      </c>
      <c r="K113" t="str">
        <f t="shared" si="28"/>
        <v/>
      </c>
      <c r="L113" t="str">
        <f t="shared" si="29"/>
        <v/>
      </c>
      <c r="M113" t="str">
        <f t="shared" si="30"/>
        <v/>
      </c>
      <c r="O113" s="6">
        <f t="shared" si="34"/>
        <v>38</v>
      </c>
      <c r="P113" s="8" t="str">
        <f t="shared" si="18"/>
        <v/>
      </c>
      <c r="Q113" t="str">
        <f t="shared" si="19"/>
        <v/>
      </c>
      <c r="R113" t="str">
        <f t="shared" si="20"/>
        <v/>
      </c>
      <c r="S113" t="str">
        <f t="shared" si="21"/>
        <v/>
      </c>
      <c r="T113" t="str">
        <f t="shared" si="22"/>
        <v/>
      </c>
      <c r="V113">
        <f t="shared" si="32"/>
        <v>39</v>
      </c>
      <c r="AG113" s="5"/>
      <c r="AH113" s="5"/>
      <c r="AI113" s="16"/>
      <c r="AY113" s="5"/>
    </row>
    <row r="114" spans="1:51" x14ac:dyDescent="0.2">
      <c r="A114">
        <f t="shared" si="33"/>
        <v>113</v>
      </c>
      <c r="B114" s="8">
        <f t="shared" si="23"/>
        <v>2</v>
      </c>
      <c r="C114">
        <f t="shared" si="24"/>
        <v>0</v>
      </c>
      <c r="D114" s="5">
        <f t="shared" si="25"/>
        <v>0</v>
      </c>
      <c r="I114" t="str">
        <f t="shared" si="26"/>
        <v/>
      </c>
      <c r="J114" t="str">
        <f t="shared" si="27"/>
        <v/>
      </c>
      <c r="K114" t="str">
        <f t="shared" si="28"/>
        <v/>
      </c>
      <c r="L114" t="str">
        <f t="shared" si="29"/>
        <v/>
      </c>
      <c r="M114" t="str">
        <f t="shared" si="30"/>
        <v/>
      </c>
      <c r="O114" s="6">
        <f t="shared" si="34"/>
        <v>38</v>
      </c>
      <c r="P114" s="8" t="str">
        <f t="shared" si="18"/>
        <v/>
      </c>
      <c r="Q114" t="str">
        <f t="shared" si="19"/>
        <v/>
      </c>
      <c r="R114" t="str">
        <f t="shared" si="20"/>
        <v/>
      </c>
      <c r="S114" t="str">
        <f t="shared" si="21"/>
        <v/>
      </c>
      <c r="T114" t="str">
        <f t="shared" si="22"/>
        <v/>
      </c>
      <c r="V114">
        <f t="shared" si="32"/>
        <v>39</v>
      </c>
      <c r="AG114" s="5"/>
      <c r="AH114" s="5"/>
      <c r="AI114" s="16"/>
      <c r="AY114" s="5"/>
    </row>
    <row r="115" spans="1:51" x14ac:dyDescent="0.2">
      <c r="A115">
        <f t="shared" si="33"/>
        <v>114</v>
      </c>
      <c r="B115" s="8">
        <f t="shared" si="23"/>
        <v>2</v>
      </c>
      <c r="C115">
        <f t="shared" si="24"/>
        <v>0</v>
      </c>
      <c r="D115" s="5">
        <f t="shared" si="25"/>
        <v>0</v>
      </c>
      <c r="I115" t="str">
        <f t="shared" si="26"/>
        <v/>
      </c>
      <c r="J115" t="str">
        <f t="shared" si="27"/>
        <v/>
      </c>
      <c r="K115" t="str">
        <f t="shared" si="28"/>
        <v/>
      </c>
      <c r="L115" t="str">
        <f t="shared" si="29"/>
        <v/>
      </c>
      <c r="M115" t="str">
        <f t="shared" si="30"/>
        <v/>
      </c>
      <c r="O115" s="6">
        <f t="shared" si="34"/>
        <v>38</v>
      </c>
      <c r="P115" s="8" t="str">
        <f t="shared" si="18"/>
        <v/>
      </c>
      <c r="Q115" t="str">
        <f t="shared" si="19"/>
        <v/>
      </c>
      <c r="R115" t="str">
        <f t="shared" si="20"/>
        <v/>
      </c>
      <c r="S115" t="str">
        <f t="shared" si="21"/>
        <v/>
      </c>
      <c r="T115" t="str">
        <f t="shared" si="22"/>
        <v/>
      </c>
      <c r="V115">
        <f t="shared" si="32"/>
        <v>39</v>
      </c>
      <c r="AG115" s="5"/>
      <c r="AH115" s="5"/>
      <c r="AI115" s="16"/>
      <c r="AY115" s="5"/>
    </row>
    <row r="116" spans="1:51" x14ac:dyDescent="0.2">
      <c r="A116">
        <f t="shared" si="33"/>
        <v>115</v>
      </c>
      <c r="B116" s="8">
        <f t="shared" si="23"/>
        <v>2</v>
      </c>
      <c r="C116">
        <f t="shared" si="24"/>
        <v>0</v>
      </c>
      <c r="D116" s="5">
        <f t="shared" si="25"/>
        <v>0</v>
      </c>
      <c r="I116" t="str">
        <f t="shared" si="26"/>
        <v/>
      </c>
      <c r="J116" t="str">
        <f t="shared" si="27"/>
        <v/>
      </c>
      <c r="K116" t="str">
        <f t="shared" si="28"/>
        <v/>
      </c>
      <c r="L116" t="str">
        <f t="shared" si="29"/>
        <v/>
      </c>
      <c r="M116" t="str">
        <f t="shared" si="30"/>
        <v/>
      </c>
      <c r="O116" s="6">
        <f t="shared" si="34"/>
        <v>38</v>
      </c>
      <c r="P116" s="8" t="str">
        <f t="shared" si="18"/>
        <v/>
      </c>
      <c r="Q116" t="str">
        <f t="shared" si="19"/>
        <v/>
      </c>
      <c r="R116" t="str">
        <f t="shared" si="20"/>
        <v/>
      </c>
      <c r="S116" t="str">
        <f t="shared" si="21"/>
        <v/>
      </c>
      <c r="T116" t="str">
        <f t="shared" si="22"/>
        <v/>
      </c>
      <c r="V116">
        <f t="shared" si="32"/>
        <v>39</v>
      </c>
      <c r="AG116" s="5"/>
      <c r="AH116" s="5"/>
      <c r="AI116" s="16"/>
      <c r="AY116" s="5"/>
    </row>
    <row r="117" spans="1:51" x14ac:dyDescent="0.2">
      <c r="A117">
        <f t="shared" si="33"/>
        <v>116</v>
      </c>
      <c r="B117" s="8">
        <f t="shared" si="23"/>
        <v>2</v>
      </c>
      <c r="C117">
        <f t="shared" si="24"/>
        <v>0</v>
      </c>
      <c r="D117" s="5">
        <f t="shared" si="25"/>
        <v>0</v>
      </c>
      <c r="I117" t="str">
        <f t="shared" si="26"/>
        <v/>
      </c>
      <c r="J117" t="str">
        <f t="shared" si="27"/>
        <v/>
      </c>
      <c r="K117" t="str">
        <f t="shared" si="28"/>
        <v/>
      </c>
      <c r="L117" t="str">
        <f t="shared" si="29"/>
        <v/>
      </c>
      <c r="M117" t="str">
        <f t="shared" si="30"/>
        <v/>
      </c>
      <c r="O117" s="6">
        <f t="shared" si="34"/>
        <v>38</v>
      </c>
      <c r="P117" s="8" t="str">
        <f t="shared" si="18"/>
        <v/>
      </c>
      <c r="Q117" t="str">
        <f t="shared" si="19"/>
        <v/>
      </c>
      <c r="R117" t="str">
        <f t="shared" si="20"/>
        <v/>
      </c>
      <c r="S117" t="str">
        <f t="shared" si="21"/>
        <v/>
      </c>
      <c r="T117" t="str">
        <f t="shared" si="22"/>
        <v/>
      </c>
      <c r="V117">
        <f t="shared" si="32"/>
        <v>39</v>
      </c>
      <c r="AG117" s="5"/>
      <c r="AH117" s="5"/>
      <c r="AI117" s="16"/>
      <c r="AY117" s="5"/>
    </row>
    <row r="118" spans="1:51" x14ac:dyDescent="0.2">
      <c r="A118">
        <f t="shared" si="33"/>
        <v>117</v>
      </c>
      <c r="B118" s="8">
        <f t="shared" si="23"/>
        <v>2</v>
      </c>
      <c r="C118">
        <f t="shared" si="24"/>
        <v>0</v>
      </c>
      <c r="D118" s="5">
        <f t="shared" si="25"/>
        <v>0</v>
      </c>
      <c r="I118" t="str">
        <f t="shared" si="26"/>
        <v/>
      </c>
      <c r="J118" t="str">
        <f t="shared" si="27"/>
        <v/>
      </c>
      <c r="K118" t="str">
        <f t="shared" si="28"/>
        <v/>
      </c>
      <c r="L118" t="str">
        <f t="shared" si="29"/>
        <v/>
      </c>
      <c r="M118" t="str">
        <f t="shared" si="30"/>
        <v/>
      </c>
      <c r="O118" s="6">
        <f t="shared" si="34"/>
        <v>38</v>
      </c>
      <c r="P118" s="8" t="str">
        <f t="shared" si="18"/>
        <v/>
      </c>
      <c r="Q118" t="str">
        <f t="shared" si="19"/>
        <v/>
      </c>
      <c r="R118" t="str">
        <f t="shared" si="20"/>
        <v/>
      </c>
      <c r="S118" t="str">
        <f t="shared" si="21"/>
        <v/>
      </c>
      <c r="T118" t="str">
        <f t="shared" si="22"/>
        <v/>
      </c>
      <c r="V118">
        <f t="shared" si="32"/>
        <v>39</v>
      </c>
      <c r="AG118" s="5"/>
      <c r="AH118" s="5"/>
      <c r="AI118" s="16"/>
      <c r="AY118" s="5"/>
    </row>
    <row r="119" spans="1:51" x14ac:dyDescent="0.2">
      <c r="A119">
        <f t="shared" si="33"/>
        <v>118</v>
      </c>
      <c r="B119" s="8">
        <f t="shared" si="23"/>
        <v>2</v>
      </c>
      <c r="C119">
        <f t="shared" si="24"/>
        <v>0</v>
      </c>
      <c r="D119" s="5">
        <f t="shared" si="25"/>
        <v>0</v>
      </c>
      <c r="I119" t="str">
        <f t="shared" si="26"/>
        <v/>
      </c>
      <c r="J119" t="str">
        <f t="shared" si="27"/>
        <v/>
      </c>
      <c r="K119" t="str">
        <f t="shared" si="28"/>
        <v/>
      </c>
      <c r="L119" t="str">
        <f t="shared" si="29"/>
        <v/>
      </c>
      <c r="M119" t="str">
        <f t="shared" si="30"/>
        <v/>
      </c>
      <c r="O119" s="6">
        <f t="shared" si="34"/>
        <v>38</v>
      </c>
      <c r="P119" s="8" t="str">
        <f t="shared" si="18"/>
        <v/>
      </c>
      <c r="Q119" t="str">
        <f t="shared" si="19"/>
        <v/>
      </c>
      <c r="R119" t="str">
        <f t="shared" si="20"/>
        <v/>
      </c>
      <c r="S119" t="str">
        <f t="shared" si="21"/>
        <v/>
      </c>
      <c r="T119" t="str">
        <f t="shared" si="22"/>
        <v/>
      </c>
      <c r="V119">
        <f t="shared" si="32"/>
        <v>39</v>
      </c>
      <c r="AG119" s="5"/>
      <c r="AH119" s="5"/>
      <c r="AI119" s="16"/>
      <c r="AY119" s="5"/>
    </row>
    <row r="120" spans="1:51" x14ac:dyDescent="0.2">
      <c r="A120">
        <f t="shared" si="33"/>
        <v>119</v>
      </c>
      <c r="B120" s="8">
        <f t="shared" si="23"/>
        <v>2</v>
      </c>
      <c r="C120">
        <f t="shared" si="24"/>
        <v>0</v>
      </c>
      <c r="D120" s="5">
        <f t="shared" si="25"/>
        <v>0</v>
      </c>
      <c r="I120" t="str">
        <f t="shared" si="26"/>
        <v/>
      </c>
      <c r="J120" t="str">
        <f t="shared" si="27"/>
        <v/>
      </c>
      <c r="K120" t="str">
        <f t="shared" si="28"/>
        <v/>
      </c>
      <c r="L120" t="str">
        <f t="shared" si="29"/>
        <v/>
      </c>
      <c r="M120" t="str">
        <f t="shared" si="30"/>
        <v/>
      </c>
      <c r="O120" s="6">
        <f t="shared" si="34"/>
        <v>38</v>
      </c>
      <c r="P120" s="8" t="str">
        <f t="shared" si="18"/>
        <v/>
      </c>
      <c r="Q120" t="str">
        <f t="shared" si="19"/>
        <v/>
      </c>
      <c r="R120" t="str">
        <f t="shared" si="20"/>
        <v/>
      </c>
      <c r="S120" t="str">
        <f t="shared" si="21"/>
        <v/>
      </c>
      <c r="T120" t="str">
        <f t="shared" si="22"/>
        <v/>
      </c>
      <c r="V120">
        <f t="shared" si="32"/>
        <v>39</v>
      </c>
      <c r="AG120" s="5"/>
      <c r="AH120" s="5"/>
      <c r="AI120" s="16"/>
      <c r="AY120" s="5"/>
    </row>
    <row r="121" spans="1:51" x14ac:dyDescent="0.2">
      <c r="A121">
        <f t="shared" si="33"/>
        <v>120</v>
      </c>
      <c r="B121" s="8">
        <f t="shared" si="23"/>
        <v>2</v>
      </c>
      <c r="C121">
        <f t="shared" si="24"/>
        <v>0</v>
      </c>
      <c r="D121" s="5">
        <f t="shared" si="25"/>
        <v>0</v>
      </c>
      <c r="I121" t="str">
        <f t="shared" si="26"/>
        <v/>
      </c>
      <c r="J121" t="str">
        <f t="shared" si="27"/>
        <v/>
      </c>
      <c r="K121" t="str">
        <f t="shared" si="28"/>
        <v/>
      </c>
      <c r="L121" t="str">
        <f t="shared" si="29"/>
        <v/>
      </c>
      <c r="M121" t="str">
        <f t="shared" si="30"/>
        <v/>
      </c>
      <c r="O121" s="6">
        <f t="shared" si="34"/>
        <v>38</v>
      </c>
      <c r="P121" s="8" t="str">
        <f t="shared" si="18"/>
        <v/>
      </c>
      <c r="Q121" t="str">
        <f t="shared" si="19"/>
        <v/>
      </c>
      <c r="R121" t="str">
        <f t="shared" si="20"/>
        <v/>
      </c>
      <c r="S121" t="str">
        <f t="shared" si="21"/>
        <v/>
      </c>
      <c r="T121" t="str">
        <f t="shared" si="22"/>
        <v/>
      </c>
      <c r="V121">
        <f t="shared" si="32"/>
        <v>39</v>
      </c>
      <c r="AG121" s="5"/>
      <c r="AH121" s="5"/>
      <c r="AI121" s="16"/>
      <c r="AY121" s="5"/>
    </row>
    <row r="122" spans="1:51" x14ac:dyDescent="0.2">
      <c r="A122">
        <f t="shared" si="33"/>
        <v>121</v>
      </c>
      <c r="B122" s="8">
        <f t="shared" si="23"/>
        <v>2</v>
      </c>
      <c r="C122">
        <f t="shared" si="24"/>
        <v>0</v>
      </c>
      <c r="D122" s="5">
        <f t="shared" si="25"/>
        <v>0</v>
      </c>
      <c r="I122" t="str">
        <f t="shared" si="26"/>
        <v/>
      </c>
      <c r="J122" t="str">
        <f t="shared" si="27"/>
        <v/>
      </c>
      <c r="K122" t="str">
        <f t="shared" si="28"/>
        <v/>
      </c>
      <c r="L122" t="str">
        <f t="shared" si="29"/>
        <v/>
      </c>
      <c r="M122" t="str">
        <f t="shared" si="30"/>
        <v/>
      </c>
      <c r="O122" s="6">
        <f t="shared" si="34"/>
        <v>38</v>
      </c>
      <c r="P122" s="8" t="str">
        <f t="shared" si="18"/>
        <v/>
      </c>
      <c r="Q122" t="str">
        <f t="shared" si="19"/>
        <v/>
      </c>
      <c r="R122" t="str">
        <f t="shared" si="20"/>
        <v/>
      </c>
      <c r="S122" t="str">
        <f t="shared" si="21"/>
        <v/>
      </c>
      <c r="T122" t="str">
        <f t="shared" si="22"/>
        <v/>
      </c>
      <c r="V122">
        <f t="shared" si="32"/>
        <v>39</v>
      </c>
      <c r="AG122" s="5"/>
      <c r="AH122" s="5"/>
      <c r="AI122" s="16"/>
      <c r="AY122" s="5"/>
    </row>
    <row r="123" spans="1:51" x14ac:dyDescent="0.2">
      <c r="A123">
        <f t="shared" si="33"/>
        <v>122</v>
      </c>
      <c r="B123" s="8">
        <f t="shared" si="23"/>
        <v>2</v>
      </c>
      <c r="C123">
        <f t="shared" si="24"/>
        <v>0</v>
      </c>
      <c r="D123" s="5">
        <f t="shared" si="25"/>
        <v>0</v>
      </c>
      <c r="I123" t="str">
        <f t="shared" si="26"/>
        <v/>
      </c>
      <c r="J123" t="str">
        <f t="shared" si="27"/>
        <v/>
      </c>
      <c r="K123" t="str">
        <f t="shared" si="28"/>
        <v/>
      </c>
      <c r="L123" t="str">
        <f t="shared" si="29"/>
        <v/>
      </c>
      <c r="M123" t="str">
        <f t="shared" si="30"/>
        <v/>
      </c>
      <c r="O123" s="6">
        <f t="shared" si="34"/>
        <v>38</v>
      </c>
      <c r="P123" s="8" t="str">
        <f t="shared" si="18"/>
        <v/>
      </c>
      <c r="Q123" t="str">
        <f t="shared" si="19"/>
        <v/>
      </c>
      <c r="R123" t="str">
        <f t="shared" si="20"/>
        <v/>
      </c>
      <c r="S123" t="str">
        <f t="shared" si="21"/>
        <v/>
      </c>
      <c r="T123" t="str">
        <f t="shared" si="22"/>
        <v/>
      </c>
      <c r="V123">
        <f t="shared" si="32"/>
        <v>39</v>
      </c>
      <c r="AG123" s="5"/>
      <c r="AH123" s="5"/>
      <c r="AI123" s="16"/>
      <c r="AY123" s="5"/>
    </row>
    <row r="124" spans="1:51" x14ac:dyDescent="0.2">
      <c r="A124">
        <f t="shared" si="33"/>
        <v>123</v>
      </c>
      <c r="B124" s="8">
        <f t="shared" si="23"/>
        <v>2</v>
      </c>
      <c r="C124">
        <f t="shared" si="24"/>
        <v>0</v>
      </c>
      <c r="D124" s="5">
        <f t="shared" si="25"/>
        <v>0</v>
      </c>
      <c r="I124" t="str">
        <f t="shared" si="26"/>
        <v/>
      </c>
      <c r="J124" t="str">
        <f t="shared" si="27"/>
        <v/>
      </c>
      <c r="K124" t="str">
        <f t="shared" si="28"/>
        <v/>
      </c>
      <c r="L124" t="str">
        <f t="shared" si="29"/>
        <v/>
      </c>
      <c r="M124" t="str">
        <f t="shared" si="30"/>
        <v/>
      </c>
      <c r="O124" s="6">
        <f t="shared" si="34"/>
        <v>38</v>
      </c>
      <c r="P124" s="8" t="str">
        <f t="shared" si="18"/>
        <v/>
      </c>
      <c r="Q124" t="str">
        <f t="shared" si="19"/>
        <v/>
      </c>
      <c r="R124" t="str">
        <f t="shared" si="20"/>
        <v/>
      </c>
      <c r="S124" t="str">
        <f t="shared" si="21"/>
        <v/>
      </c>
      <c r="T124" t="str">
        <f t="shared" si="22"/>
        <v/>
      </c>
      <c r="V124">
        <f t="shared" si="32"/>
        <v>39</v>
      </c>
      <c r="AG124" s="5"/>
      <c r="AH124" s="5"/>
      <c r="AI124" s="16"/>
      <c r="AY124" s="5"/>
    </row>
    <row r="125" spans="1:51" x14ac:dyDescent="0.2">
      <c r="A125">
        <f t="shared" si="33"/>
        <v>124</v>
      </c>
      <c r="B125" s="8">
        <f t="shared" si="23"/>
        <v>2</v>
      </c>
      <c r="C125">
        <f t="shared" si="24"/>
        <v>0</v>
      </c>
      <c r="D125" s="5">
        <f t="shared" si="25"/>
        <v>0</v>
      </c>
      <c r="I125" t="str">
        <f t="shared" si="26"/>
        <v/>
      </c>
      <c r="J125" t="str">
        <f t="shared" si="27"/>
        <v/>
      </c>
      <c r="K125" t="str">
        <f t="shared" si="28"/>
        <v/>
      </c>
      <c r="L125" t="str">
        <f t="shared" si="29"/>
        <v/>
      </c>
      <c r="M125" t="str">
        <f t="shared" si="30"/>
        <v/>
      </c>
      <c r="O125" s="6">
        <f t="shared" si="34"/>
        <v>38</v>
      </c>
      <c r="P125" s="8" t="str">
        <f t="shared" si="18"/>
        <v/>
      </c>
      <c r="Q125" t="str">
        <f t="shared" si="19"/>
        <v/>
      </c>
      <c r="R125" t="str">
        <f t="shared" si="20"/>
        <v/>
      </c>
      <c r="S125" t="str">
        <f t="shared" si="21"/>
        <v/>
      </c>
      <c r="T125" t="str">
        <f t="shared" si="22"/>
        <v/>
      </c>
      <c r="V125">
        <f t="shared" si="32"/>
        <v>39</v>
      </c>
      <c r="AG125" s="5"/>
      <c r="AH125" s="5"/>
      <c r="AI125" s="16"/>
      <c r="AY125" s="5"/>
    </row>
    <row r="126" spans="1:51" x14ac:dyDescent="0.2">
      <c r="A126">
        <f t="shared" si="33"/>
        <v>125</v>
      </c>
      <c r="B126" s="8">
        <f t="shared" si="23"/>
        <v>2</v>
      </c>
      <c r="C126">
        <f t="shared" si="24"/>
        <v>0</v>
      </c>
      <c r="D126" s="5">
        <f t="shared" si="25"/>
        <v>0</v>
      </c>
      <c r="I126" t="str">
        <f t="shared" si="26"/>
        <v/>
      </c>
      <c r="J126" t="str">
        <f t="shared" si="27"/>
        <v/>
      </c>
      <c r="K126" t="str">
        <f t="shared" si="28"/>
        <v/>
      </c>
      <c r="L126" t="str">
        <f t="shared" si="29"/>
        <v/>
      </c>
      <c r="M126" t="str">
        <f t="shared" si="30"/>
        <v/>
      </c>
      <c r="O126" s="6">
        <f t="shared" si="34"/>
        <v>38</v>
      </c>
      <c r="P126" s="8" t="str">
        <f t="shared" si="18"/>
        <v/>
      </c>
      <c r="Q126" t="str">
        <f t="shared" si="19"/>
        <v/>
      </c>
      <c r="R126" t="str">
        <f t="shared" si="20"/>
        <v/>
      </c>
      <c r="S126" t="str">
        <f t="shared" si="21"/>
        <v/>
      </c>
      <c r="T126" t="str">
        <f t="shared" si="22"/>
        <v/>
      </c>
      <c r="V126">
        <f t="shared" si="32"/>
        <v>39</v>
      </c>
      <c r="AG126" s="5"/>
      <c r="AH126" s="5"/>
      <c r="AI126" s="16"/>
      <c r="AY126" s="5"/>
    </row>
    <row r="127" spans="1:51" x14ac:dyDescent="0.2">
      <c r="A127">
        <f t="shared" si="33"/>
        <v>126</v>
      </c>
      <c r="B127" s="8">
        <f t="shared" si="23"/>
        <v>2</v>
      </c>
      <c r="C127">
        <f t="shared" si="24"/>
        <v>0</v>
      </c>
      <c r="D127" s="5">
        <f t="shared" si="25"/>
        <v>0</v>
      </c>
      <c r="I127" t="str">
        <f t="shared" si="26"/>
        <v/>
      </c>
      <c r="J127" t="str">
        <f t="shared" si="27"/>
        <v/>
      </c>
      <c r="K127" t="str">
        <f t="shared" si="28"/>
        <v/>
      </c>
      <c r="L127" t="str">
        <f t="shared" si="29"/>
        <v/>
      </c>
      <c r="M127" t="str">
        <f t="shared" si="30"/>
        <v/>
      </c>
      <c r="O127" s="6">
        <f t="shared" si="34"/>
        <v>38</v>
      </c>
      <c r="P127" s="8" t="str">
        <f t="shared" si="18"/>
        <v/>
      </c>
      <c r="Q127" t="str">
        <f t="shared" si="19"/>
        <v/>
      </c>
      <c r="R127" t="str">
        <f t="shared" si="20"/>
        <v/>
      </c>
      <c r="S127" t="str">
        <f t="shared" si="21"/>
        <v/>
      </c>
      <c r="T127" t="str">
        <f t="shared" si="22"/>
        <v/>
      </c>
      <c r="V127">
        <f t="shared" si="32"/>
        <v>39</v>
      </c>
      <c r="AG127" s="5"/>
      <c r="AH127" s="5"/>
      <c r="AI127" s="16"/>
      <c r="AY127" s="5"/>
    </row>
    <row r="128" spans="1:51" x14ac:dyDescent="0.2">
      <c r="A128">
        <f t="shared" si="33"/>
        <v>127</v>
      </c>
      <c r="B128" s="8">
        <f t="shared" si="23"/>
        <v>2</v>
      </c>
      <c r="C128">
        <f t="shared" si="24"/>
        <v>0</v>
      </c>
      <c r="D128" s="5">
        <f t="shared" si="25"/>
        <v>0</v>
      </c>
      <c r="I128" t="str">
        <f t="shared" si="26"/>
        <v/>
      </c>
      <c r="J128" t="str">
        <f t="shared" si="27"/>
        <v/>
      </c>
      <c r="K128" t="str">
        <f t="shared" si="28"/>
        <v/>
      </c>
      <c r="L128" t="str">
        <f t="shared" si="29"/>
        <v/>
      </c>
      <c r="M128" t="str">
        <f t="shared" si="30"/>
        <v/>
      </c>
      <c r="O128" s="6">
        <f t="shared" si="34"/>
        <v>38</v>
      </c>
      <c r="P128" s="8" t="str">
        <f t="shared" si="18"/>
        <v/>
      </c>
      <c r="Q128" t="str">
        <f t="shared" si="19"/>
        <v/>
      </c>
      <c r="R128" t="str">
        <f t="shared" si="20"/>
        <v/>
      </c>
      <c r="S128" t="str">
        <f t="shared" si="21"/>
        <v/>
      </c>
      <c r="T128" t="str">
        <f t="shared" si="22"/>
        <v/>
      </c>
      <c r="V128">
        <f t="shared" si="32"/>
        <v>39</v>
      </c>
      <c r="AG128" s="5"/>
      <c r="AH128" s="5"/>
      <c r="AI128" s="16"/>
      <c r="AY128" s="5"/>
    </row>
    <row r="129" spans="1:51" x14ac:dyDescent="0.2">
      <c r="A129">
        <f t="shared" si="33"/>
        <v>128</v>
      </c>
      <c r="B129" s="8">
        <f t="shared" si="23"/>
        <v>2</v>
      </c>
      <c r="C129">
        <f t="shared" si="24"/>
        <v>0</v>
      </c>
      <c r="D129" s="5">
        <f t="shared" si="25"/>
        <v>0</v>
      </c>
      <c r="I129" t="str">
        <f t="shared" si="26"/>
        <v/>
      </c>
      <c r="J129" t="str">
        <f t="shared" si="27"/>
        <v/>
      </c>
      <c r="K129" t="str">
        <f t="shared" si="28"/>
        <v/>
      </c>
      <c r="L129" t="str">
        <f t="shared" si="29"/>
        <v/>
      </c>
      <c r="M129" t="str">
        <f t="shared" si="30"/>
        <v/>
      </c>
      <c r="O129" s="6">
        <f t="shared" si="34"/>
        <v>38</v>
      </c>
      <c r="P129" s="8" t="str">
        <f t="shared" si="18"/>
        <v/>
      </c>
      <c r="Q129" t="str">
        <f t="shared" si="19"/>
        <v/>
      </c>
      <c r="R129" t="str">
        <f t="shared" si="20"/>
        <v/>
      </c>
      <c r="S129" t="str">
        <f t="shared" si="21"/>
        <v/>
      </c>
      <c r="T129" t="str">
        <f t="shared" si="22"/>
        <v/>
      </c>
      <c r="V129">
        <f t="shared" si="32"/>
        <v>39</v>
      </c>
      <c r="AG129" s="5"/>
      <c r="AH129" s="5"/>
      <c r="AI129" s="16"/>
      <c r="AY129" s="5"/>
    </row>
    <row r="130" spans="1:51" x14ac:dyDescent="0.2">
      <c r="A130">
        <f t="shared" si="33"/>
        <v>129</v>
      </c>
      <c r="B130" s="8">
        <f t="shared" si="23"/>
        <v>2</v>
      </c>
      <c r="C130">
        <f t="shared" si="24"/>
        <v>0</v>
      </c>
      <c r="D130" s="5">
        <f t="shared" si="25"/>
        <v>0</v>
      </c>
      <c r="I130" t="str">
        <f t="shared" si="26"/>
        <v/>
      </c>
      <c r="J130" t="str">
        <f t="shared" si="27"/>
        <v/>
      </c>
      <c r="K130" t="str">
        <f t="shared" si="28"/>
        <v/>
      </c>
      <c r="L130" t="str">
        <f t="shared" si="29"/>
        <v/>
      </c>
      <c r="M130" t="str">
        <f t="shared" si="30"/>
        <v/>
      </c>
      <c r="O130" s="6">
        <f t="shared" si="34"/>
        <v>38</v>
      </c>
      <c r="P130" s="8" t="str">
        <f t="shared" si="18"/>
        <v/>
      </c>
      <c r="Q130" t="str">
        <f t="shared" si="19"/>
        <v/>
      </c>
      <c r="R130" t="str">
        <f t="shared" si="20"/>
        <v/>
      </c>
      <c r="S130" t="str">
        <f t="shared" si="21"/>
        <v/>
      </c>
      <c r="T130" t="str">
        <f t="shared" si="22"/>
        <v/>
      </c>
      <c r="V130">
        <f t="shared" si="32"/>
        <v>39</v>
      </c>
      <c r="AG130" s="5"/>
      <c r="AH130" s="5"/>
      <c r="AI130" s="16"/>
      <c r="AY130" s="5"/>
    </row>
    <row r="131" spans="1:51" x14ac:dyDescent="0.2">
      <c r="A131">
        <f t="shared" si="33"/>
        <v>130</v>
      </c>
      <c r="B131" s="8">
        <f t="shared" si="23"/>
        <v>2</v>
      </c>
      <c r="C131">
        <f t="shared" si="24"/>
        <v>0</v>
      </c>
      <c r="D131" s="5">
        <f t="shared" si="25"/>
        <v>0</v>
      </c>
      <c r="I131" t="str">
        <f t="shared" si="26"/>
        <v/>
      </c>
      <c r="J131" t="str">
        <f t="shared" si="27"/>
        <v/>
      </c>
      <c r="K131" t="str">
        <f t="shared" si="28"/>
        <v/>
      </c>
      <c r="L131" t="str">
        <f t="shared" si="29"/>
        <v/>
      </c>
      <c r="M131" t="str">
        <f t="shared" si="30"/>
        <v/>
      </c>
      <c r="O131" s="6">
        <f t="shared" si="34"/>
        <v>38</v>
      </c>
      <c r="P131" s="8" t="str">
        <f t="shared" ref="P131:P194" si="35">IF($D131&gt;0,P130,"")</f>
        <v/>
      </c>
      <c r="Q131" t="str">
        <f t="shared" ref="Q131:Q194" si="36">IF($D131&gt;0,Q130,"")</f>
        <v/>
      </c>
      <c r="R131" t="str">
        <f t="shared" ref="R131:R194" si="37">IF($D131&gt;0,R130,"")</f>
        <v/>
      </c>
      <c r="S131" t="str">
        <f t="shared" ref="S131:S194" si="38">IF($D131&gt;0,S130,"")</f>
        <v/>
      </c>
      <c r="T131" t="str">
        <f t="shared" ref="T131:T194" si="39">IF($D131&gt;0,T130,"")</f>
        <v/>
      </c>
      <c r="V131">
        <f t="shared" si="32"/>
        <v>39</v>
      </c>
      <c r="AG131" s="5"/>
      <c r="AH131" s="5"/>
      <c r="AI131" s="16"/>
      <c r="AY131" s="5"/>
    </row>
    <row r="132" spans="1:51" x14ac:dyDescent="0.2">
      <c r="A132">
        <f t="shared" si="33"/>
        <v>131</v>
      </c>
      <c r="B132" s="8">
        <f t="shared" ref="B132:B195" si="40">IF(G132="PeriodStart",B131+1,B131)</f>
        <v>2</v>
      </c>
      <c r="C132">
        <f t="shared" ref="C132:C195" si="41">IF(G132&lt;&gt;"PeriodStart",E131,18)</f>
        <v>0</v>
      </c>
      <c r="D132" s="5">
        <f t="shared" ref="D132:D195" si="42">F131</f>
        <v>0</v>
      </c>
      <c r="I132" t="str">
        <f t="shared" ref="I132:I195" si="43">IF($D132&gt;0,I131,"")</f>
        <v/>
      </c>
      <c r="J132" t="str">
        <f t="shared" ref="J132:J195" si="44">IF($D132&gt;0,J131,"")</f>
        <v/>
      </c>
      <c r="K132" t="str">
        <f t="shared" ref="K132:K195" si="45">IF($D132&gt;0,K131,"")</f>
        <v/>
      </c>
      <c r="L132" t="str">
        <f t="shared" ref="L132:L195" si="46">IF($D132&gt;0,L131,"")</f>
        <v/>
      </c>
      <c r="M132" t="str">
        <f t="shared" ref="M132:M195" si="47">IF($D132&gt;0,M131,"")</f>
        <v/>
      </c>
      <c r="O132" s="6">
        <f t="shared" ref="O132:O195" si="48">O131</f>
        <v>38</v>
      </c>
      <c r="P132" s="8" t="str">
        <f t="shared" si="35"/>
        <v/>
      </c>
      <c r="Q132" t="str">
        <f t="shared" si="36"/>
        <v/>
      </c>
      <c r="R132" t="str">
        <f t="shared" si="37"/>
        <v/>
      </c>
      <c r="S132" t="str">
        <f t="shared" si="38"/>
        <v/>
      </c>
      <c r="T132" t="str">
        <f t="shared" si="39"/>
        <v/>
      </c>
      <c r="V132">
        <f t="shared" ref="V132:V195" si="49">V131</f>
        <v>39</v>
      </c>
      <c r="AG132" s="5"/>
      <c r="AH132" s="5"/>
      <c r="AI132" s="16"/>
      <c r="AY132" s="5"/>
    </row>
    <row r="133" spans="1:51" x14ac:dyDescent="0.2">
      <c r="A133">
        <f t="shared" ref="A133:A196" si="50">A132+1</f>
        <v>132</v>
      </c>
      <c r="B133" s="8">
        <f t="shared" si="40"/>
        <v>2</v>
      </c>
      <c r="C133">
        <f t="shared" si="41"/>
        <v>0</v>
      </c>
      <c r="D133" s="5">
        <f t="shared" si="42"/>
        <v>0</v>
      </c>
      <c r="I133" t="str">
        <f t="shared" si="43"/>
        <v/>
      </c>
      <c r="J133" t="str">
        <f t="shared" si="44"/>
        <v/>
      </c>
      <c r="K133" t="str">
        <f t="shared" si="45"/>
        <v/>
      </c>
      <c r="L133" t="str">
        <f t="shared" si="46"/>
        <v/>
      </c>
      <c r="M133" t="str">
        <f t="shared" si="47"/>
        <v/>
      </c>
      <c r="O133" s="6">
        <f t="shared" si="48"/>
        <v>38</v>
      </c>
      <c r="P133" s="8" t="str">
        <f t="shared" si="35"/>
        <v/>
      </c>
      <c r="Q133" t="str">
        <f t="shared" si="36"/>
        <v/>
      </c>
      <c r="R133" t="str">
        <f t="shared" si="37"/>
        <v/>
      </c>
      <c r="S133" t="str">
        <f t="shared" si="38"/>
        <v/>
      </c>
      <c r="T133" t="str">
        <f t="shared" si="39"/>
        <v/>
      </c>
      <c r="V133">
        <f t="shared" si="49"/>
        <v>39</v>
      </c>
      <c r="AG133" s="5"/>
      <c r="AH133" s="5"/>
      <c r="AI133" s="16"/>
      <c r="AY133" s="5"/>
    </row>
    <row r="134" spans="1:51" x14ac:dyDescent="0.2">
      <c r="A134">
        <f t="shared" si="50"/>
        <v>133</v>
      </c>
      <c r="B134" s="8">
        <f t="shared" si="40"/>
        <v>2</v>
      </c>
      <c r="C134">
        <f t="shared" si="41"/>
        <v>0</v>
      </c>
      <c r="D134" s="5">
        <f t="shared" si="42"/>
        <v>0</v>
      </c>
      <c r="I134" t="str">
        <f t="shared" si="43"/>
        <v/>
      </c>
      <c r="J134" t="str">
        <f t="shared" si="44"/>
        <v/>
      </c>
      <c r="K134" t="str">
        <f t="shared" si="45"/>
        <v/>
      </c>
      <c r="L134" t="str">
        <f t="shared" si="46"/>
        <v/>
      </c>
      <c r="M134" t="str">
        <f t="shared" si="47"/>
        <v/>
      </c>
      <c r="O134" s="6">
        <f t="shared" si="48"/>
        <v>38</v>
      </c>
      <c r="P134" s="8" t="str">
        <f t="shared" si="35"/>
        <v/>
      </c>
      <c r="Q134" t="str">
        <f t="shared" si="36"/>
        <v/>
      </c>
      <c r="R134" t="str">
        <f t="shared" si="37"/>
        <v/>
      </c>
      <c r="S134" t="str">
        <f t="shared" si="38"/>
        <v/>
      </c>
      <c r="T134" t="str">
        <f t="shared" si="39"/>
        <v/>
      </c>
      <c r="V134">
        <f t="shared" si="49"/>
        <v>39</v>
      </c>
      <c r="AG134" s="5"/>
      <c r="AH134" s="5"/>
      <c r="AI134" s="16"/>
      <c r="AY134" s="5"/>
    </row>
    <row r="135" spans="1:51" x14ac:dyDescent="0.2">
      <c r="A135">
        <f t="shared" si="50"/>
        <v>134</v>
      </c>
      <c r="B135" s="8">
        <f t="shared" si="40"/>
        <v>2</v>
      </c>
      <c r="C135">
        <f t="shared" si="41"/>
        <v>0</v>
      </c>
      <c r="D135" s="5">
        <f t="shared" si="42"/>
        <v>0</v>
      </c>
      <c r="I135" t="str">
        <f t="shared" si="43"/>
        <v/>
      </c>
      <c r="J135" t="str">
        <f t="shared" si="44"/>
        <v/>
      </c>
      <c r="K135" t="str">
        <f t="shared" si="45"/>
        <v/>
      </c>
      <c r="L135" t="str">
        <f t="shared" si="46"/>
        <v/>
      </c>
      <c r="M135" t="str">
        <f t="shared" si="47"/>
        <v/>
      </c>
      <c r="O135" s="6">
        <f t="shared" si="48"/>
        <v>38</v>
      </c>
      <c r="P135" s="8" t="str">
        <f t="shared" si="35"/>
        <v/>
      </c>
      <c r="Q135" t="str">
        <f t="shared" si="36"/>
        <v/>
      </c>
      <c r="R135" t="str">
        <f t="shared" si="37"/>
        <v/>
      </c>
      <c r="S135" t="str">
        <f t="shared" si="38"/>
        <v/>
      </c>
      <c r="T135" t="str">
        <f t="shared" si="39"/>
        <v/>
      </c>
      <c r="V135">
        <f t="shared" si="49"/>
        <v>39</v>
      </c>
      <c r="AG135" s="5"/>
      <c r="AH135" s="5"/>
      <c r="AI135" s="16"/>
      <c r="AY135" s="5"/>
    </row>
    <row r="136" spans="1:51" x14ac:dyDescent="0.2">
      <c r="A136">
        <f t="shared" si="50"/>
        <v>135</v>
      </c>
      <c r="B136" s="8">
        <f t="shared" si="40"/>
        <v>2</v>
      </c>
      <c r="C136">
        <f t="shared" si="41"/>
        <v>0</v>
      </c>
      <c r="D136" s="5">
        <f t="shared" si="42"/>
        <v>0</v>
      </c>
      <c r="I136" t="str">
        <f t="shared" si="43"/>
        <v/>
      </c>
      <c r="J136" t="str">
        <f t="shared" si="44"/>
        <v/>
      </c>
      <c r="K136" t="str">
        <f t="shared" si="45"/>
        <v/>
      </c>
      <c r="L136" t="str">
        <f t="shared" si="46"/>
        <v/>
      </c>
      <c r="M136" t="str">
        <f t="shared" si="47"/>
        <v/>
      </c>
      <c r="O136" s="6">
        <f t="shared" si="48"/>
        <v>38</v>
      </c>
      <c r="P136" s="8" t="str">
        <f t="shared" si="35"/>
        <v/>
      </c>
      <c r="Q136" t="str">
        <f t="shared" si="36"/>
        <v/>
      </c>
      <c r="R136" t="str">
        <f t="shared" si="37"/>
        <v/>
      </c>
      <c r="S136" t="str">
        <f t="shared" si="38"/>
        <v/>
      </c>
      <c r="T136" t="str">
        <f t="shared" si="39"/>
        <v/>
      </c>
      <c r="V136">
        <f t="shared" si="49"/>
        <v>39</v>
      </c>
      <c r="AG136" s="5"/>
      <c r="AH136" s="5"/>
      <c r="AI136" s="16"/>
      <c r="AY136" s="5"/>
    </row>
    <row r="137" spans="1:51" x14ac:dyDescent="0.2">
      <c r="A137">
        <f t="shared" si="50"/>
        <v>136</v>
      </c>
      <c r="B137" s="8">
        <f t="shared" si="40"/>
        <v>2</v>
      </c>
      <c r="C137">
        <f t="shared" si="41"/>
        <v>0</v>
      </c>
      <c r="D137" s="5">
        <f t="shared" si="42"/>
        <v>0</v>
      </c>
      <c r="I137" t="str">
        <f t="shared" si="43"/>
        <v/>
      </c>
      <c r="J137" t="str">
        <f t="shared" si="44"/>
        <v/>
      </c>
      <c r="K137" t="str">
        <f t="shared" si="45"/>
        <v/>
      </c>
      <c r="L137" t="str">
        <f t="shared" si="46"/>
        <v/>
      </c>
      <c r="M137" t="str">
        <f t="shared" si="47"/>
        <v/>
      </c>
      <c r="O137" s="6">
        <f t="shared" si="48"/>
        <v>38</v>
      </c>
      <c r="P137" s="8" t="str">
        <f t="shared" si="35"/>
        <v/>
      </c>
      <c r="Q137" t="str">
        <f t="shared" si="36"/>
        <v/>
      </c>
      <c r="R137" t="str">
        <f t="shared" si="37"/>
        <v/>
      </c>
      <c r="S137" t="str">
        <f t="shared" si="38"/>
        <v/>
      </c>
      <c r="T137" t="str">
        <f t="shared" si="39"/>
        <v/>
      </c>
      <c r="V137">
        <f t="shared" si="49"/>
        <v>39</v>
      </c>
      <c r="AG137" s="5"/>
      <c r="AH137" s="5"/>
      <c r="AI137" s="16"/>
      <c r="AY137" s="5"/>
    </row>
    <row r="138" spans="1:51" x14ac:dyDescent="0.2">
      <c r="A138">
        <f t="shared" si="50"/>
        <v>137</v>
      </c>
      <c r="B138" s="8">
        <f t="shared" si="40"/>
        <v>2</v>
      </c>
      <c r="C138">
        <f t="shared" si="41"/>
        <v>0</v>
      </c>
      <c r="D138" s="5">
        <f t="shared" si="42"/>
        <v>0</v>
      </c>
      <c r="I138" t="str">
        <f t="shared" si="43"/>
        <v/>
      </c>
      <c r="J138" t="str">
        <f t="shared" si="44"/>
        <v/>
      </c>
      <c r="K138" t="str">
        <f t="shared" si="45"/>
        <v/>
      </c>
      <c r="L138" t="str">
        <f t="shared" si="46"/>
        <v/>
      </c>
      <c r="M138" t="str">
        <f t="shared" si="47"/>
        <v/>
      </c>
      <c r="O138" s="6">
        <f t="shared" si="48"/>
        <v>38</v>
      </c>
      <c r="P138" s="8" t="str">
        <f t="shared" si="35"/>
        <v/>
      </c>
      <c r="Q138" t="str">
        <f t="shared" si="36"/>
        <v/>
      </c>
      <c r="R138" t="str">
        <f t="shared" si="37"/>
        <v/>
      </c>
      <c r="S138" t="str">
        <f t="shared" si="38"/>
        <v/>
      </c>
      <c r="T138" t="str">
        <f t="shared" si="39"/>
        <v/>
      </c>
      <c r="V138">
        <f t="shared" si="49"/>
        <v>39</v>
      </c>
      <c r="AG138" s="5"/>
      <c r="AH138" s="5"/>
      <c r="AI138" s="16"/>
      <c r="AY138" s="5"/>
    </row>
    <row r="139" spans="1:51" x14ac:dyDescent="0.2">
      <c r="A139">
        <f t="shared" si="50"/>
        <v>138</v>
      </c>
      <c r="B139" s="8">
        <f t="shared" si="40"/>
        <v>2</v>
      </c>
      <c r="C139">
        <f t="shared" si="41"/>
        <v>0</v>
      </c>
      <c r="D139" s="5">
        <f t="shared" si="42"/>
        <v>0</v>
      </c>
      <c r="I139" t="str">
        <f t="shared" si="43"/>
        <v/>
      </c>
      <c r="J139" t="str">
        <f t="shared" si="44"/>
        <v/>
      </c>
      <c r="K139" t="str">
        <f t="shared" si="45"/>
        <v/>
      </c>
      <c r="L139" t="str">
        <f t="shared" si="46"/>
        <v/>
      </c>
      <c r="M139" t="str">
        <f t="shared" si="47"/>
        <v/>
      </c>
      <c r="O139" s="6">
        <f t="shared" si="48"/>
        <v>38</v>
      </c>
      <c r="P139" s="8" t="str">
        <f t="shared" si="35"/>
        <v/>
      </c>
      <c r="Q139" t="str">
        <f t="shared" si="36"/>
        <v/>
      </c>
      <c r="R139" t="str">
        <f t="shared" si="37"/>
        <v/>
      </c>
      <c r="S139" t="str">
        <f t="shared" si="38"/>
        <v/>
      </c>
      <c r="T139" t="str">
        <f t="shared" si="39"/>
        <v/>
      </c>
      <c r="V139">
        <f t="shared" si="49"/>
        <v>39</v>
      </c>
      <c r="AG139" s="5"/>
      <c r="AH139" s="5"/>
      <c r="AI139" s="16"/>
      <c r="AY139" s="5"/>
    </row>
    <row r="140" spans="1:51" x14ac:dyDescent="0.2">
      <c r="A140">
        <f t="shared" si="50"/>
        <v>139</v>
      </c>
      <c r="B140" s="8">
        <f t="shared" si="40"/>
        <v>2</v>
      </c>
      <c r="C140">
        <f t="shared" si="41"/>
        <v>0</v>
      </c>
      <c r="D140" s="5">
        <f t="shared" si="42"/>
        <v>0</v>
      </c>
      <c r="I140" t="str">
        <f t="shared" si="43"/>
        <v/>
      </c>
      <c r="J140" t="str">
        <f t="shared" si="44"/>
        <v/>
      </c>
      <c r="K140" t="str">
        <f t="shared" si="45"/>
        <v/>
      </c>
      <c r="L140" t="str">
        <f t="shared" si="46"/>
        <v/>
      </c>
      <c r="M140" t="str">
        <f t="shared" si="47"/>
        <v/>
      </c>
      <c r="O140" s="6">
        <f t="shared" si="48"/>
        <v>38</v>
      </c>
      <c r="P140" s="8" t="str">
        <f t="shared" si="35"/>
        <v/>
      </c>
      <c r="Q140" t="str">
        <f t="shared" si="36"/>
        <v/>
      </c>
      <c r="R140" t="str">
        <f t="shared" si="37"/>
        <v/>
      </c>
      <c r="S140" t="str">
        <f t="shared" si="38"/>
        <v/>
      </c>
      <c r="T140" t="str">
        <f t="shared" si="39"/>
        <v/>
      </c>
      <c r="V140">
        <f t="shared" si="49"/>
        <v>39</v>
      </c>
      <c r="AG140" s="5"/>
      <c r="AH140" s="5"/>
      <c r="AI140" s="16"/>
      <c r="AY140" s="5"/>
    </row>
    <row r="141" spans="1:51" x14ac:dyDescent="0.2">
      <c r="A141">
        <f t="shared" si="50"/>
        <v>140</v>
      </c>
      <c r="B141" s="8">
        <f t="shared" si="40"/>
        <v>2</v>
      </c>
      <c r="C141">
        <f t="shared" si="41"/>
        <v>0</v>
      </c>
      <c r="D141" s="5">
        <f t="shared" si="42"/>
        <v>0</v>
      </c>
      <c r="I141" t="str">
        <f t="shared" si="43"/>
        <v/>
      </c>
      <c r="J141" t="str">
        <f t="shared" si="44"/>
        <v/>
      </c>
      <c r="K141" t="str">
        <f t="shared" si="45"/>
        <v/>
      </c>
      <c r="L141" t="str">
        <f t="shared" si="46"/>
        <v/>
      </c>
      <c r="M141" t="str">
        <f t="shared" si="47"/>
        <v/>
      </c>
      <c r="O141" s="6">
        <f t="shared" si="48"/>
        <v>38</v>
      </c>
      <c r="P141" s="8" t="str">
        <f t="shared" si="35"/>
        <v/>
      </c>
      <c r="Q141" t="str">
        <f t="shared" si="36"/>
        <v/>
      </c>
      <c r="R141" t="str">
        <f t="shared" si="37"/>
        <v/>
      </c>
      <c r="S141" t="str">
        <f t="shared" si="38"/>
        <v/>
      </c>
      <c r="T141" t="str">
        <f t="shared" si="39"/>
        <v/>
      </c>
      <c r="V141">
        <f t="shared" si="49"/>
        <v>39</v>
      </c>
      <c r="AG141" s="5"/>
      <c r="AH141" s="5"/>
      <c r="AI141" s="16"/>
      <c r="AY141" s="5"/>
    </row>
    <row r="142" spans="1:51" x14ac:dyDescent="0.2">
      <c r="A142">
        <f t="shared" si="50"/>
        <v>141</v>
      </c>
      <c r="B142" s="8">
        <f t="shared" si="40"/>
        <v>2</v>
      </c>
      <c r="C142">
        <f t="shared" si="41"/>
        <v>0</v>
      </c>
      <c r="D142" s="5">
        <f t="shared" si="42"/>
        <v>0</v>
      </c>
      <c r="I142" t="str">
        <f t="shared" si="43"/>
        <v/>
      </c>
      <c r="J142" t="str">
        <f t="shared" si="44"/>
        <v/>
      </c>
      <c r="K142" t="str">
        <f t="shared" si="45"/>
        <v/>
      </c>
      <c r="L142" t="str">
        <f t="shared" si="46"/>
        <v/>
      </c>
      <c r="M142" t="str">
        <f t="shared" si="47"/>
        <v/>
      </c>
      <c r="O142" s="6">
        <f t="shared" si="48"/>
        <v>38</v>
      </c>
      <c r="P142" s="8" t="str">
        <f t="shared" si="35"/>
        <v/>
      </c>
      <c r="Q142" t="str">
        <f t="shared" si="36"/>
        <v/>
      </c>
      <c r="R142" t="str">
        <f t="shared" si="37"/>
        <v/>
      </c>
      <c r="S142" t="str">
        <f t="shared" si="38"/>
        <v/>
      </c>
      <c r="T142" t="str">
        <f t="shared" si="39"/>
        <v/>
      </c>
      <c r="V142">
        <f t="shared" si="49"/>
        <v>39</v>
      </c>
      <c r="AG142" s="5"/>
      <c r="AH142" s="5"/>
      <c r="AI142" s="16"/>
      <c r="AY142" s="5"/>
    </row>
    <row r="143" spans="1:51" x14ac:dyDescent="0.2">
      <c r="A143">
        <f t="shared" si="50"/>
        <v>142</v>
      </c>
      <c r="B143" s="8">
        <f t="shared" si="40"/>
        <v>2</v>
      </c>
      <c r="C143">
        <f t="shared" si="41"/>
        <v>0</v>
      </c>
      <c r="D143" s="5">
        <f t="shared" si="42"/>
        <v>0</v>
      </c>
      <c r="I143" t="str">
        <f t="shared" si="43"/>
        <v/>
      </c>
      <c r="J143" t="str">
        <f t="shared" si="44"/>
        <v/>
      </c>
      <c r="K143" t="str">
        <f t="shared" si="45"/>
        <v/>
      </c>
      <c r="L143" t="str">
        <f t="shared" si="46"/>
        <v/>
      </c>
      <c r="M143" t="str">
        <f t="shared" si="47"/>
        <v/>
      </c>
      <c r="O143" s="6">
        <f t="shared" si="48"/>
        <v>38</v>
      </c>
      <c r="P143" s="8" t="str">
        <f t="shared" si="35"/>
        <v/>
      </c>
      <c r="Q143" t="str">
        <f t="shared" si="36"/>
        <v/>
      </c>
      <c r="R143" t="str">
        <f t="shared" si="37"/>
        <v/>
      </c>
      <c r="S143" t="str">
        <f t="shared" si="38"/>
        <v/>
      </c>
      <c r="T143" t="str">
        <f t="shared" si="39"/>
        <v/>
      </c>
      <c r="V143">
        <f t="shared" si="49"/>
        <v>39</v>
      </c>
      <c r="AG143" s="5"/>
      <c r="AH143" s="5"/>
      <c r="AI143" s="16"/>
      <c r="AY143" s="5"/>
    </row>
    <row r="144" spans="1:51" x14ac:dyDescent="0.2">
      <c r="A144">
        <f t="shared" si="50"/>
        <v>143</v>
      </c>
      <c r="B144" s="8">
        <f t="shared" si="40"/>
        <v>2</v>
      </c>
      <c r="C144">
        <f t="shared" si="41"/>
        <v>0</v>
      </c>
      <c r="D144" s="5">
        <f t="shared" si="42"/>
        <v>0</v>
      </c>
      <c r="I144" t="str">
        <f t="shared" si="43"/>
        <v/>
      </c>
      <c r="J144" t="str">
        <f t="shared" si="44"/>
        <v/>
      </c>
      <c r="K144" t="str">
        <f t="shared" si="45"/>
        <v/>
      </c>
      <c r="L144" t="str">
        <f t="shared" si="46"/>
        <v/>
      </c>
      <c r="M144" t="str">
        <f t="shared" si="47"/>
        <v/>
      </c>
      <c r="O144" s="6">
        <f t="shared" si="48"/>
        <v>38</v>
      </c>
      <c r="P144" s="8" t="str">
        <f t="shared" si="35"/>
        <v/>
      </c>
      <c r="Q144" t="str">
        <f t="shared" si="36"/>
        <v/>
      </c>
      <c r="R144" t="str">
        <f t="shared" si="37"/>
        <v/>
      </c>
      <c r="S144" t="str">
        <f t="shared" si="38"/>
        <v/>
      </c>
      <c r="T144" t="str">
        <f t="shared" si="39"/>
        <v/>
      </c>
      <c r="V144">
        <f t="shared" si="49"/>
        <v>39</v>
      </c>
      <c r="AG144" s="5"/>
      <c r="AH144" s="5"/>
      <c r="AI144" s="16"/>
      <c r="AY144" s="5"/>
    </row>
    <row r="145" spans="1:51" x14ac:dyDescent="0.2">
      <c r="A145">
        <f t="shared" si="50"/>
        <v>144</v>
      </c>
      <c r="B145" s="8">
        <f t="shared" si="40"/>
        <v>2</v>
      </c>
      <c r="C145">
        <f t="shared" si="41"/>
        <v>0</v>
      </c>
      <c r="D145" s="5">
        <f t="shared" si="42"/>
        <v>0</v>
      </c>
      <c r="I145" t="str">
        <f t="shared" si="43"/>
        <v/>
      </c>
      <c r="J145" t="str">
        <f t="shared" si="44"/>
        <v/>
      </c>
      <c r="K145" t="str">
        <f t="shared" si="45"/>
        <v/>
      </c>
      <c r="L145" t="str">
        <f t="shared" si="46"/>
        <v/>
      </c>
      <c r="M145" t="str">
        <f t="shared" si="47"/>
        <v/>
      </c>
      <c r="O145" s="6">
        <f t="shared" si="48"/>
        <v>38</v>
      </c>
      <c r="P145" s="8" t="str">
        <f t="shared" si="35"/>
        <v/>
      </c>
      <c r="Q145" t="str">
        <f t="shared" si="36"/>
        <v/>
      </c>
      <c r="R145" t="str">
        <f t="shared" si="37"/>
        <v/>
      </c>
      <c r="S145" t="str">
        <f t="shared" si="38"/>
        <v/>
      </c>
      <c r="T145" t="str">
        <f t="shared" si="39"/>
        <v/>
      </c>
      <c r="V145">
        <f t="shared" si="49"/>
        <v>39</v>
      </c>
      <c r="AG145" s="5"/>
      <c r="AH145" s="5"/>
      <c r="AI145" s="16"/>
      <c r="AY145" s="5"/>
    </row>
    <row r="146" spans="1:51" x14ac:dyDescent="0.2">
      <c r="A146">
        <f t="shared" si="50"/>
        <v>145</v>
      </c>
      <c r="B146" s="8">
        <f t="shared" si="40"/>
        <v>2</v>
      </c>
      <c r="C146">
        <f t="shared" si="41"/>
        <v>0</v>
      </c>
      <c r="D146" s="5">
        <f t="shared" si="42"/>
        <v>0</v>
      </c>
      <c r="I146" t="str">
        <f t="shared" si="43"/>
        <v/>
      </c>
      <c r="J146" t="str">
        <f t="shared" si="44"/>
        <v/>
      </c>
      <c r="K146" t="str">
        <f t="shared" si="45"/>
        <v/>
      </c>
      <c r="L146" t="str">
        <f t="shared" si="46"/>
        <v/>
      </c>
      <c r="M146" t="str">
        <f t="shared" si="47"/>
        <v/>
      </c>
      <c r="O146" s="6">
        <f t="shared" si="48"/>
        <v>38</v>
      </c>
      <c r="P146" s="8" t="str">
        <f t="shared" si="35"/>
        <v/>
      </c>
      <c r="Q146" t="str">
        <f t="shared" si="36"/>
        <v/>
      </c>
      <c r="R146" t="str">
        <f t="shared" si="37"/>
        <v/>
      </c>
      <c r="S146" t="str">
        <f t="shared" si="38"/>
        <v/>
      </c>
      <c r="T146" t="str">
        <f t="shared" si="39"/>
        <v/>
      </c>
      <c r="V146">
        <f t="shared" si="49"/>
        <v>39</v>
      </c>
      <c r="AG146" s="5"/>
      <c r="AH146" s="5"/>
      <c r="AI146" s="16"/>
      <c r="AY146" s="5"/>
    </row>
    <row r="147" spans="1:51" x14ac:dyDescent="0.2">
      <c r="A147">
        <f t="shared" si="50"/>
        <v>146</v>
      </c>
      <c r="B147" s="8">
        <f t="shared" si="40"/>
        <v>2</v>
      </c>
      <c r="C147">
        <f t="shared" si="41"/>
        <v>0</v>
      </c>
      <c r="D147" s="5">
        <f t="shared" si="42"/>
        <v>0</v>
      </c>
      <c r="I147" t="str">
        <f t="shared" si="43"/>
        <v/>
      </c>
      <c r="J147" t="str">
        <f t="shared" si="44"/>
        <v/>
      </c>
      <c r="K147" t="str">
        <f t="shared" si="45"/>
        <v/>
      </c>
      <c r="L147" t="str">
        <f t="shared" si="46"/>
        <v/>
      </c>
      <c r="M147" t="str">
        <f t="shared" si="47"/>
        <v/>
      </c>
      <c r="O147" s="6">
        <f t="shared" si="48"/>
        <v>38</v>
      </c>
      <c r="P147" s="8" t="str">
        <f t="shared" si="35"/>
        <v/>
      </c>
      <c r="Q147" t="str">
        <f t="shared" si="36"/>
        <v/>
      </c>
      <c r="R147" t="str">
        <f t="shared" si="37"/>
        <v/>
      </c>
      <c r="S147" t="str">
        <f t="shared" si="38"/>
        <v/>
      </c>
      <c r="T147" t="str">
        <f t="shared" si="39"/>
        <v/>
      </c>
      <c r="V147">
        <f t="shared" si="49"/>
        <v>39</v>
      </c>
      <c r="AG147" s="5"/>
      <c r="AH147" s="5"/>
      <c r="AI147" s="16"/>
      <c r="AY147" s="5"/>
    </row>
    <row r="148" spans="1:51" x14ac:dyDescent="0.2">
      <c r="A148">
        <f t="shared" si="50"/>
        <v>147</v>
      </c>
      <c r="B148" s="8">
        <f t="shared" si="40"/>
        <v>2</v>
      </c>
      <c r="C148">
        <f t="shared" si="41"/>
        <v>0</v>
      </c>
      <c r="D148" s="5">
        <f t="shared" si="42"/>
        <v>0</v>
      </c>
      <c r="I148" t="str">
        <f t="shared" si="43"/>
        <v/>
      </c>
      <c r="J148" t="str">
        <f t="shared" si="44"/>
        <v/>
      </c>
      <c r="K148" t="str">
        <f t="shared" si="45"/>
        <v/>
      </c>
      <c r="L148" t="str">
        <f t="shared" si="46"/>
        <v/>
      </c>
      <c r="M148" t="str">
        <f t="shared" si="47"/>
        <v/>
      </c>
      <c r="O148" s="6">
        <f t="shared" si="48"/>
        <v>38</v>
      </c>
      <c r="P148" s="8" t="str">
        <f t="shared" si="35"/>
        <v/>
      </c>
      <c r="Q148" t="str">
        <f t="shared" si="36"/>
        <v/>
      </c>
      <c r="R148" t="str">
        <f t="shared" si="37"/>
        <v/>
      </c>
      <c r="S148" t="str">
        <f t="shared" si="38"/>
        <v/>
      </c>
      <c r="T148" t="str">
        <f t="shared" si="39"/>
        <v/>
      </c>
      <c r="V148">
        <f t="shared" si="49"/>
        <v>39</v>
      </c>
      <c r="AG148" s="5"/>
      <c r="AH148" s="5"/>
      <c r="AI148" s="16"/>
      <c r="AY148" s="5"/>
    </row>
    <row r="149" spans="1:51" x14ac:dyDescent="0.2">
      <c r="A149">
        <f t="shared" si="50"/>
        <v>148</v>
      </c>
      <c r="B149" s="8">
        <f t="shared" si="40"/>
        <v>2</v>
      </c>
      <c r="C149">
        <f t="shared" si="41"/>
        <v>0</v>
      </c>
      <c r="D149" s="5">
        <f t="shared" si="42"/>
        <v>0</v>
      </c>
      <c r="I149" t="str">
        <f t="shared" si="43"/>
        <v/>
      </c>
      <c r="J149" t="str">
        <f t="shared" si="44"/>
        <v/>
      </c>
      <c r="K149" t="str">
        <f t="shared" si="45"/>
        <v/>
      </c>
      <c r="L149" t="str">
        <f t="shared" si="46"/>
        <v/>
      </c>
      <c r="M149" t="str">
        <f t="shared" si="47"/>
        <v/>
      </c>
      <c r="O149" s="6">
        <f t="shared" si="48"/>
        <v>38</v>
      </c>
      <c r="P149" s="8" t="str">
        <f t="shared" si="35"/>
        <v/>
      </c>
      <c r="Q149" t="str">
        <f t="shared" si="36"/>
        <v/>
      </c>
      <c r="R149" t="str">
        <f t="shared" si="37"/>
        <v/>
      </c>
      <c r="S149" t="str">
        <f t="shared" si="38"/>
        <v/>
      </c>
      <c r="T149" t="str">
        <f t="shared" si="39"/>
        <v/>
      </c>
      <c r="V149">
        <f t="shared" si="49"/>
        <v>39</v>
      </c>
      <c r="AG149" s="5"/>
      <c r="AH149" s="5"/>
      <c r="AI149" s="16"/>
      <c r="AY149" s="5"/>
    </row>
    <row r="150" spans="1:51" x14ac:dyDescent="0.2">
      <c r="A150">
        <f t="shared" si="50"/>
        <v>149</v>
      </c>
      <c r="B150" s="8">
        <f t="shared" si="40"/>
        <v>2</v>
      </c>
      <c r="C150">
        <f t="shared" si="41"/>
        <v>0</v>
      </c>
      <c r="D150" s="5">
        <f t="shared" si="42"/>
        <v>0</v>
      </c>
      <c r="I150" t="str">
        <f t="shared" si="43"/>
        <v/>
      </c>
      <c r="J150" t="str">
        <f t="shared" si="44"/>
        <v/>
      </c>
      <c r="K150" t="str">
        <f t="shared" si="45"/>
        <v/>
      </c>
      <c r="L150" t="str">
        <f t="shared" si="46"/>
        <v/>
      </c>
      <c r="M150" t="str">
        <f t="shared" si="47"/>
        <v/>
      </c>
      <c r="O150" s="6">
        <f t="shared" si="48"/>
        <v>38</v>
      </c>
      <c r="P150" s="8" t="str">
        <f t="shared" si="35"/>
        <v/>
      </c>
      <c r="Q150" t="str">
        <f t="shared" si="36"/>
        <v/>
      </c>
      <c r="R150" t="str">
        <f t="shared" si="37"/>
        <v/>
      </c>
      <c r="S150" t="str">
        <f t="shared" si="38"/>
        <v/>
      </c>
      <c r="T150" t="str">
        <f t="shared" si="39"/>
        <v/>
      </c>
      <c r="V150">
        <f t="shared" si="49"/>
        <v>39</v>
      </c>
      <c r="AG150" s="5"/>
      <c r="AH150" s="5"/>
      <c r="AI150" s="16"/>
      <c r="AY150" s="5"/>
    </row>
    <row r="151" spans="1:51" x14ac:dyDescent="0.2">
      <c r="A151">
        <f t="shared" si="50"/>
        <v>150</v>
      </c>
      <c r="B151" s="8">
        <f t="shared" si="40"/>
        <v>2</v>
      </c>
      <c r="C151">
        <f t="shared" si="41"/>
        <v>0</v>
      </c>
      <c r="D151" s="5">
        <f t="shared" si="42"/>
        <v>0</v>
      </c>
      <c r="I151" t="str">
        <f t="shared" si="43"/>
        <v/>
      </c>
      <c r="J151" t="str">
        <f t="shared" si="44"/>
        <v/>
      </c>
      <c r="K151" t="str">
        <f t="shared" si="45"/>
        <v/>
      </c>
      <c r="L151" t="str">
        <f t="shared" si="46"/>
        <v/>
      </c>
      <c r="M151" t="str">
        <f t="shared" si="47"/>
        <v/>
      </c>
      <c r="O151" s="6">
        <f t="shared" si="48"/>
        <v>38</v>
      </c>
      <c r="P151" s="8" t="str">
        <f t="shared" si="35"/>
        <v/>
      </c>
      <c r="Q151" t="str">
        <f t="shared" si="36"/>
        <v/>
      </c>
      <c r="R151" t="str">
        <f t="shared" si="37"/>
        <v/>
      </c>
      <c r="S151" t="str">
        <f t="shared" si="38"/>
        <v/>
      </c>
      <c r="T151" t="str">
        <f t="shared" si="39"/>
        <v/>
      </c>
      <c r="V151">
        <f t="shared" si="49"/>
        <v>39</v>
      </c>
      <c r="AG151" s="5"/>
      <c r="AH151" s="5"/>
      <c r="AI151" s="16"/>
      <c r="AY151" s="5"/>
    </row>
    <row r="152" spans="1:51" x14ac:dyDescent="0.2">
      <c r="A152">
        <f t="shared" si="50"/>
        <v>151</v>
      </c>
      <c r="B152" s="8">
        <f t="shared" si="40"/>
        <v>2</v>
      </c>
      <c r="C152">
        <f t="shared" si="41"/>
        <v>0</v>
      </c>
      <c r="D152" s="5">
        <f t="shared" si="42"/>
        <v>0</v>
      </c>
      <c r="I152" t="str">
        <f t="shared" si="43"/>
        <v/>
      </c>
      <c r="J152" t="str">
        <f t="shared" si="44"/>
        <v/>
      </c>
      <c r="K152" t="str">
        <f t="shared" si="45"/>
        <v/>
      </c>
      <c r="L152" t="str">
        <f t="shared" si="46"/>
        <v/>
      </c>
      <c r="M152" t="str">
        <f t="shared" si="47"/>
        <v/>
      </c>
      <c r="O152" s="6">
        <f t="shared" si="48"/>
        <v>38</v>
      </c>
      <c r="P152" s="8" t="str">
        <f t="shared" si="35"/>
        <v/>
      </c>
      <c r="Q152" t="str">
        <f t="shared" si="36"/>
        <v/>
      </c>
      <c r="R152" t="str">
        <f t="shared" si="37"/>
        <v/>
      </c>
      <c r="S152" t="str">
        <f t="shared" si="38"/>
        <v/>
      </c>
      <c r="T152" t="str">
        <f t="shared" si="39"/>
        <v/>
      </c>
      <c r="V152">
        <f t="shared" si="49"/>
        <v>39</v>
      </c>
      <c r="AG152" s="5"/>
      <c r="AH152" s="5"/>
      <c r="AI152" s="16"/>
      <c r="AY152" s="5"/>
    </row>
    <row r="153" spans="1:51" x14ac:dyDescent="0.2">
      <c r="A153">
        <f t="shared" si="50"/>
        <v>152</v>
      </c>
      <c r="B153" s="8">
        <f t="shared" si="40"/>
        <v>2</v>
      </c>
      <c r="C153">
        <f t="shared" si="41"/>
        <v>0</v>
      </c>
      <c r="D153" s="5">
        <f t="shared" si="42"/>
        <v>0</v>
      </c>
      <c r="I153" t="str">
        <f t="shared" si="43"/>
        <v/>
      </c>
      <c r="J153" t="str">
        <f t="shared" si="44"/>
        <v/>
      </c>
      <c r="K153" t="str">
        <f t="shared" si="45"/>
        <v/>
      </c>
      <c r="L153" t="str">
        <f t="shared" si="46"/>
        <v/>
      </c>
      <c r="M153" t="str">
        <f t="shared" si="47"/>
        <v/>
      </c>
      <c r="O153" s="6">
        <f t="shared" si="48"/>
        <v>38</v>
      </c>
      <c r="P153" s="8" t="str">
        <f t="shared" si="35"/>
        <v/>
      </c>
      <c r="Q153" t="str">
        <f t="shared" si="36"/>
        <v/>
      </c>
      <c r="R153" t="str">
        <f t="shared" si="37"/>
        <v/>
      </c>
      <c r="S153" t="str">
        <f t="shared" si="38"/>
        <v/>
      </c>
      <c r="T153" t="str">
        <f t="shared" si="39"/>
        <v/>
      </c>
      <c r="V153">
        <f t="shared" si="49"/>
        <v>39</v>
      </c>
      <c r="AG153" s="5"/>
      <c r="AH153" s="5"/>
      <c r="AI153" s="16"/>
      <c r="AY153" s="5"/>
    </row>
    <row r="154" spans="1:51" x14ac:dyDescent="0.2">
      <c r="A154">
        <f t="shared" si="50"/>
        <v>153</v>
      </c>
      <c r="B154" s="8">
        <f t="shared" si="40"/>
        <v>2</v>
      </c>
      <c r="C154">
        <f t="shared" si="41"/>
        <v>0</v>
      </c>
      <c r="D154" s="5">
        <f t="shared" si="42"/>
        <v>0</v>
      </c>
      <c r="I154" t="str">
        <f t="shared" si="43"/>
        <v/>
      </c>
      <c r="J154" t="str">
        <f t="shared" si="44"/>
        <v/>
      </c>
      <c r="K154" t="str">
        <f t="shared" si="45"/>
        <v/>
      </c>
      <c r="L154" t="str">
        <f t="shared" si="46"/>
        <v/>
      </c>
      <c r="M154" t="str">
        <f t="shared" si="47"/>
        <v/>
      </c>
      <c r="O154" s="6">
        <f t="shared" si="48"/>
        <v>38</v>
      </c>
      <c r="P154" s="8" t="str">
        <f t="shared" si="35"/>
        <v/>
      </c>
      <c r="Q154" t="str">
        <f t="shared" si="36"/>
        <v/>
      </c>
      <c r="R154" t="str">
        <f t="shared" si="37"/>
        <v/>
      </c>
      <c r="S154" t="str">
        <f t="shared" si="38"/>
        <v/>
      </c>
      <c r="T154" t="str">
        <f t="shared" si="39"/>
        <v/>
      </c>
      <c r="V154">
        <f t="shared" si="49"/>
        <v>39</v>
      </c>
      <c r="AG154" s="5"/>
      <c r="AH154" s="5"/>
      <c r="AI154" s="16"/>
      <c r="AY154" s="5"/>
    </row>
    <row r="155" spans="1:51" x14ac:dyDescent="0.2">
      <c r="A155">
        <f t="shared" si="50"/>
        <v>154</v>
      </c>
      <c r="B155" s="8">
        <f t="shared" si="40"/>
        <v>2</v>
      </c>
      <c r="C155">
        <f t="shared" si="41"/>
        <v>0</v>
      </c>
      <c r="D155" s="5">
        <f t="shared" si="42"/>
        <v>0</v>
      </c>
      <c r="I155" t="str">
        <f t="shared" si="43"/>
        <v/>
      </c>
      <c r="J155" t="str">
        <f t="shared" si="44"/>
        <v/>
      </c>
      <c r="K155" t="str">
        <f t="shared" si="45"/>
        <v/>
      </c>
      <c r="L155" t="str">
        <f t="shared" si="46"/>
        <v/>
      </c>
      <c r="M155" t="str">
        <f t="shared" si="47"/>
        <v/>
      </c>
      <c r="O155" s="6">
        <f t="shared" si="48"/>
        <v>38</v>
      </c>
      <c r="P155" s="8" t="str">
        <f t="shared" si="35"/>
        <v/>
      </c>
      <c r="Q155" t="str">
        <f t="shared" si="36"/>
        <v/>
      </c>
      <c r="R155" t="str">
        <f t="shared" si="37"/>
        <v/>
      </c>
      <c r="S155" t="str">
        <f t="shared" si="38"/>
        <v/>
      </c>
      <c r="T155" t="str">
        <f t="shared" si="39"/>
        <v/>
      </c>
      <c r="V155">
        <f t="shared" si="49"/>
        <v>39</v>
      </c>
      <c r="AG155" s="5"/>
      <c r="AH155" s="5"/>
      <c r="AI155" s="16"/>
      <c r="AY155" s="5"/>
    </row>
    <row r="156" spans="1:51" x14ac:dyDescent="0.2">
      <c r="A156">
        <f t="shared" si="50"/>
        <v>155</v>
      </c>
      <c r="B156" s="8">
        <f t="shared" si="40"/>
        <v>2</v>
      </c>
      <c r="C156">
        <f t="shared" si="41"/>
        <v>0</v>
      </c>
      <c r="D156" s="5">
        <f t="shared" si="42"/>
        <v>0</v>
      </c>
      <c r="I156" t="str">
        <f t="shared" si="43"/>
        <v/>
      </c>
      <c r="J156" t="str">
        <f t="shared" si="44"/>
        <v/>
      </c>
      <c r="K156" t="str">
        <f t="shared" si="45"/>
        <v/>
      </c>
      <c r="L156" t="str">
        <f t="shared" si="46"/>
        <v/>
      </c>
      <c r="M156" t="str">
        <f t="shared" si="47"/>
        <v/>
      </c>
      <c r="O156" s="6">
        <f t="shared" si="48"/>
        <v>38</v>
      </c>
      <c r="P156" s="8" t="str">
        <f t="shared" si="35"/>
        <v/>
      </c>
      <c r="Q156" t="str">
        <f t="shared" si="36"/>
        <v/>
      </c>
      <c r="R156" t="str">
        <f t="shared" si="37"/>
        <v/>
      </c>
      <c r="S156" t="str">
        <f t="shared" si="38"/>
        <v/>
      </c>
      <c r="T156" t="str">
        <f t="shared" si="39"/>
        <v/>
      </c>
      <c r="V156">
        <f t="shared" si="49"/>
        <v>39</v>
      </c>
      <c r="AG156" s="5"/>
      <c r="AH156" s="5"/>
      <c r="AI156" s="16"/>
      <c r="AY156" s="5"/>
    </row>
    <row r="157" spans="1:51" x14ac:dyDescent="0.2">
      <c r="A157">
        <f t="shared" si="50"/>
        <v>156</v>
      </c>
      <c r="B157" s="8">
        <f t="shared" si="40"/>
        <v>2</v>
      </c>
      <c r="C157">
        <f t="shared" si="41"/>
        <v>0</v>
      </c>
      <c r="D157" s="5">
        <f t="shared" si="42"/>
        <v>0</v>
      </c>
      <c r="I157" t="str">
        <f t="shared" si="43"/>
        <v/>
      </c>
      <c r="J157" t="str">
        <f t="shared" si="44"/>
        <v/>
      </c>
      <c r="K157" t="str">
        <f t="shared" si="45"/>
        <v/>
      </c>
      <c r="L157" t="str">
        <f t="shared" si="46"/>
        <v/>
      </c>
      <c r="M157" t="str">
        <f t="shared" si="47"/>
        <v/>
      </c>
      <c r="O157" s="6">
        <f t="shared" si="48"/>
        <v>38</v>
      </c>
      <c r="P157" s="8" t="str">
        <f t="shared" si="35"/>
        <v/>
      </c>
      <c r="Q157" t="str">
        <f t="shared" si="36"/>
        <v/>
      </c>
      <c r="R157" t="str">
        <f t="shared" si="37"/>
        <v/>
      </c>
      <c r="S157" t="str">
        <f t="shared" si="38"/>
        <v/>
      </c>
      <c r="T157" t="str">
        <f t="shared" si="39"/>
        <v/>
      </c>
      <c r="V157">
        <f t="shared" si="49"/>
        <v>39</v>
      </c>
      <c r="AG157" s="5"/>
      <c r="AH157" s="5"/>
      <c r="AI157" s="16"/>
      <c r="AY157" s="5"/>
    </row>
    <row r="158" spans="1:51" x14ac:dyDescent="0.2">
      <c r="A158">
        <f t="shared" si="50"/>
        <v>157</v>
      </c>
      <c r="B158" s="8">
        <f t="shared" si="40"/>
        <v>2</v>
      </c>
      <c r="C158">
        <f t="shared" si="41"/>
        <v>0</v>
      </c>
      <c r="D158" s="5">
        <f t="shared" si="42"/>
        <v>0</v>
      </c>
      <c r="I158" t="str">
        <f t="shared" si="43"/>
        <v/>
      </c>
      <c r="J158" t="str">
        <f t="shared" si="44"/>
        <v/>
      </c>
      <c r="K158" t="str">
        <f t="shared" si="45"/>
        <v/>
      </c>
      <c r="L158" t="str">
        <f t="shared" si="46"/>
        <v/>
      </c>
      <c r="M158" t="str">
        <f t="shared" si="47"/>
        <v/>
      </c>
      <c r="O158" s="6">
        <f t="shared" si="48"/>
        <v>38</v>
      </c>
      <c r="P158" s="8" t="str">
        <f t="shared" si="35"/>
        <v/>
      </c>
      <c r="Q158" t="str">
        <f t="shared" si="36"/>
        <v/>
      </c>
      <c r="R158" t="str">
        <f t="shared" si="37"/>
        <v/>
      </c>
      <c r="S158" t="str">
        <f t="shared" si="38"/>
        <v/>
      </c>
      <c r="T158" t="str">
        <f t="shared" si="39"/>
        <v/>
      </c>
      <c r="V158">
        <f t="shared" si="49"/>
        <v>39</v>
      </c>
      <c r="AG158" s="5"/>
      <c r="AH158" s="5"/>
      <c r="AI158" s="16"/>
      <c r="AY158" s="5"/>
    </row>
    <row r="159" spans="1:51" x14ac:dyDescent="0.2">
      <c r="A159">
        <f t="shared" si="50"/>
        <v>158</v>
      </c>
      <c r="B159" s="8">
        <f t="shared" si="40"/>
        <v>2</v>
      </c>
      <c r="C159">
        <f t="shared" si="41"/>
        <v>0</v>
      </c>
      <c r="D159" s="5">
        <f t="shared" si="42"/>
        <v>0</v>
      </c>
      <c r="I159" t="str">
        <f t="shared" si="43"/>
        <v/>
      </c>
      <c r="J159" t="str">
        <f t="shared" si="44"/>
        <v/>
      </c>
      <c r="K159" t="str">
        <f t="shared" si="45"/>
        <v/>
      </c>
      <c r="L159" t="str">
        <f t="shared" si="46"/>
        <v/>
      </c>
      <c r="M159" t="str">
        <f t="shared" si="47"/>
        <v/>
      </c>
      <c r="O159" s="6">
        <f t="shared" si="48"/>
        <v>38</v>
      </c>
      <c r="P159" s="8" t="str">
        <f t="shared" si="35"/>
        <v/>
      </c>
      <c r="Q159" t="str">
        <f t="shared" si="36"/>
        <v/>
      </c>
      <c r="R159" t="str">
        <f t="shared" si="37"/>
        <v/>
      </c>
      <c r="S159" t="str">
        <f t="shared" si="38"/>
        <v/>
      </c>
      <c r="T159" t="str">
        <f t="shared" si="39"/>
        <v/>
      </c>
      <c r="V159">
        <f t="shared" si="49"/>
        <v>39</v>
      </c>
      <c r="AG159" s="5"/>
      <c r="AH159" s="5"/>
      <c r="AI159" s="16"/>
      <c r="AY159" s="5"/>
    </row>
    <row r="160" spans="1:51" x14ac:dyDescent="0.2">
      <c r="A160">
        <f t="shared" si="50"/>
        <v>159</v>
      </c>
      <c r="B160" s="8">
        <f t="shared" si="40"/>
        <v>2</v>
      </c>
      <c r="C160">
        <f t="shared" si="41"/>
        <v>0</v>
      </c>
      <c r="D160" s="5">
        <f t="shared" si="42"/>
        <v>0</v>
      </c>
      <c r="I160" t="str">
        <f t="shared" si="43"/>
        <v/>
      </c>
      <c r="J160" t="str">
        <f t="shared" si="44"/>
        <v/>
      </c>
      <c r="K160" t="str">
        <f t="shared" si="45"/>
        <v/>
      </c>
      <c r="L160" t="str">
        <f t="shared" si="46"/>
        <v/>
      </c>
      <c r="M160" t="str">
        <f t="shared" si="47"/>
        <v/>
      </c>
      <c r="O160" s="6">
        <f t="shared" si="48"/>
        <v>38</v>
      </c>
      <c r="P160" s="8" t="str">
        <f t="shared" si="35"/>
        <v/>
      </c>
      <c r="Q160" t="str">
        <f t="shared" si="36"/>
        <v/>
      </c>
      <c r="R160" t="str">
        <f t="shared" si="37"/>
        <v/>
      </c>
      <c r="S160" t="str">
        <f t="shared" si="38"/>
        <v/>
      </c>
      <c r="T160" t="str">
        <f t="shared" si="39"/>
        <v/>
      </c>
      <c r="V160">
        <f t="shared" si="49"/>
        <v>39</v>
      </c>
      <c r="AG160" s="5"/>
      <c r="AH160" s="5"/>
      <c r="AI160" s="16"/>
      <c r="AY160" s="5"/>
    </row>
    <row r="161" spans="1:51" x14ac:dyDescent="0.2">
      <c r="A161">
        <f t="shared" si="50"/>
        <v>160</v>
      </c>
      <c r="B161" s="8">
        <f t="shared" si="40"/>
        <v>2</v>
      </c>
      <c r="C161">
        <f t="shared" si="41"/>
        <v>0</v>
      </c>
      <c r="D161" s="5">
        <f t="shared" si="42"/>
        <v>0</v>
      </c>
      <c r="I161" t="str">
        <f t="shared" si="43"/>
        <v/>
      </c>
      <c r="J161" t="str">
        <f t="shared" si="44"/>
        <v/>
      </c>
      <c r="K161" t="str">
        <f t="shared" si="45"/>
        <v/>
      </c>
      <c r="L161" t="str">
        <f t="shared" si="46"/>
        <v/>
      </c>
      <c r="M161" t="str">
        <f t="shared" si="47"/>
        <v/>
      </c>
      <c r="O161" s="6">
        <f t="shared" si="48"/>
        <v>38</v>
      </c>
      <c r="P161" s="8" t="str">
        <f t="shared" si="35"/>
        <v/>
      </c>
      <c r="Q161" t="str">
        <f t="shared" si="36"/>
        <v/>
      </c>
      <c r="R161" t="str">
        <f t="shared" si="37"/>
        <v/>
      </c>
      <c r="S161" t="str">
        <f t="shared" si="38"/>
        <v/>
      </c>
      <c r="T161" t="str">
        <f t="shared" si="39"/>
        <v/>
      </c>
      <c r="V161">
        <f t="shared" si="49"/>
        <v>39</v>
      </c>
      <c r="AG161" s="5"/>
      <c r="AH161" s="5"/>
      <c r="AI161" s="16"/>
      <c r="AY161" s="5"/>
    </row>
    <row r="162" spans="1:51" x14ac:dyDescent="0.2">
      <c r="A162">
        <f t="shared" si="50"/>
        <v>161</v>
      </c>
      <c r="B162" s="8">
        <f t="shared" si="40"/>
        <v>2</v>
      </c>
      <c r="C162">
        <f t="shared" si="41"/>
        <v>0</v>
      </c>
      <c r="D162" s="5">
        <f t="shared" si="42"/>
        <v>0</v>
      </c>
      <c r="I162" t="str">
        <f t="shared" si="43"/>
        <v/>
      </c>
      <c r="J162" t="str">
        <f t="shared" si="44"/>
        <v/>
      </c>
      <c r="K162" t="str">
        <f t="shared" si="45"/>
        <v/>
      </c>
      <c r="L162" t="str">
        <f t="shared" si="46"/>
        <v/>
      </c>
      <c r="M162" t="str">
        <f t="shared" si="47"/>
        <v/>
      </c>
      <c r="O162" s="6">
        <f t="shared" si="48"/>
        <v>38</v>
      </c>
      <c r="P162" s="8" t="str">
        <f t="shared" si="35"/>
        <v/>
      </c>
      <c r="Q162" t="str">
        <f t="shared" si="36"/>
        <v/>
      </c>
      <c r="R162" t="str">
        <f t="shared" si="37"/>
        <v/>
      </c>
      <c r="S162" t="str">
        <f t="shared" si="38"/>
        <v/>
      </c>
      <c r="T162" t="str">
        <f t="shared" si="39"/>
        <v/>
      </c>
      <c r="V162">
        <f t="shared" si="49"/>
        <v>39</v>
      </c>
      <c r="AG162" s="5"/>
      <c r="AH162" s="5"/>
      <c r="AI162" s="16"/>
      <c r="AY162" s="5"/>
    </row>
    <row r="163" spans="1:51" x14ac:dyDescent="0.2">
      <c r="A163">
        <f t="shared" si="50"/>
        <v>162</v>
      </c>
      <c r="B163" s="8">
        <f t="shared" si="40"/>
        <v>2</v>
      </c>
      <c r="C163">
        <f t="shared" si="41"/>
        <v>0</v>
      </c>
      <c r="D163" s="5">
        <f t="shared" si="42"/>
        <v>0</v>
      </c>
      <c r="I163" t="str">
        <f t="shared" si="43"/>
        <v/>
      </c>
      <c r="J163" t="str">
        <f t="shared" si="44"/>
        <v/>
      </c>
      <c r="K163" t="str">
        <f t="shared" si="45"/>
        <v/>
      </c>
      <c r="L163" t="str">
        <f t="shared" si="46"/>
        <v/>
      </c>
      <c r="M163" t="str">
        <f t="shared" si="47"/>
        <v/>
      </c>
      <c r="O163" s="6">
        <f t="shared" si="48"/>
        <v>38</v>
      </c>
      <c r="P163" s="8" t="str">
        <f t="shared" si="35"/>
        <v/>
      </c>
      <c r="Q163" t="str">
        <f t="shared" si="36"/>
        <v/>
      </c>
      <c r="R163" t="str">
        <f t="shared" si="37"/>
        <v/>
      </c>
      <c r="S163" t="str">
        <f t="shared" si="38"/>
        <v/>
      </c>
      <c r="T163" t="str">
        <f t="shared" si="39"/>
        <v/>
      </c>
      <c r="V163">
        <f t="shared" si="49"/>
        <v>39</v>
      </c>
      <c r="AG163" s="5"/>
      <c r="AH163" s="5"/>
      <c r="AI163" s="16"/>
      <c r="AY163" s="5"/>
    </row>
    <row r="164" spans="1:51" x14ac:dyDescent="0.2">
      <c r="A164">
        <f t="shared" si="50"/>
        <v>163</v>
      </c>
      <c r="B164" s="8">
        <f t="shared" si="40"/>
        <v>2</v>
      </c>
      <c r="C164">
        <f t="shared" si="41"/>
        <v>0</v>
      </c>
      <c r="D164" s="5">
        <f t="shared" si="42"/>
        <v>0</v>
      </c>
      <c r="I164" t="str">
        <f t="shared" si="43"/>
        <v/>
      </c>
      <c r="J164" t="str">
        <f t="shared" si="44"/>
        <v/>
      </c>
      <c r="K164" t="str">
        <f t="shared" si="45"/>
        <v/>
      </c>
      <c r="L164" t="str">
        <f t="shared" si="46"/>
        <v/>
      </c>
      <c r="M164" t="str">
        <f t="shared" si="47"/>
        <v/>
      </c>
      <c r="O164" s="6">
        <f t="shared" si="48"/>
        <v>38</v>
      </c>
      <c r="P164" s="8" t="str">
        <f t="shared" si="35"/>
        <v/>
      </c>
      <c r="Q164" t="str">
        <f t="shared" si="36"/>
        <v/>
      </c>
      <c r="R164" t="str">
        <f t="shared" si="37"/>
        <v/>
      </c>
      <c r="S164" t="str">
        <f t="shared" si="38"/>
        <v/>
      </c>
      <c r="T164" t="str">
        <f t="shared" si="39"/>
        <v/>
      </c>
      <c r="V164">
        <f t="shared" si="49"/>
        <v>39</v>
      </c>
      <c r="AG164" s="5"/>
      <c r="AH164" s="5"/>
      <c r="AI164" s="16"/>
      <c r="AY164" s="5"/>
    </row>
    <row r="165" spans="1:51" x14ac:dyDescent="0.2">
      <c r="A165">
        <f t="shared" si="50"/>
        <v>164</v>
      </c>
      <c r="B165" s="8">
        <f t="shared" si="40"/>
        <v>2</v>
      </c>
      <c r="C165">
        <f t="shared" si="41"/>
        <v>0</v>
      </c>
      <c r="D165" s="5">
        <f t="shared" si="42"/>
        <v>0</v>
      </c>
      <c r="I165" t="str">
        <f t="shared" si="43"/>
        <v/>
      </c>
      <c r="J165" t="str">
        <f t="shared" si="44"/>
        <v/>
      </c>
      <c r="K165" t="str">
        <f t="shared" si="45"/>
        <v/>
      </c>
      <c r="L165" t="str">
        <f t="shared" si="46"/>
        <v/>
      </c>
      <c r="M165" t="str">
        <f t="shared" si="47"/>
        <v/>
      </c>
      <c r="O165" s="6">
        <f t="shared" si="48"/>
        <v>38</v>
      </c>
      <c r="P165" s="8" t="str">
        <f t="shared" si="35"/>
        <v/>
      </c>
      <c r="Q165" t="str">
        <f t="shared" si="36"/>
        <v/>
      </c>
      <c r="R165" t="str">
        <f t="shared" si="37"/>
        <v/>
      </c>
      <c r="S165" t="str">
        <f t="shared" si="38"/>
        <v/>
      </c>
      <c r="T165" t="str">
        <f t="shared" si="39"/>
        <v/>
      </c>
      <c r="V165">
        <f t="shared" si="49"/>
        <v>39</v>
      </c>
      <c r="AG165" s="5"/>
      <c r="AH165" s="5"/>
      <c r="AI165" s="16"/>
      <c r="AY165" s="5"/>
    </row>
    <row r="166" spans="1:51" x14ac:dyDescent="0.2">
      <c r="A166">
        <f t="shared" si="50"/>
        <v>165</v>
      </c>
      <c r="B166" s="8">
        <f t="shared" si="40"/>
        <v>2</v>
      </c>
      <c r="C166">
        <f t="shared" si="41"/>
        <v>0</v>
      </c>
      <c r="D166" s="5">
        <f t="shared" si="42"/>
        <v>0</v>
      </c>
      <c r="I166" t="str">
        <f t="shared" si="43"/>
        <v/>
      </c>
      <c r="J166" t="str">
        <f t="shared" si="44"/>
        <v/>
      </c>
      <c r="K166" t="str">
        <f t="shared" si="45"/>
        <v/>
      </c>
      <c r="L166" t="str">
        <f t="shared" si="46"/>
        <v/>
      </c>
      <c r="M166" t="str">
        <f t="shared" si="47"/>
        <v/>
      </c>
      <c r="O166" s="6">
        <f t="shared" si="48"/>
        <v>38</v>
      </c>
      <c r="P166" s="8" t="str">
        <f t="shared" si="35"/>
        <v/>
      </c>
      <c r="Q166" t="str">
        <f t="shared" si="36"/>
        <v/>
      </c>
      <c r="R166" t="str">
        <f t="shared" si="37"/>
        <v/>
      </c>
      <c r="S166" t="str">
        <f t="shared" si="38"/>
        <v/>
      </c>
      <c r="T166" t="str">
        <f t="shared" si="39"/>
        <v/>
      </c>
      <c r="V166">
        <f t="shared" si="49"/>
        <v>39</v>
      </c>
      <c r="AG166" s="5"/>
      <c r="AH166" s="5"/>
      <c r="AI166" s="16"/>
      <c r="AY166" s="5"/>
    </row>
    <row r="167" spans="1:51" x14ac:dyDescent="0.2">
      <c r="A167">
        <f t="shared" si="50"/>
        <v>166</v>
      </c>
      <c r="B167" s="8">
        <f t="shared" si="40"/>
        <v>2</v>
      </c>
      <c r="C167">
        <f t="shared" si="41"/>
        <v>0</v>
      </c>
      <c r="D167" s="5">
        <f t="shared" si="42"/>
        <v>0</v>
      </c>
      <c r="I167" t="str">
        <f t="shared" si="43"/>
        <v/>
      </c>
      <c r="J167" t="str">
        <f t="shared" si="44"/>
        <v/>
      </c>
      <c r="K167" t="str">
        <f t="shared" si="45"/>
        <v/>
      </c>
      <c r="L167" t="str">
        <f t="shared" si="46"/>
        <v/>
      </c>
      <c r="M167" t="str">
        <f t="shared" si="47"/>
        <v/>
      </c>
      <c r="O167" s="6">
        <f t="shared" si="48"/>
        <v>38</v>
      </c>
      <c r="P167" s="8" t="str">
        <f t="shared" si="35"/>
        <v/>
      </c>
      <c r="Q167" t="str">
        <f t="shared" si="36"/>
        <v/>
      </c>
      <c r="R167" t="str">
        <f t="shared" si="37"/>
        <v/>
      </c>
      <c r="S167" t="str">
        <f t="shared" si="38"/>
        <v/>
      </c>
      <c r="T167" t="str">
        <f t="shared" si="39"/>
        <v/>
      </c>
      <c r="V167">
        <f t="shared" si="49"/>
        <v>39</v>
      </c>
      <c r="AG167" s="5"/>
      <c r="AH167" s="5"/>
      <c r="AI167" s="16"/>
      <c r="AY167" s="5"/>
    </row>
    <row r="168" spans="1:51" x14ac:dyDescent="0.2">
      <c r="A168">
        <f t="shared" si="50"/>
        <v>167</v>
      </c>
      <c r="B168" s="8">
        <f t="shared" si="40"/>
        <v>2</v>
      </c>
      <c r="C168">
        <f t="shared" si="41"/>
        <v>0</v>
      </c>
      <c r="D168" s="5">
        <f t="shared" si="42"/>
        <v>0</v>
      </c>
      <c r="I168" t="str">
        <f t="shared" si="43"/>
        <v/>
      </c>
      <c r="J168" t="str">
        <f t="shared" si="44"/>
        <v/>
      </c>
      <c r="K168" t="str">
        <f t="shared" si="45"/>
        <v/>
      </c>
      <c r="L168" t="str">
        <f t="shared" si="46"/>
        <v/>
      </c>
      <c r="M168" t="str">
        <f t="shared" si="47"/>
        <v/>
      </c>
      <c r="O168" s="6">
        <f t="shared" si="48"/>
        <v>38</v>
      </c>
      <c r="P168" s="8" t="str">
        <f t="shared" si="35"/>
        <v/>
      </c>
      <c r="Q168" t="str">
        <f t="shared" si="36"/>
        <v/>
      </c>
      <c r="R168" t="str">
        <f t="shared" si="37"/>
        <v/>
      </c>
      <c r="S168" t="str">
        <f t="shared" si="38"/>
        <v/>
      </c>
      <c r="T168" t="str">
        <f t="shared" si="39"/>
        <v/>
      </c>
      <c r="V168">
        <f t="shared" si="49"/>
        <v>39</v>
      </c>
      <c r="AG168" s="5"/>
      <c r="AH168" s="5"/>
      <c r="AI168" s="16"/>
      <c r="AY168" s="5"/>
    </row>
    <row r="169" spans="1:51" x14ac:dyDescent="0.2">
      <c r="A169">
        <f t="shared" si="50"/>
        <v>168</v>
      </c>
      <c r="B169" s="8">
        <f t="shared" si="40"/>
        <v>2</v>
      </c>
      <c r="C169">
        <f t="shared" si="41"/>
        <v>0</v>
      </c>
      <c r="D169" s="5">
        <f t="shared" si="42"/>
        <v>0</v>
      </c>
      <c r="I169" t="str">
        <f t="shared" si="43"/>
        <v/>
      </c>
      <c r="J169" t="str">
        <f t="shared" si="44"/>
        <v/>
      </c>
      <c r="K169" t="str">
        <f t="shared" si="45"/>
        <v/>
      </c>
      <c r="L169" t="str">
        <f t="shared" si="46"/>
        <v/>
      </c>
      <c r="M169" t="str">
        <f t="shared" si="47"/>
        <v/>
      </c>
      <c r="O169" s="6">
        <f t="shared" si="48"/>
        <v>38</v>
      </c>
      <c r="P169" s="8" t="str">
        <f t="shared" si="35"/>
        <v/>
      </c>
      <c r="Q169" t="str">
        <f t="shared" si="36"/>
        <v/>
      </c>
      <c r="R169" t="str">
        <f t="shared" si="37"/>
        <v/>
      </c>
      <c r="S169" t="str">
        <f t="shared" si="38"/>
        <v/>
      </c>
      <c r="T169" t="str">
        <f t="shared" si="39"/>
        <v/>
      </c>
      <c r="V169">
        <f t="shared" si="49"/>
        <v>39</v>
      </c>
      <c r="AG169" s="5"/>
      <c r="AH169" s="5"/>
      <c r="AI169" s="16"/>
      <c r="AY169" s="5"/>
    </row>
    <row r="170" spans="1:51" x14ac:dyDescent="0.2">
      <c r="A170">
        <f t="shared" si="50"/>
        <v>169</v>
      </c>
      <c r="B170" s="8">
        <f t="shared" si="40"/>
        <v>2</v>
      </c>
      <c r="C170">
        <f t="shared" si="41"/>
        <v>0</v>
      </c>
      <c r="D170" s="5">
        <f t="shared" si="42"/>
        <v>0</v>
      </c>
      <c r="I170" t="str">
        <f t="shared" si="43"/>
        <v/>
      </c>
      <c r="J170" t="str">
        <f t="shared" si="44"/>
        <v/>
      </c>
      <c r="K170" t="str">
        <f t="shared" si="45"/>
        <v/>
      </c>
      <c r="L170" t="str">
        <f t="shared" si="46"/>
        <v/>
      </c>
      <c r="M170" t="str">
        <f t="shared" si="47"/>
        <v/>
      </c>
      <c r="O170" s="6">
        <f t="shared" si="48"/>
        <v>38</v>
      </c>
      <c r="P170" s="8" t="str">
        <f t="shared" si="35"/>
        <v/>
      </c>
      <c r="Q170" t="str">
        <f t="shared" si="36"/>
        <v/>
      </c>
      <c r="R170" t="str">
        <f t="shared" si="37"/>
        <v/>
      </c>
      <c r="S170" t="str">
        <f t="shared" si="38"/>
        <v/>
      </c>
      <c r="T170" t="str">
        <f t="shared" si="39"/>
        <v/>
      </c>
      <c r="V170">
        <f t="shared" si="49"/>
        <v>39</v>
      </c>
      <c r="AG170" s="5"/>
      <c r="AH170" s="5"/>
      <c r="AI170" s="16"/>
      <c r="AY170" s="5"/>
    </row>
    <row r="171" spans="1:51" x14ac:dyDescent="0.2">
      <c r="A171">
        <f t="shared" si="50"/>
        <v>170</v>
      </c>
      <c r="B171" s="8">
        <f t="shared" si="40"/>
        <v>2</v>
      </c>
      <c r="C171">
        <f t="shared" si="41"/>
        <v>0</v>
      </c>
      <c r="D171" s="5">
        <f t="shared" si="42"/>
        <v>0</v>
      </c>
      <c r="I171" t="str">
        <f t="shared" si="43"/>
        <v/>
      </c>
      <c r="J171" t="str">
        <f t="shared" si="44"/>
        <v/>
      </c>
      <c r="K171" t="str">
        <f t="shared" si="45"/>
        <v/>
      </c>
      <c r="L171" t="str">
        <f t="shared" si="46"/>
        <v/>
      </c>
      <c r="M171" t="str">
        <f t="shared" si="47"/>
        <v/>
      </c>
      <c r="O171" s="6">
        <f t="shared" si="48"/>
        <v>38</v>
      </c>
      <c r="P171" s="8" t="str">
        <f t="shared" si="35"/>
        <v/>
      </c>
      <c r="Q171" t="str">
        <f t="shared" si="36"/>
        <v/>
      </c>
      <c r="R171" t="str">
        <f t="shared" si="37"/>
        <v/>
      </c>
      <c r="S171" t="str">
        <f t="shared" si="38"/>
        <v/>
      </c>
      <c r="T171" t="str">
        <f t="shared" si="39"/>
        <v/>
      </c>
      <c r="V171">
        <f t="shared" si="49"/>
        <v>39</v>
      </c>
      <c r="AG171" s="5"/>
      <c r="AH171" s="5"/>
      <c r="AI171" s="16"/>
      <c r="AY171" s="5"/>
    </row>
    <row r="172" spans="1:51" x14ac:dyDescent="0.2">
      <c r="A172">
        <f t="shared" si="50"/>
        <v>171</v>
      </c>
      <c r="B172" s="8">
        <f t="shared" si="40"/>
        <v>2</v>
      </c>
      <c r="C172">
        <f t="shared" si="41"/>
        <v>0</v>
      </c>
      <c r="D172" s="5">
        <f t="shared" si="42"/>
        <v>0</v>
      </c>
      <c r="I172" t="str">
        <f t="shared" si="43"/>
        <v/>
      </c>
      <c r="J172" t="str">
        <f t="shared" si="44"/>
        <v/>
      </c>
      <c r="K172" t="str">
        <f t="shared" si="45"/>
        <v/>
      </c>
      <c r="L172" t="str">
        <f t="shared" si="46"/>
        <v/>
      </c>
      <c r="M172" t="str">
        <f t="shared" si="47"/>
        <v/>
      </c>
      <c r="O172" s="6">
        <f t="shared" si="48"/>
        <v>38</v>
      </c>
      <c r="P172" s="8" t="str">
        <f t="shared" si="35"/>
        <v/>
      </c>
      <c r="Q172" t="str">
        <f t="shared" si="36"/>
        <v/>
      </c>
      <c r="R172" t="str">
        <f t="shared" si="37"/>
        <v/>
      </c>
      <c r="S172" t="str">
        <f t="shared" si="38"/>
        <v/>
      </c>
      <c r="T172" t="str">
        <f t="shared" si="39"/>
        <v/>
      </c>
      <c r="V172">
        <f t="shared" si="49"/>
        <v>39</v>
      </c>
      <c r="AG172" s="5"/>
      <c r="AH172" s="5"/>
      <c r="AI172" s="16"/>
      <c r="AY172" s="5"/>
    </row>
    <row r="173" spans="1:51" x14ac:dyDescent="0.2">
      <c r="A173">
        <f t="shared" si="50"/>
        <v>172</v>
      </c>
      <c r="B173" s="8">
        <f t="shared" si="40"/>
        <v>2</v>
      </c>
      <c r="C173">
        <f t="shared" si="41"/>
        <v>0</v>
      </c>
      <c r="D173" s="5">
        <f t="shared" si="42"/>
        <v>0</v>
      </c>
      <c r="I173" t="str">
        <f t="shared" si="43"/>
        <v/>
      </c>
      <c r="J173" t="str">
        <f t="shared" si="44"/>
        <v/>
      </c>
      <c r="K173" t="str">
        <f t="shared" si="45"/>
        <v/>
      </c>
      <c r="L173" t="str">
        <f t="shared" si="46"/>
        <v/>
      </c>
      <c r="M173" t="str">
        <f t="shared" si="47"/>
        <v/>
      </c>
      <c r="O173" s="6">
        <f t="shared" si="48"/>
        <v>38</v>
      </c>
      <c r="P173" s="8" t="str">
        <f t="shared" si="35"/>
        <v/>
      </c>
      <c r="Q173" t="str">
        <f t="shared" si="36"/>
        <v/>
      </c>
      <c r="R173" t="str">
        <f t="shared" si="37"/>
        <v/>
      </c>
      <c r="S173" t="str">
        <f t="shared" si="38"/>
        <v/>
      </c>
      <c r="T173" t="str">
        <f t="shared" si="39"/>
        <v/>
      </c>
      <c r="V173">
        <f t="shared" si="49"/>
        <v>39</v>
      </c>
      <c r="AG173" s="5"/>
      <c r="AH173" s="5"/>
      <c r="AI173" s="16"/>
      <c r="AY173" s="5"/>
    </row>
    <row r="174" spans="1:51" x14ac:dyDescent="0.2">
      <c r="A174">
        <f t="shared" si="50"/>
        <v>173</v>
      </c>
      <c r="B174" s="8">
        <f t="shared" si="40"/>
        <v>2</v>
      </c>
      <c r="C174">
        <f t="shared" si="41"/>
        <v>0</v>
      </c>
      <c r="D174" s="5">
        <f t="shared" si="42"/>
        <v>0</v>
      </c>
      <c r="I174" t="str">
        <f t="shared" si="43"/>
        <v/>
      </c>
      <c r="J174" t="str">
        <f t="shared" si="44"/>
        <v/>
      </c>
      <c r="K174" t="str">
        <f t="shared" si="45"/>
        <v/>
      </c>
      <c r="L174" t="str">
        <f t="shared" si="46"/>
        <v/>
      </c>
      <c r="M174" t="str">
        <f t="shared" si="47"/>
        <v/>
      </c>
      <c r="O174" s="6">
        <f t="shared" si="48"/>
        <v>38</v>
      </c>
      <c r="P174" s="8" t="str">
        <f t="shared" si="35"/>
        <v/>
      </c>
      <c r="Q174" t="str">
        <f t="shared" si="36"/>
        <v/>
      </c>
      <c r="R174" t="str">
        <f t="shared" si="37"/>
        <v/>
      </c>
      <c r="S174" t="str">
        <f t="shared" si="38"/>
        <v/>
      </c>
      <c r="T174" t="str">
        <f t="shared" si="39"/>
        <v/>
      </c>
      <c r="V174">
        <f t="shared" si="49"/>
        <v>39</v>
      </c>
      <c r="AG174" s="5"/>
      <c r="AH174" s="5"/>
      <c r="AI174" s="16"/>
      <c r="AY174" s="5"/>
    </row>
    <row r="175" spans="1:51" x14ac:dyDescent="0.2">
      <c r="A175">
        <f t="shared" si="50"/>
        <v>174</v>
      </c>
      <c r="B175" s="8">
        <f t="shared" si="40"/>
        <v>2</v>
      </c>
      <c r="C175">
        <f t="shared" si="41"/>
        <v>0</v>
      </c>
      <c r="D175" s="5">
        <f t="shared" si="42"/>
        <v>0</v>
      </c>
      <c r="I175" t="str">
        <f t="shared" si="43"/>
        <v/>
      </c>
      <c r="J175" t="str">
        <f t="shared" si="44"/>
        <v/>
      </c>
      <c r="K175" t="str">
        <f t="shared" si="45"/>
        <v/>
      </c>
      <c r="L175" t="str">
        <f t="shared" si="46"/>
        <v/>
      </c>
      <c r="M175" t="str">
        <f t="shared" si="47"/>
        <v/>
      </c>
      <c r="O175" s="6">
        <f t="shared" si="48"/>
        <v>38</v>
      </c>
      <c r="P175" s="8" t="str">
        <f t="shared" si="35"/>
        <v/>
      </c>
      <c r="Q175" t="str">
        <f t="shared" si="36"/>
        <v/>
      </c>
      <c r="R175" t="str">
        <f t="shared" si="37"/>
        <v/>
      </c>
      <c r="S175" t="str">
        <f t="shared" si="38"/>
        <v/>
      </c>
      <c r="T175" t="str">
        <f t="shared" si="39"/>
        <v/>
      </c>
      <c r="V175">
        <f t="shared" si="49"/>
        <v>39</v>
      </c>
      <c r="AG175" s="5"/>
      <c r="AH175" s="5"/>
      <c r="AI175" s="16"/>
      <c r="AY175" s="5"/>
    </row>
    <row r="176" spans="1:51" x14ac:dyDescent="0.2">
      <c r="A176">
        <f t="shared" si="50"/>
        <v>175</v>
      </c>
      <c r="B176" s="8">
        <f t="shared" si="40"/>
        <v>2</v>
      </c>
      <c r="C176">
        <f t="shared" si="41"/>
        <v>0</v>
      </c>
      <c r="D176" s="5">
        <f t="shared" si="42"/>
        <v>0</v>
      </c>
      <c r="I176" t="str">
        <f t="shared" si="43"/>
        <v/>
      </c>
      <c r="J176" t="str">
        <f t="shared" si="44"/>
        <v/>
      </c>
      <c r="K176" t="str">
        <f t="shared" si="45"/>
        <v/>
      </c>
      <c r="L176" t="str">
        <f t="shared" si="46"/>
        <v/>
      </c>
      <c r="M176" t="str">
        <f t="shared" si="47"/>
        <v/>
      </c>
      <c r="O176" s="6">
        <f t="shared" si="48"/>
        <v>38</v>
      </c>
      <c r="P176" s="8" t="str">
        <f t="shared" si="35"/>
        <v/>
      </c>
      <c r="Q176" t="str">
        <f t="shared" si="36"/>
        <v/>
      </c>
      <c r="R176" t="str">
        <f t="shared" si="37"/>
        <v/>
      </c>
      <c r="S176" t="str">
        <f t="shared" si="38"/>
        <v/>
      </c>
      <c r="T176" t="str">
        <f t="shared" si="39"/>
        <v/>
      </c>
      <c r="V176">
        <f t="shared" si="49"/>
        <v>39</v>
      </c>
      <c r="AG176" s="5"/>
      <c r="AH176" s="5"/>
      <c r="AI176" s="16"/>
      <c r="AY176" s="5"/>
    </row>
    <row r="177" spans="1:51" x14ac:dyDescent="0.2">
      <c r="A177">
        <f t="shared" si="50"/>
        <v>176</v>
      </c>
      <c r="B177" s="8">
        <f t="shared" si="40"/>
        <v>2</v>
      </c>
      <c r="C177">
        <f t="shared" si="41"/>
        <v>0</v>
      </c>
      <c r="D177" s="5">
        <f t="shared" si="42"/>
        <v>0</v>
      </c>
      <c r="I177" t="str">
        <f t="shared" si="43"/>
        <v/>
      </c>
      <c r="J177" t="str">
        <f t="shared" si="44"/>
        <v/>
      </c>
      <c r="K177" t="str">
        <f t="shared" si="45"/>
        <v/>
      </c>
      <c r="L177" t="str">
        <f t="shared" si="46"/>
        <v/>
      </c>
      <c r="M177" t="str">
        <f t="shared" si="47"/>
        <v/>
      </c>
      <c r="O177" s="6">
        <f t="shared" si="48"/>
        <v>38</v>
      </c>
      <c r="P177" s="8" t="str">
        <f t="shared" si="35"/>
        <v/>
      </c>
      <c r="Q177" t="str">
        <f t="shared" si="36"/>
        <v/>
      </c>
      <c r="R177" t="str">
        <f t="shared" si="37"/>
        <v/>
      </c>
      <c r="S177" t="str">
        <f t="shared" si="38"/>
        <v/>
      </c>
      <c r="T177" t="str">
        <f t="shared" si="39"/>
        <v/>
      </c>
      <c r="V177">
        <f t="shared" si="49"/>
        <v>39</v>
      </c>
      <c r="AG177" s="5"/>
      <c r="AH177" s="5"/>
      <c r="AI177" s="16"/>
      <c r="AY177" s="5"/>
    </row>
    <row r="178" spans="1:51" x14ac:dyDescent="0.2">
      <c r="A178">
        <f t="shared" si="50"/>
        <v>177</v>
      </c>
      <c r="B178" s="8">
        <f t="shared" si="40"/>
        <v>2</v>
      </c>
      <c r="C178">
        <f t="shared" si="41"/>
        <v>0</v>
      </c>
      <c r="D178" s="5">
        <f t="shared" si="42"/>
        <v>0</v>
      </c>
      <c r="I178" t="str">
        <f t="shared" si="43"/>
        <v/>
      </c>
      <c r="J178" t="str">
        <f t="shared" si="44"/>
        <v/>
      </c>
      <c r="K178" t="str">
        <f t="shared" si="45"/>
        <v/>
      </c>
      <c r="L178" t="str">
        <f t="shared" si="46"/>
        <v/>
      </c>
      <c r="M178" t="str">
        <f t="shared" si="47"/>
        <v/>
      </c>
      <c r="O178" s="6">
        <f t="shared" si="48"/>
        <v>38</v>
      </c>
      <c r="P178" s="8" t="str">
        <f t="shared" si="35"/>
        <v/>
      </c>
      <c r="Q178" t="str">
        <f t="shared" si="36"/>
        <v/>
      </c>
      <c r="R178" t="str">
        <f t="shared" si="37"/>
        <v/>
      </c>
      <c r="S178" t="str">
        <f t="shared" si="38"/>
        <v/>
      </c>
      <c r="T178" t="str">
        <f t="shared" si="39"/>
        <v/>
      </c>
      <c r="V178">
        <f t="shared" si="49"/>
        <v>39</v>
      </c>
      <c r="AG178" s="5"/>
      <c r="AH178" s="5"/>
      <c r="AI178" s="16"/>
      <c r="AY178" s="5"/>
    </row>
    <row r="179" spans="1:51" x14ac:dyDescent="0.2">
      <c r="A179">
        <f t="shared" si="50"/>
        <v>178</v>
      </c>
      <c r="B179" s="8">
        <f t="shared" si="40"/>
        <v>2</v>
      </c>
      <c r="C179">
        <f t="shared" si="41"/>
        <v>0</v>
      </c>
      <c r="D179" s="5">
        <f t="shared" si="42"/>
        <v>0</v>
      </c>
      <c r="I179" t="str">
        <f t="shared" si="43"/>
        <v/>
      </c>
      <c r="J179" t="str">
        <f t="shared" si="44"/>
        <v/>
      </c>
      <c r="K179" t="str">
        <f t="shared" si="45"/>
        <v/>
      </c>
      <c r="L179" t="str">
        <f t="shared" si="46"/>
        <v/>
      </c>
      <c r="M179" t="str">
        <f t="shared" si="47"/>
        <v/>
      </c>
      <c r="O179" s="6">
        <f t="shared" si="48"/>
        <v>38</v>
      </c>
      <c r="P179" s="8" t="str">
        <f t="shared" si="35"/>
        <v/>
      </c>
      <c r="Q179" t="str">
        <f t="shared" si="36"/>
        <v/>
      </c>
      <c r="R179" t="str">
        <f t="shared" si="37"/>
        <v/>
      </c>
      <c r="S179" t="str">
        <f t="shared" si="38"/>
        <v/>
      </c>
      <c r="T179" t="str">
        <f t="shared" si="39"/>
        <v/>
      </c>
      <c r="V179">
        <f t="shared" si="49"/>
        <v>39</v>
      </c>
      <c r="AG179" s="5"/>
      <c r="AH179" s="5"/>
      <c r="AI179" s="16"/>
      <c r="AY179" s="5"/>
    </row>
    <row r="180" spans="1:51" x14ac:dyDescent="0.2">
      <c r="A180">
        <f t="shared" si="50"/>
        <v>179</v>
      </c>
      <c r="B180" s="8">
        <f t="shared" si="40"/>
        <v>2</v>
      </c>
      <c r="C180">
        <f t="shared" si="41"/>
        <v>0</v>
      </c>
      <c r="D180" s="5">
        <f t="shared" si="42"/>
        <v>0</v>
      </c>
      <c r="I180" t="str">
        <f t="shared" si="43"/>
        <v/>
      </c>
      <c r="J180" t="str">
        <f t="shared" si="44"/>
        <v/>
      </c>
      <c r="K180" t="str">
        <f t="shared" si="45"/>
        <v/>
      </c>
      <c r="L180" t="str">
        <f t="shared" si="46"/>
        <v/>
      </c>
      <c r="M180" t="str">
        <f t="shared" si="47"/>
        <v/>
      </c>
      <c r="O180" s="6">
        <f t="shared" si="48"/>
        <v>38</v>
      </c>
      <c r="P180" s="8" t="str">
        <f t="shared" si="35"/>
        <v/>
      </c>
      <c r="Q180" t="str">
        <f t="shared" si="36"/>
        <v/>
      </c>
      <c r="R180" t="str">
        <f t="shared" si="37"/>
        <v/>
      </c>
      <c r="S180" t="str">
        <f t="shared" si="38"/>
        <v/>
      </c>
      <c r="T180" t="str">
        <f t="shared" si="39"/>
        <v/>
      </c>
      <c r="V180">
        <f t="shared" si="49"/>
        <v>39</v>
      </c>
      <c r="AG180" s="5"/>
      <c r="AH180" s="5"/>
      <c r="AI180" s="16"/>
      <c r="AY180" s="5"/>
    </row>
    <row r="181" spans="1:51" x14ac:dyDescent="0.2">
      <c r="A181">
        <f t="shared" si="50"/>
        <v>180</v>
      </c>
      <c r="B181" s="8">
        <f t="shared" si="40"/>
        <v>2</v>
      </c>
      <c r="C181">
        <f t="shared" si="41"/>
        <v>0</v>
      </c>
      <c r="D181" s="5">
        <f t="shared" si="42"/>
        <v>0</v>
      </c>
      <c r="I181" t="str">
        <f t="shared" si="43"/>
        <v/>
      </c>
      <c r="J181" t="str">
        <f t="shared" si="44"/>
        <v/>
      </c>
      <c r="K181" t="str">
        <f t="shared" si="45"/>
        <v/>
      </c>
      <c r="L181" t="str">
        <f t="shared" si="46"/>
        <v/>
      </c>
      <c r="M181" t="str">
        <f t="shared" si="47"/>
        <v/>
      </c>
      <c r="O181" s="6">
        <f t="shared" si="48"/>
        <v>38</v>
      </c>
      <c r="P181" s="8" t="str">
        <f t="shared" si="35"/>
        <v/>
      </c>
      <c r="Q181" t="str">
        <f t="shared" si="36"/>
        <v/>
      </c>
      <c r="R181" t="str">
        <f t="shared" si="37"/>
        <v/>
      </c>
      <c r="S181" t="str">
        <f t="shared" si="38"/>
        <v/>
      </c>
      <c r="T181" t="str">
        <f t="shared" si="39"/>
        <v/>
      </c>
      <c r="V181">
        <f t="shared" si="49"/>
        <v>39</v>
      </c>
      <c r="AG181" s="5"/>
      <c r="AH181" s="5"/>
      <c r="AI181" s="16"/>
      <c r="AY181" s="5"/>
    </row>
    <row r="182" spans="1:51" x14ac:dyDescent="0.2">
      <c r="A182">
        <f t="shared" si="50"/>
        <v>181</v>
      </c>
      <c r="B182" s="8">
        <f t="shared" si="40"/>
        <v>2</v>
      </c>
      <c r="C182">
        <f t="shared" si="41"/>
        <v>0</v>
      </c>
      <c r="D182" s="5">
        <f t="shared" si="42"/>
        <v>0</v>
      </c>
      <c r="I182" t="str">
        <f t="shared" si="43"/>
        <v/>
      </c>
      <c r="J182" t="str">
        <f t="shared" si="44"/>
        <v/>
      </c>
      <c r="K182" t="str">
        <f t="shared" si="45"/>
        <v/>
      </c>
      <c r="L182" t="str">
        <f t="shared" si="46"/>
        <v/>
      </c>
      <c r="M182" t="str">
        <f t="shared" si="47"/>
        <v/>
      </c>
      <c r="O182" s="6">
        <f t="shared" si="48"/>
        <v>38</v>
      </c>
      <c r="P182" s="8" t="str">
        <f t="shared" si="35"/>
        <v/>
      </c>
      <c r="Q182" t="str">
        <f t="shared" si="36"/>
        <v/>
      </c>
      <c r="R182" t="str">
        <f t="shared" si="37"/>
        <v/>
      </c>
      <c r="S182" t="str">
        <f t="shared" si="38"/>
        <v/>
      </c>
      <c r="T182" t="str">
        <f t="shared" si="39"/>
        <v/>
      </c>
      <c r="V182">
        <f t="shared" si="49"/>
        <v>39</v>
      </c>
      <c r="AG182" s="5"/>
      <c r="AH182" s="5"/>
      <c r="AI182" s="16"/>
      <c r="AY182" s="5"/>
    </row>
    <row r="183" spans="1:51" x14ac:dyDescent="0.2">
      <c r="A183">
        <f t="shared" si="50"/>
        <v>182</v>
      </c>
      <c r="B183" s="8">
        <f t="shared" si="40"/>
        <v>2</v>
      </c>
      <c r="C183">
        <f t="shared" si="41"/>
        <v>0</v>
      </c>
      <c r="D183" s="5">
        <f t="shared" si="42"/>
        <v>0</v>
      </c>
      <c r="I183" t="str">
        <f t="shared" si="43"/>
        <v/>
      </c>
      <c r="J183" t="str">
        <f t="shared" si="44"/>
        <v/>
      </c>
      <c r="K183" t="str">
        <f t="shared" si="45"/>
        <v/>
      </c>
      <c r="L183" t="str">
        <f t="shared" si="46"/>
        <v/>
      </c>
      <c r="M183" t="str">
        <f t="shared" si="47"/>
        <v/>
      </c>
      <c r="O183" s="6">
        <f t="shared" si="48"/>
        <v>38</v>
      </c>
      <c r="P183" s="8" t="str">
        <f t="shared" si="35"/>
        <v/>
      </c>
      <c r="Q183" t="str">
        <f t="shared" si="36"/>
        <v/>
      </c>
      <c r="R183" t="str">
        <f t="shared" si="37"/>
        <v/>
      </c>
      <c r="S183" t="str">
        <f t="shared" si="38"/>
        <v/>
      </c>
      <c r="T183" t="str">
        <f t="shared" si="39"/>
        <v/>
      </c>
      <c r="V183">
        <f t="shared" si="49"/>
        <v>39</v>
      </c>
      <c r="AG183" s="5"/>
      <c r="AH183" s="5"/>
      <c r="AI183" s="16"/>
      <c r="AY183" s="5"/>
    </row>
    <row r="184" spans="1:51" x14ac:dyDescent="0.2">
      <c r="A184">
        <f t="shared" si="50"/>
        <v>183</v>
      </c>
      <c r="B184" s="8">
        <f t="shared" si="40"/>
        <v>2</v>
      </c>
      <c r="C184">
        <f t="shared" si="41"/>
        <v>0</v>
      </c>
      <c r="D184" s="5">
        <f t="shared" si="42"/>
        <v>0</v>
      </c>
      <c r="I184" t="str">
        <f t="shared" si="43"/>
        <v/>
      </c>
      <c r="J184" t="str">
        <f t="shared" si="44"/>
        <v/>
      </c>
      <c r="K184" t="str">
        <f t="shared" si="45"/>
        <v/>
      </c>
      <c r="L184" t="str">
        <f t="shared" si="46"/>
        <v/>
      </c>
      <c r="M184" t="str">
        <f t="shared" si="47"/>
        <v/>
      </c>
      <c r="O184" s="6">
        <f t="shared" si="48"/>
        <v>38</v>
      </c>
      <c r="P184" s="8" t="str">
        <f t="shared" si="35"/>
        <v/>
      </c>
      <c r="Q184" t="str">
        <f t="shared" si="36"/>
        <v/>
      </c>
      <c r="R184" t="str">
        <f t="shared" si="37"/>
        <v/>
      </c>
      <c r="S184" t="str">
        <f t="shared" si="38"/>
        <v/>
      </c>
      <c r="T184" t="str">
        <f t="shared" si="39"/>
        <v/>
      </c>
      <c r="V184">
        <f t="shared" si="49"/>
        <v>39</v>
      </c>
      <c r="AG184" s="5"/>
      <c r="AH184" s="5"/>
      <c r="AI184" s="16"/>
      <c r="AY184" s="5"/>
    </row>
    <row r="185" spans="1:51" x14ac:dyDescent="0.2">
      <c r="A185">
        <f t="shared" si="50"/>
        <v>184</v>
      </c>
      <c r="B185" s="8">
        <f t="shared" si="40"/>
        <v>2</v>
      </c>
      <c r="C185">
        <f t="shared" si="41"/>
        <v>0</v>
      </c>
      <c r="D185" s="5">
        <f t="shared" si="42"/>
        <v>0</v>
      </c>
      <c r="I185" t="str">
        <f t="shared" si="43"/>
        <v/>
      </c>
      <c r="J185" t="str">
        <f t="shared" si="44"/>
        <v/>
      </c>
      <c r="K185" t="str">
        <f t="shared" si="45"/>
        <v/>
      </c>
      <c r="L185" t="str">
        <f t="shared" si="46"/>
        <v/>
      </c>
      <c r="M185" t="str">
        <f t="shared" si="47"/>
        <v/>
      </c>
      <c r="O185" s="6">
        <f t="shared" si="48"/>
        <v>38</v>
      </c>
      <c r="P185" s="8" t="str">
        <f t="shared" si="35"/>
        <v/>
      </c>
      <c r="Q185" t="str">
        <f t="shared" si="36"/>
        <v/>
      </c>
      <c r="R185" t="str">
        <f t="shared" si="37"/>
        <v/>
      </c>
      <c r="S185" t="str">
        <f t="shared" si="38"/>
        <v/>
      </c>
      <c r="T185" t="str">
        <f t="shared" si="39"/>
        <v/>
      </c>
      <c r="V185">
        <f t="shared" si="49"/>
        <v>39</v>
      </c>
      <c r="AG185" s="5"/>
      <c r="AH185" s="5"/>
      <c r="AI185" s="16"/>
      <c r="AY185" s="5"/>
    </row>
    <row r="186" spans="1:51" x14ac:dyDescent="0.2">
      <c r="A186">
        <f t="shared" si="50"/>
        <v>185</v>
      </c>
      <c r="B186" s="8">
        <f t="shared" si="40"/>
        <v>2</v>
      </c>
      <c r="C186">
        <f t="shared" si="41"/>
        <v>0</v>
      </c>
      <c r="D186" s="5">
        <f t="shared" si="42"/>
        <v>0</v>
      </c>
      <c r="I186" t="str">
        <f t="shared" si="43"/>
        <v/>
      </c>
      <c r="J186" t="str">
        <f t="shared" si="44"/>
        <v/>
      </c>
      <c r="K186" t="str">
        <f t="shared" si="45"/>
        <v/>
      </c>
      <c r="L186" t="str">
        <f t="shared" si="46"/>
        <v/>
      </c>
      <c r="M186" t="str">
        <f t="shared" si="47"/>
        <v/>
      </c>
      <c r="O186" s="6">
        <f t="shared" si="48"/>
        <v>38</v>
      </c>
      <c r="P186" s="8" t="str">
        <f t="shared" si="35"/>
        <v/>
      </c>
      <c r="Q186" t="str">
        <f t="shared" si="36"/>
        <v/>
      </c>
      <c r="R186" t="str">
        <f t="shared" si="37"/>
        <v/>
      </c>
      <c r="S186" t="str">
        <f t="shared" si="38"/>
        <v/>
      </c>
      <c r="T186" t="str">
        <f t="shared" si="39"/>
        <v/>
      </c>
      <c r="V186">
        <f t="shared" si="49"/>
        <v>39</v>
      </c>
      <c r="AG186" s="5"/>
      <c r="AH186" s="5"/>
      <c r="AI186" s="16"/>
      <c r="AY186" s="5"/>
    </row>
    <row r="187" spans="1:51" x14ac:dyDescent="0.2">
      <c r="A187">
        <f t="shared" si="50"/>
        <v>186</v>
      </c>
      <c r="B187" s="8">
        <f t="shared" si="40"/>
        <v>2</v>
      </c>
      <c r="C187">
        <f t="shared" si="41"/>
        <v>0</v>
      </c>
      <c r="D187" s="5">
        <f t="shared" si="42"/>
        <v>0</v>
      </c>
      <c r="I187" t="str">
        <f t="shared" si="43"/>
        <v/>
      </c>
      <c r="J187" t="str">
        <f t="shared" si="44"/>
        <v/>
      </c>
      <c r="K187" t="str">
        <f t="shared" si="45"/>
        <v/>
      </c>
      <c r="L187" t="str">
        <f t="shared" si="46"/>
        <v/>
      </c>
      <c r="M187" t="str">
        <f t="shared" si="47"/>
        <v/>
      </c>
      <c r="O187" s="6">
        <f t="shared" si="48"/>
        <v>38</v>
      </c>
      <c r="P187" s="8" t="str">
        <f t="shared" si="35"/>
        <v/>
      </c>
      <c r="Q187" t="str">
        <f t="shared" si="36"/>
        <v/>
      </c>
      <c r="R187" t="str">
        <f t="shared" si="37"/>
        <v/>
      </c>
      <c r="S187" t="str">
        <f t="shared" si="38"/>
        <v/>
      </c>
      <c r="T187" t="str">
        <f t="shared" si="39"/>
        <v/>
      </c>
      <c r="V187">
        <f t="shared" si="49"/>
        <v>39</v>
      </c>
      <c r="AG187" s="5"/>
      <c r="AH187" s="5"/>
      <c r="AI187" s="16"/>
      <c r="AY187" s="5"/>
    </row>
    <row r="188" spans="1:51" x14ac:dyDescent="0.2">
      <c r="A188">
        <f t="shared" si="50"/>
        <v>187</v>
      </c>
      <c r="B188" s="8">
        <f t="shared" si="40"/>
        <v>2</v>
      </c>
      <c r="C188">
        <f t="shared" si="41"/>
        <v>0</v>
      </c>
      <c r="D188" s="5">
        <f t="shared" si="42"/>
        <v>0</v>
      </c>
      <c r="I188" t="str">
        <f t="shared" si="43"/>
        <v/>
      </c>
      <c r="J188" t="str">
        <f t="shared" si="44"/>
        <v/>
      </c>
      <c r="K188" t="str">
        <f t="shared" si="45"/>
        <v/>
      </c>
      <c r="L188" t="str">
        <f t="shared" si="46"/>
        <v/>
      </c>
      <c r="M188" t="str">
        <f t="shared" si="47"/>
        <v/>
      </c>
      <c r="O188" s="6">
        <f t="shared" si="48"/>
        <v>38</v>
      </c>
      <c r="P188" s="8" t="str">
        <f t="shared" si="35"/>
        <v/>
      </c>
      <c r="Q188" t="str">
        <f t="shared" si="36"/>
        <v/>
      </c>
      <c r="R188" t="str">
        <f t="shared" si="37"/>
        <v/>
      </c>
      <c r="S188" t="str">
        <f t="shared" si="38"/>
        <v/>
      </c>
      <c r="T188" t="str">
        <f t="shared" si="39"/>
        <v/>
      </c>
      <c r="V188">
        <f t="shared" si="49"/>
        <v>39</v>
      </c>
      <c r="AG188" s="5"/>
      <c r="AH188" s="5"/>
      <c r="AI188" s="16"/>
      <c r="AY188" s="5"/>
    </row>
    <row r="189" spans="1:51" x14ac:dyDescent="0.2">
      <c r="A189">
        <f t="shared" si="50"/>
        <v>188</v>
      </c>
      <c r="B189" s="8">
        <f t="shared" si="40"/>
        <v>2</v>
      </c>
      <c r="C189">
        <f t="shared" si="41"/>
        <v>0</v>
      </c>
      <c r="D189" s="5">
        <f t="shared" si="42"/>
        <v>0</v>
      </c>
      <c r="I189" t="str">
        <f t="shared" si="43"/>
        <v/>
      </c>
      <c r="J189" t="str">
        <f t="shared" si="44"/>
        <v/>
      </c>
      <c r="K189" t="str">
        <f t="shared" si="45"/>
        <v/>
      </c>
      <c r="L189" t="str">
        <f t="shared" si="46"/>
        <v/>
      </c>
      <c r="M189" t="str">
        <f t="shared" si="47"/>
        <v/>
      </c>
      <c r="O189" s="6">
        <f t="shared" si="48"/>
        <v>38</v>
      </c>
      <c r="P189" s="8" t="str">
        <f t="shared" si="35"/>
        <v/>
      </c>
      <c r="Q189" t="str">
        <f t="shared" si="36"/>
        <v/>
      </c>
      <c r="R189" t="str">
        <f t="shared" si="37"/>
        <v/>
      </c>
      <c r="S189" t="str">
        <f t="shared" si="38"/>
        <v/>
      </c>
      <c r="T189" t="str">
        <f t="shared" si="39"/>
        <v/>
      </c>
      <c r="V189">
        <f t="shared" si="49"/>
        <v>39</v>
      </c>
      <c r="AG189" s="5"/>
      <c r="AH189" s="5"/>
      <c r="AI189" s="16"/>
      <c r="AY189" s="5"/>
    </row>
    <row r="190" spans="1:51" x14ac:dyDescent="0.2">
      <c r="A190">
        <f t="shared" si="50"/>
        <v>189</v>
      </c>
      <c r="B190" s="8">
        <f t="shared" si="40"/>
        <v>2</v>
      </c>
      <c r="C190">
        <f t="shared" si="41"/>
        <v>0</v>
      </c>
      <c r="D190" s="5">
        <f t="shared" si="42"/>
        <v>0</v>
      </c>
      <c r="I190" t="str">
        <f t="shared" si="43"/>
        <v/>
      </c>
      <c r="J190" t="str">
        <f t="shared" si="44"/>
        <v/>
      </c>
      <c r="K190" t="str">
        <f t="shared" si="45"/>
        <v/>
      </c>
      <c r="L190" t="str">
        <f t="shared" si="46"/>
        <v/>
      </c>
      <c r="M190" t="str">
        <f t="shared" si="47"/>
        <v/>
      </c>
      <c r="O190" s="6">
        <f t="shared" si="48"/>
        <v>38</v>
      </c>
      <c r="P190" s="8" t="str">
        <f t="shared" si="35"/>
        <v/>
      </c>
      <c r="Q190" t="str">
        <f t="shared" si="36"/>
        <v/>
      </c>
      <c r="R190" t="str">
        <f t="shared" si="37"/>
        <v/>
      </c>
      <c r="S190" t="str">
        <f t="shared" si="38"/>
        <v/>
      </c>
      <c r="T190" t="str">
        <f t="shared" si="39"/>
        <v/>
      </c>
      <c r="V190">
        <f t="shared" si="49"/>
        <v>39</v>
      </c>
      <c r="AG190" s="5"/>
      <c r="AH190" s="5"/>
      <c r="AI190" s="16"/>
      <c r="AY190" s="5"/>
    </row>
    <row r="191" spans="1:51" x14ac:dyDescent="0.2">
      <c r="A191">
        <f t="shared" si="50"/>
        <v>190</v>
      </c>
      <c r="B191" s="8">
        <f t="shared" si="40"/>
        <v>2</v>
      </c>
      <c r="C191">
        <f t="shared" si="41"/>
        <v>0</v>
      </c>
      <c r="D191" s="5">
        <f t="shared" si="42"/>
        <v>0</v>
      </c>
      <c r="I191" t="str">
        <f t="shared" si="43"/>
        <v/>
      </c>
      <c r="J191" t="str">
        <f t="shared" si="44"/>
        <v/>
      </c>
      <c r="K191" t="str">
        <f t="shared" si="45"/>
        <v/>
      </c>
      <c r="L191" t="str">
        <f t="shared" si="46"/>
        <v/>
      </c>
      <c r="M191" t="str">
        <f t="shared" si="47"/>
        <v/>
      </c>
      <c r="O191" s="6">
        <f t="shared" si="48"/>
        <v>38</v>
      </c>
      <c r="P191" s="8" t="str">
        <f t="shared" si="35"/>
        <v/>
      </c>
      <c r="Q191" t="str">
        <f t="shared" si="36"/>
        <v/>
      </c>
      <c r="R191" t="str">
        <f t="shared" si="37"/>
        <v/>
      </c>
      <c r="S191" t="str">
        <f t="shared" si="38"/>
        <v/>
      </c>
      <c r="T191" t="str">
        <f t="shared" si="39"/>
        <v/>
      </c>
      <c r="V191">
        <f t="shared" si="49"/>
        <v>39</v>
      </c>
      <c r="AG191" s="5"/>
      <c r="AH191" s="5"/>
      <c r="AI191" s="16"/>
      <c r="AY191" s="5"/>
    </row>
    <row r="192" spans="1:51" x14ac:dyDescent="0.2">
      <c r="A192">
        <f t="shared" si="50"/>
        <v>191</v>
      </c>
      <c r="B192" s="8">
        <f t="shared" si="40"/>
        <v>2</v>
      </c>
      <c r="C192">
        <f t="shared" si="41"/>
        <v>0</v>
      </c>
      <c r="D192" s="5">
        <f t="shared" si="42"/>
        <v>0</v>
      </c>
      <c r="I192" t="str">
        <f t="shared" si="43"/>
        <v/>
      </c>
      <c r="J192" t="str">
        <f t="shared" si="44"/>
        <v/>
      </c>
      <c r="K192" t="str">
        <f t="shared" si="45"/>
        <v/>
      </c>
      <c r="L192" t="str">
        <f t="shared" si="46"/>
        <v/>
      </c>
      <c r="M192" t="str">
        <f t="shared" si="47"/>
        <v/>
      </c>
      <c r="O192" s="6">
        <f t="shared" si="48"/>
        <v>38</v>
      </c>
      <c r="P192" s="8" t="str">
        <f t="shared" si="35"/>
        <v/>
      </c>
      <c r="Q192" t="str">
        <f t="shared" si="36"/>
        <v/>
      </c>
      <c r="R192" t="str">
        <f t="shared" si="37"/>
        <v/>
      </c>
      <c r="S192" t="str">
        <f t="shared" si="38"/>
        <v/>
      </c>
      <c r="T192" t="str">
        <f t="shared" si="39"/>
        <v/>
      </c>
      <c r="V192">
        <f t="shared" si="49"/>
        <v>39</v>
      </c>
      <c r="AG192" s="5"/>
      <c r="AH192" s="5"/>
      <c r="AI192" s="16"/>
      <c r="AY192" s="5"/>
    </row>
    <row r="193" spans="1:51" x14ac:dyDescent="0.2">
      <c r="A193">
        <f t="shared" si="50"/>
        <v>192</v>
      </c>
      <c r="B193" s="8">
        <f t="shared" si="40"/>
        <v>2</v>
      </c>
      <c r="C193">
        <f t="shared" si="41"/>
        <v>0</v>
      </c>
      <c r="D193" s="5">
        <f t="shared" si="42"/>
        <v>0</v>
      </c>
      <c r="I193" t="str">
        <f t="shared" si="43"/>
        <v/>
      </c>
      <c r="J193" t="str">
        <f t="shared" si="44"/>
        <v/>
      </c>
      <c r="K193" t="str">
        <f t="shared" si="45"/>
        <v/>
      </c>
      <c r="L193" t="str">
        <f t="shared" si="46"/>
        <v/>
      </c>
      <c r="M193" t="str">
        <f t="shared" si="47"/>
        <v/>
      </c>
      <c r="O193" s="6">
        <f t="shared" si="48"/>
        <v>38</v>
      </c>
      <c r="P193" s="8" t="str">
        <f t="shared" si="35"/>
        <v/>
      </c>
      <c r="Q193" t="str">
        <f t="shared" si="36"/>
        <v/>
      </c>
      <c r="R193" t="str">
        <f t="shared" si="37"/>
        <v/>
      </c>
      <c r="S193" t="str">
        <f t="shared" si="38"/>
        <v/>
      </c>
      <c r="T193" t="str">
        <f t="shared" si="39"/>
        <v/>
      </c>
      <c r="V193">
        <f t="shared" si="49"/>
        <v>39</v>
      </c>
      <c r="AG193" s="5"/>
      <c r="AH193" s="5"/>
      <c r="AI193" s="16"/>
      <c r="AY193" s="5"/>
    </row>
    <row r="194" spans="1:51" x14ac:dyDescent="0.2">
      <c r="A194">
        <f t="shared" si="50"/>
        <v>193</v>
      </c>
      <c r="B194" s="8">
        <f t="shared" si="40"/>
        <v>2</v>
      </c>
      <c r="C194">
        <f t="shared" si="41"/>
        <v>0</v>
      </c>
      <c r="D194" s="5">
        <f t="shared" si="42"/>
        <v>0</v>
      </c>
      <c r="I194" t="str">
        <f t="shared" si="43"/>
        <v/>
      </c>
      <c r="J194" t="str">
        <f t="shared" si="44"/>
        <v/>
      </c>
      <c r="K194" t="str">
        <f t="shared" si="45"/>
        <v/>
      </c>
      <c r="L194" t="str">
        <f t="shared" si="46"/>
        <v/>
      </c>
      <c r="M194" t="str">
        <f t="shared" si="47"/>
        <v/>
      </c>
      <c r="O194" s="6">
        <f t="shared" si="48"/>
        <v>38</v>
      </c>
      <c r="P194" s="8" t="str">
        <f t="shared" si="35"/>
        <v/>
      </c>
      <c r="Q194" t="str">
        <f t="shared" si="36"/>
        <v/>
      </c>
      <c r="R194" t="str">
        <f t="shared" si="37"/>
        <v/>
      </c>
      <c r="S194" t="str">
        <f t="shared" si="38"/>
        <v/>
      </c>
      <c r="T194" t="str">
        <f t="shared" si="39"/>
        <v/>
      </c>
      <c r="V194">
        <f t="shared" si="49"/>
        <v>39</v>
      </c>
      <c r="AG194" s="5"/>
      <c r="AH194" s="5"/>
      <c r="AI194" s="16"/>
      <c r="AY194" s="5"/>
    </row>
    <row r="195" spans="1:51" x14ac:dyDescent="0.2">
      <c r="A195">
        <f t="shared" si="50"/>
        <v>194</v>
      </c>
      <c r="B195" s="8">
        <f t="shared" si="40"/>
        <v>2</v>
      </c>
      <c r="C195">
        <f t="shared" si="41"/>
        <v>0</v>
      </c>
      <c r="D195" s="5">
        <f t="shared" si="42"/>
        <v>0</v>
      </c>
      <c r="I195" t="str">
        <f t="shared" si="43"/>
        <v/>
      </c>
      <c r="J195" t="str">
        <f t="shared" si="44"/>
        <v/>
      </c>
      <c r="K195" t="str">
        <f t="shared" si="45"/>
        <v/>
      </c>
      <c r="L195" t="str">
        <f t="shared" si="46"/>
        <v/>
      </c>
      <c r="M195" t="str">
        <f t="shared" si="47"/>
        <v/>
      </c>
      <c r="O195" s="6">
        <f t="shared" si="48"/>
        <v>38</v>
      </c>
      <c r="P195" s="8" t="str">
        <f t="shared" ref="P195:T199" si="51">IF($D195&gt;0,P194,"")</f>
        <v/>
      </c>
      <c r="Q195" t="str">
        <f t="shared" si="51"/>
        <v/>
      </c>
      <c r="R195" t="str">
        <f t="shared" si="51"/>
        <v/>
      </c>
      <c r="S195" t="str">
        <f t="shared" si="51"/>
        <v/>
      </c>
      <c r="T195" t="str">
        <f t="shared" si="51"/>
        <v/>
      </c>
      <c r="V195">
        <f t="shared" si="49"/>
        <v>39</v>
      </c>
      <c r="AG195" s="5"/>
      <c r="AH195" s="5"/>
      <c r="AI195" s="16"/>
      <c r="AY195" s="5"/>
    </row>
    <row r="196" spans="1:51" x14ac:dyDescent="0.2">
      <c r="A196">
        <f t="shared" si="50"/>
        <v>195</v>
      </c>
      <c r="B196" s="8">
        <f>IF(G196="PeriodStart",B195+1,B195)</f>
        <v>2</v>
      </c>
      <c r="C196">
        <f>IF(G196&lt;&gt;"PeriodStart",E195,18)</f>
        <v>0</v>
      </c>
      <c r="D196" s="5">
        <f>F195</f>
        <v>0</v>
      </c>
      <c r="I196" t="str">
        <f t="shared" ref="I196:M199" si="52">IF($D196&gt;0,I195,"")</f>
        <v/>
      </c>
      <c r="J196" t="str">
        <f t="shared" si="52"/>
        <v/>
      </c>
      <c r="K196" t="str">
        <f t="shared" si="52"/>
        <v/>
      </c>
      <c r="L196" t="str">
        <f t="shared" si="52"/>
        <v/>
      </c>
      <c r="M196" t="str">
        <f t="shared" si="52"/>
        <v/>
      </c>
      <c r="O196" s="6">
        <f>O195</f>
        <v>38</v>
      </c>
      <c r="P196" s="8" t="str">
        <f t="shared" si="51"/>
        <v/>
      </c>
      <c r="Q196" t="str">
        <f t="shared" si="51"/>
        <v/>
      </c>
      <c r="R196" t="str">
        <f t="shared" si="51"/>
        <v/>
      </c>
      <c r="S196" t="str">
        <f t="shared" si="51"/>
        <v/>
      </c>
      <c r="T196" t="str">
        <f t="shared" si="51"/>
        <v/>
      </c>
      <c r="V196">
        <f>V195</f>
        <v>39</v>
      </c>
      <c r="AG196" s="5"/>
      <c r="AH196" s="5"/>
      <c r="AI196" s="16"/>
      <c r="AY196" s="5"/>
    </row>
    <row r="197" spans="1:51" x14ac:dyDescent="0.2">
      <c r="A197">
        <f>A196+1</f>
        <v>196</v>
      </c>
      <c r="B197" s="8">
        <f>IF(G197="PeriodStart",B196+1,B196)</f>
        <v>2</v>
      </c>
      <c r="C197">
        <f>IF(G197&lt;&gt;"PeriodStart",E196,18)</f>
        <v>0</v>
      </c>
      <c r="D197" s="5">
        <f>F196</f>
        <v>0</v>
      </c>
      <c r="I197" t="str">
        <f t="shared" si="52"/>
        <v/>
      </c>
      <c r="J197" t="str">
        <f t="shared" si="52"/>
        <v/>
      </c>
      <c r="K197" t="str">
        <f t="shared" si="52"/>
        <v/>
      </c>
      <c r="L197" t="str">
        <f t="shared" si="52"/>
        <v/>
      </c>
      <c r="M197" t="str">
        <f t="shared" si="52"/>
        <v/>
      </c>
      <c r="O197" s="6">
        <f>O196</f>
        <v>38</v>
      </c>
      <c r="P197" s="8" t="str">
        <f t="shared" si="51"/>
        <v/>
      </c>
      <c r="Q197" t="str">
        <f t="shared" si="51"/>
        <v/>
      </c>
      <c r="R197" t="str">
        <f t="shared" si="51"/>
        <v/>
      </c>
      <c r="S197" t="str">
        <f t="shared" si="51"/>
        <v/>
      </c>
      <c r="T197" t="str">
        <f t="shared" si="51"/>
        <v/>
      </c>
      <c r="V197">
        <f>V196</f>
        <v>39</v>
      </c>
      <c r="AG197" s="5"/>
      <c r="AH197" s="5"/>
      <c r="AI197" s="16"/>
      <c r="AY197" s="5"/>
    </row>
    <row r="198" spans="1:51" x14ac:dyDescent="0.2">
      <c r="A198">
        <f>A197+1</f>
        <v>197</v>
      </c>
      <c r="B198" s="8">
        <f>IF(G198="PeriodStart",B197+1,B197)</f>
        <v>2</v>
      </c>
      <c r="C198">
        <f>IF(G198&lt;&gt;"PeriodStart",E197,18)</f>
        <v>0</v>
      </c>
      <c r="D198" s="5">
        <f>F197</f>
        <v>0</v>
      </c>
      <c r="I198" t="str">
        <f t="shared" si="52"/>
        <v/>
      </c>
      <c r="J198" t="str">
        <f t="shared" si="52"/>
        <v/>
      </c>
      <c r="K198" t="str">
        <f t="shared" si="52"/>
        <v/>
      </c>
      <c r="L198" t="str">
        <f t="shared" si="52"/>
        <v/>
      </c>
      <c r="M198" t="str">
        <f t="shared" si="52"/>
        <v/>
      </c>
      <c r="O198" s="6">
        <f>O197</f>
        <v>38</v>
      </c>
      <c r="P198" s="8" t="str">
        <f t="shared" si="51"/>
        <v/>
      </c>
      <c r="Q198" t="str">
        <f t="shared" si="51"/>
        <v/>
      </c>
      <c r="R198" t="str">
        <f t="shared" si="51"/>
        <v/>
      </c>
      <c r="S198" t="str">
        <f t="shared" si="51"/>
        <v/>
      </c>
      <c r="T198" t="str">
        <f t="shared" si="51"/>
        <v/>
      </c>
      <c r="V198">
        <f>V197</f>
        <v>39</v>
      </c>
      <c r="AG198" s="5"/>
      <c r="AH198" s="5"/>
      <c r="AI198" s="16"/>
      <c r="AY198" s="5"/>
    </row>
    <row r="199" spans="1:51" x14ac:dyDescent="0.2">
      <c r="A199">
        <f>A198+1</f>
        <v>198</v>
      </c>
      <c r="B199" s="8">
        <f>IF(G199="PeriodStart",B198+1,B198)</f>
        <v>2</v>
      </c>
      <c r="C199">
        <f>IF(G199&lt;&gt;"PeriodStart",E198,18)</f>
        <v>0</v>
      </c>
      <c r="D199" s="5">
        <f>F198</f>
        <v>0</v>
      </c>
      <c r="I199" t="str">
        <f t="shared" si="52"/>
        <v/>
      </c>
      <c r="J199" t="str">
        <f t="shared" si="52"/>
        <v/>
      </c>
      <c r="K199" t="str">
        <f t="shared" si="52"/>
        <v/>
      </c>
      <c r="L199" t="str">
        <f t="shared" si="52"/>
        <v/>
      </c>
      <c r="M199" t="str">
        <f t="shared" si="52"/>
        <v/>
      </c>
      <c r="O199" s="6">
        <f>O198</f>
        <v>38</v>
      </c>
      <c r="P199" s="8" t="str">
        <f t="shared" si="51"/>
        <v/>
      </c>
      <c r="Q199" t="str">
        <f t="shared" si="51"/>
        <v/>
      </c>
      <c r="R199" t="str">
        <f t="shared" si="51"/>
        <v/>
      </c>
      <c r="S199" t="str">
        <f t="shared" si="51"/>
        <v/>
      </c>
      <c r="T199" t="str">
        <f t="shared" si="51"/>
        <v/>
      </c>
      <c r="V199">
        <f>V198</f>
        <v>39</v>
      </c>
      <c r="AG199" s="5"/>
      <c r="AH199" s="5"/>
      <c r="AI199" s="16"/>
      <c r="AY199" s="5"/>
    </row>
    <row r="200" spans="1:51" x14ac:dyDescent="0.2">
      <c r="X200" s="8" t="str">
        <f>IF(OR($H199="Home Goal",$H199="Away Goal",$H199="Period End"),"",IF(Y199=1,1,""))</f>
        <v/>
      </c>
      <c r="Z200" t="str">
        <f>IF(OR($H199="Home Goal",$H199="Away Goal",$H199="Period End"),"",IF(AA199=1,1,""))</f>
        <v/>
      </c>
      <c r="AB200" t="str">
        <f>IF(OR($H199="Home Goal",$H199="Away Goal",$H199="Period End"),1,IF(AC199=1,1,""))</f>
        <v/>
      </c>
      <c r="AG200" s="5"/>
      <c r="AH200" s="5"/>
      <c r="AI200" s="16"/>
    </row>
    <row r="201" spans="1:51" x14ac:dyDescent="0.2">
      <c r="X201" s="8" t="str">
        <f>IF(OR($H200="Home Goal",$H200="Away Goal",$H200="Period End"),"",IF(Y200=1,1,""))</f>
        <v/>
      </c>
      <c r="Z201" t="str">
        <f>IF(OR($H200="Home Goal",$H200="Away Goal",$H200="Period End"),"",IF(AA200=1,1,""))</f>
        <v/>
      </c>
      <c r="AB201" t="str">
        <f>IF(OR($H200="Home Goal",$H200="Away Goal",$H200="Period End"),1,IF(AC200=1,1,""))</f>
        <v/>
      </c>
      <c r="AG201" s="5"/>
      <c r="AH201" s="5"/>
      <c r="AI201" s="16"/>
    </row>
    <row r="202" spans="1:51" x14ac:dyDescent="0.2">
      <c r="X202" s="8" t="str">
        <f>IF(OR($H201="Home Goal",$H201="Away Goal",$H201="Period End"),"",IF(Y201=1,1,""))</f>
        <v/>
      </c>
      <c r="Z202" t="str">
        <f>IF(OR($H201="Home Goal",$H201="Away Goal",$H201="Period End"),"",IF(AA201=1,1,""))</f>
        <v/>
      </c>
      <c r="AB202" t="str">
        <f>IF(OR($H201="Home Goal",$H201="Away Goal",$H201="Period End"),1,IF(AC201=1,1,""))</f>
        <v/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Lists!$CA:$CA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Lists!$CC:$CC</xm:f>
          </x14:formula1>
          <xm:sqref>H2:H201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59</vt:i4>
      </vt:variant>
    </vt:vector>
  </HeadingPairs>
  <TitlesOfParts>
    <vt:vector size="65" baseType="lpstr">
      <vt:lpstr>examples</vt:lpstr>
      <vt:lpstr>Sheet1</vt:lpstr>
      <vt:lpstr>Rules</vt:lpstr>
      <vt:lpstr>Lists</vt:lpstr>
      <vt:lpstr>events</vt:lpstr>
      <vt:lpstr>shifts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2025-11-14T01:32:40Z</dcterms:modified>
</cp:coreProperties>
</file>